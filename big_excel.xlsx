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38613\OneDrive - Donatas Imbras\Shipping documents 2024 - Shipping documents\"/>
    </mc:Choice>
  </mc:AlternateContent>
  <bookViews>
    <workbookView windowWidth="22188" windowHeight="9060" firstSheet="2" activeTab="2"/>
  </bookViews>
  <sheets>
    <sheet name="Sheet7 (2)" sheetId="1" r:id="rId1"/>
    <sheet name="knife" sheetId="5" r:id="rId2"/>
    <sheet name="payment" sheetId="3" r:id="rId3"/>
    <sheet name="Varnish" sheetId="2" r:id="rId4"/>
    <sheet name="payment1" sheetId="4" r:id="rId5"/>
    <sheet name="copper payment" sheetId="6" r:id="rId6"/>
  </sheets>
  <definedNames>
    <definedName name="_xlnm._FilterDatabase" localSheetId="0" hidden="1">'Sheet7 (2)'!$A$1:$BR$1054</definedName>
    <definedName name="_xlnm._FilterDatabase" localSheetId="2" hidden="1">payment!$A$1:$L$842</definedName>
    <definedName name="_xlnm._FilterDatabase" localSheetId="3" hidden="1">Varnish!$A$2:$AZ$110</definedName>
    <definedName name="density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86186</author>
    <author>liuho</author>
  </authors>
  <commentList>
    <comment ref="AC252" authorId="0">
      <text>
        <r>
          <rPr>
            <sz val="10"/>
            <rFont val="宋体"/>
            <charset val="134"/>
          </rPr>
          <t xml:space="preserve">liu:
TW18/21/40
</t>
        </r>
      </text>
    </comment>
    <comment ref="V845" authorId="1">
      <text>
        <r>
          <rPr>
            <b/>
            <sz val="9"/>
            <rFont val="宋体"/>
            <charset val="134"/>
          </rPr>
          <t>liuho:</t>
        </r>
        <r>
          <rPr>
            <sz val="9"/>
            <rFont val="宋体"/>
            <charset val="134"/>
          </rPr>
          <t xml:space="preserve">
first shippment</t>
        </r>
      </text>
    </comment>
  </commentList>
</comments>
</file>

<file path=xl/comments2.xml><?xml version="1.0" encoding="utf-8"?>
<comments xmlns="http://schemas.openxmlformats.org/spreadsheetml/2006/main">
  <authors>
    <author>86186</author>
  </authors>
  <commentList>
    <comment ref="G7" authorId="0">
      <text>
        <r>
          <rPr>
            <sz val="10"/>
            <rFont val="宋体"/>
            <charset val="134"/>
          </rPr>
          <t>86186:
孙姐的平汇表上记录的最后一笔打款是1268630.21
大表格上记录的是600000</t>
        </r>
      </text>
    </comment>
    <comment ref="G11" authorId="0">
      <text>
        <r>
          <rPr>
            <sz val="10"/>
            <rFont val="宋体"/>
            <charset val="134"/>
          </rPr>
          <t xml:space="preserve">86186:
孙姐平汇表记录的是收款1124880， 大表格是1793510.21。
</t>
        </r>
      </text>
    </comment>
    <comment ref="G12" authorId="0">
      <text>
        <r>
          <rPr>
            <sz val="10"/>
            <rFont val="宋体"/>
            <charset val="134"/>
          </rPr>
          <t>86186:
孙姐平汇表记录：146855.7。 大表格记录：139545。</t>
        </r>
      </text>
    </comment>
    <comment ref="G21" authorId="0">
      <text>
        <r>
          <rPr>
            <sz val="10"/>
            <rFont val="宋体"/>
            <charset val="134"/>
          </rPr>
          <t>86186:
孙姐平汇表记录没有252167.9。大表格上有</t>
        </r>
      </text>
    </comment>
  </commentList>
</comments>
</file>

<file path=xl/comments3.xml><?xml version="1.0" encoding="utf-8"?>
<comments xmlns="http://schemas.openxmlformats.org/spreadsheetml/2006/main">
  <authors>
    <author>86186</author>
    <author>User</author>
  </authors>
  <commentList>
    <comment ref="Z58" authorId="0">
      <text>
        <r>
          <rPr>
            <sz val="10"/>
            <rFont val="宋体"/>
            <charset val="134"/>
          </rPr>
          <t xml:space="preserve">liu:
TW18/21/40
</t>
        </r>
      </text>
    </comment>
    <comment ref="Z69" authorId="1">
      <text>
        <r>
          <rPr>
            <sz val="10"/>
            <rFont val="宋体"/>
            <charset val="134"/>
          </rPr>
          <t>7739,44 списали с инвойса 40-5</t>
        </r>
      </text>
    </comment>
  </commentList>
</comments>
</file>

<file path=xl/sharedStrings.xml><?xml version="1.0" encoding="utf-8"?>
<sst xmlns="http://schemas.openxmlformats.org/spreadsheetml/2006/main" count="9889" uniqueCount="1794">
  <si>
    <t>PROFORMA Order（外贸订单 预售发票）</t>
  </si>
  <si>
    <t>Order Production（内贸订单）</t>
  </si>
  <si>
    <t>Prepared（准备好的）</t>
  </si>
  <si>
    <t>shipments</t>
  </si>
  <si>
    <t>No</t>
  </si>
  <si>
    <t>Incoterms</t>
  </si>
  <si>
    <t>Data 日期</t>
  </si>
  <si>
    <t>INV No
发票号</t>
  </si>
  <si>
    <t>SPEC
规格</t>
  </si>
  <si>
    <t>Knife No.</t>
  </si>
  <si>
    <t>Buyer
买家</t>
  </si>
  <si>
    <t>QTY
数量</t>
  </si>
  <si>
    <t>CNY/ton
单价</t>
  </si>
  <si>
    <t>Total
总价</t>
  </si>
  <si>
    <t>RECEIVABLE ADV 
应收预付款</t>
  </si>
  <si>
    <t>Received ADV
已收到预付款</t>
  </si>
  <si>
    <t>Balance
尾款</t>
  </si>
  <si>
    <t>Supplyer
供应商</t>
  </si>
  <si>
    <t>Inv No
发票号（供应商）</t>
  </si>
  <si>
    <t>Order date 
下单日期</t>
  </si>
  <si>
    <t>Expect preparation date
预计货好时间</t>
  </si>
  <si>
    <t>Actual
preparation date
实际货好时间</t>
  </si>
  <si>
    <r>
      <rPr>
        <b/>
        <sz val="11"/>
        <color theme="1"/>
        <rFont val="Calibri"/>
        <charset val="134"/>
      </rPr>
      <t xml:space="preserve">Delay date
</t>
    </r>
    <r>
      <rPr>
        <b/>
        <sz val="11"/>
        <color theme="1"/>
        <rFont val="宋体"/>
        <charset val="134"/>
      </rPr>
      <t>延迟日期</t>
    </r>
  </si>
  <si>
    <t>Notes
备注</t>
  </si>
  <si>
    <t>PAID ADV 
已付（供应商）</t>
  </si>
  <si>
    <t>Balance
尾款（供应商）</t>
  </si>
  <si>
    <t>QTY CASH
数量 现金</t>
  </si>
  <si>
    <t>CNY/ton CASH
单价 现金</t>
  </si>
  <si>
    <t>Total CASH
总价 现金</t>
  </si>
  <si>
    <t>PAID ADV CASH 
已付现金（供应商）</t>
  </si>
  <si>
    <t>Balance CASH
尾款现金（供应商）</t>
  </si>
  <si>
    <t>Balance
国外尾款</t>
  </si>
  <si>
    <r>
      <rPr>
        <b/>
        <sz val="11"/>
        <color theme="1"/>
        <rFont val="Calibri"/>
        <charset val="134"/>
      </rPr>
      <t xml:space="preserve">Booking date
</t>
    </r>
    <r>
      <rPr>
        <b/>
        <sz val="11"/>
        <color theme="1"/>
        <rFont val="宋体"/>
        <charset val="134"/>
      </rPr>
      <t>订舱时间</t>
    </r>
  </si>
  <si>
    <t>Notes</t>
  </si>
  <si>
    <t>Port</t>
  </si>
  <si>
    <t>Booking
预定</t>
  </si>
  <si>
    <t>No containers</t>
  </si>
  <si>
    <t>ETD
预计开船日期</t>
  </si>
  <si>
    <t>QTY
出口数量</t>
  </si>
  <si>
    <t>CNY/ton
出口单价</t>
  </si>
  <si>
    <t>Total
出口总价</t>
  </si>
  <si>
    <t>Received
已收到预付款</t>
  </si>
  <si>
    <t>PAID
国外已付</t>
  </si>
  <si>
    <t>Agents
货代名称</t>
  </si>
  <si>
    <t>Line
船公司</t>
  </si>
  <si>
    <t>ETD
开船时间</t>
  </si>
  <si>
    <t>SEA RATE
海运运费</t>
  </si>
  <si>
    <t>Balance MT</t>
  </si>
  <si>
    <t>Status</t>
  </si>
  <si>
    <t>TJTW
Invoice</t>
  </si>
  <si>
    <t>Clent
客户</t>
  </si>
  <si>
    <t>Contract/
Invoice
国外合同号</t>
  </si>
  <si>
    <t>应受到</t>
  </si>
  <si>
    <t>INTW-3</t>
  </si>
  <si>
    <t>0.16x782x1033</t>
  </si>
  <si>
    <t>INDX</t>
  </si>
  <si>
    <t>CRC</t>
  </si>
  <si>
    <t>BJHS-XWST-241022-01</t>
  </si>
  <si>
    <t>Andy</t>
  </si>
  <si>
    <t>XINHELU</t>
  </si>
  <si>
    <t>closed</t>
  </si>
  <si>
    <t>обрубки 修边</t>
  </si>
  <si>
    <t>продажа обрубков 卖修边</t>
  </si>
  <si>
    <t>Логистика 运费</t>
  </si>
  <si>
    <t>YH</t>
  </si>
  <si>
    <t>BZJY202411-18</t>
  </si>
  <si>
    <t>JHL</t>
  </si>
  <si>
    <t>Олово 镀锡</t>
  </si>
  <si>
    <t>0.15x890x866</t>
  </si>
  <si>
    <t>总数</t>
  </si>
  <si>
    <t>0.16*782*1033
0.15*890*866</t>
  </si>
  <si>
    <t>INDEX</t>
  </si>
  <si>
    <t>NBE-2-3</t>
  </si>
  <si>
    <t>0.23x905x720 T3 2.0/2.0</t>
  </si>
  <si>
    <t>NBE-2</t>
  </si>
  <si>
    <t>“I.C.E.” LLC</t>
  </si>
  <si>
    <t>海钢云翼</t>
  </si>
  <si>
    <t>HY2501015V</t>
  </si>
  <si>
    <t>NBE-2-1-905</t>
  </si>
  <si>
    <t>0.23x905x720 T3 1.5/1.5</t>
  </si>
  <si>
    <t>NBE-2-2</t>
  </si>
  <si>
    <t>NBE-2-1</t>
  </si>
  <si>
    <t>0.23*850*1040 T3 1.5/1.5</t>
  </si>
  <si>
    <t>NBE-2-4</t>
  </si>
  <si>
    <t>0.23x905x720 T3 2.0/2.0
0.23x905x720 T3 1.5/1.5
0.23*850*1040 T3 1.5/1.5</t>
  </si>
  <si>
    <t>active</t>
  </si>
  <si>
    <t>INTW-8</t>
  </si>
  <si>
    <t>98.9mm 0.20 #401 SE*2</t>
  </si>
  <si>
    <t>ZM</t>
  </si>
  <si>
    <t>ZM20250403-A1</t>
  </si>
  <si>
    <t>shipped</t>
  </si>
  <si>
    <t>TJTW-1L</t>
  </si>
  <si>
    <t>99.8mm 0.21 #401</t>
  </si>
  <si>
    <t>TW</t>
  </si>
  <si>
    <t>ZM20221229-A11</t>
  </si>
  <si>
    <t>退税</t>
  </si>
  <si>
    <t>TJTW-1L-2</t>
  </si>
  <si>
    <t>TJTW-1L-3</t>
  </si>
  <si>
    <t>TJTW-1L-4</t>
  </si>
  <si>
    <t>国外打款</t>
  </si>
  <si>
    <t>TJTW-2-1</t>
  </si>
  <si>
    <t>0.18*905*669.5</t>
  </si>
  <si>
    <t>TJTW-2-2</t>
  </si>
  <si>
    <t>0.18*905*836.5</t>
  </si>
  <si>
    <t>TJTW-2-3</t>
  </si>
  <si>
    <t>TJTW-2</t>
  </si>
  <si>
    <t>0.18*905</t>
  </si>
  <si>
    <t>TJTW-3-1</t>
  </si>
  <si>
    <t>JHL2023-5-23</t>
  </si>
  <si>
    <t>TJTW-3-2</t>
  </si>
  <si>
    <t>TJTW-3-3</t>
  </si>
  <si>
    <t>0.18*904*836.5</t>
  </si>
  <si>
    <t>TJTW-3</t>
  </si>
  <si>
    <t>0.18*904</t>
  </si>
  <si>
    <t>TJTW-4-1</t>
  </si>
  <si>
    <t>0.18*822*764.2</t>
  </si>
  <si>
    <t>TJTW-4-2</t>
  </si>
  <si>
    <t>TJTW-4</t>
  </si>
  <si>
    <t>0.18*822</t>
  </si>
  <si>
    <t>TJTW-5-1</t>
  </si>
  <si>
    <t>0.24*1023*957</t>
  </si>
  <si>
    <t>TJTW-5-2</t>
  </si>
  <si>
    <t>TJTW-5</t>
  </si>
  <si>
    <t>TJTW-6-1</t>
  </si>
  <si>
    <t>0.17*818*913.6</t>
  </si>
  <si>
    <t>JHL2023-6-2</t>
  </si>
  <si>
    <t>TJTW-6</t>
  </si>
  <si>
    <t>TJTW-7-1</t>
  </si>
  <si>
    <t>ZM20230621-A1</t>
  </si>
  <si>
    <t>TJTW-7-2</t>
  </si>
  <si>
    <t>TJTW-7</t>
  </si>
  <si>
    <t>TJTW-8-1</t>
  </si>
  <si>
    <t>TJTW-8-2</t>
  </si>
  <si>
    <t>TJTW-8-3</t>
  </si>
  <si>
    <t>TJTW-8-4</t>
  </si>
  <si>
    <t>TJTW-8</t>
  </si>
  <si>
    <t>0.18*905*</t>
  </si>
  <si>
    <t>TJTW-9-1</t>
  </si>
  <si>
    <t>TJTW-9-2</t>
  </si>
  <si>
    <t>TJTW-9</t>
  </si>
  <si>
    <t>TJTW-10</t>
  </si>
  <si>
    <t>72.9 mm 0.19#300</t>
  </si>
  <si>
    <t>NF</t>
  </si>
  <si>
    <t>TJTW-11</t>
  </si>
  <si>
    <t>#401 ETP BPA FREE</t>
  </si>
  <si>
    <t>#401 TFS BPA FREE</t>
  </si>
  <si>
    <t>#401 TFS</t>
  </si>
  <si>
    <t>TJTW-12</t>
  </si>
  <si>
    <t>Yiwu</t>
  </si>
  <si>
    <t>YKG231025-A</t>
  </si>
  <si>
    <t>TJTW-13-1</t>
  </si>
  <si>
    <t>0.18*905*scroll T4 2.8/2.8</t>
  </si>
  <si>
    <t>ZM20231115-A1</t>
  </si>
  <si>
    <t>0.18*822*764.2 T4 2.8/2.8</t>
  </si>
  <si>
    <t>ZM20231115-A2</t>
  </si>
  <si>
    <t>TJTW-13-2</t>
  </si>
  <si>
    <t>0.17*818*914 T4 2.8/2.8</t>
  </si>
  <si>
    <t>ZM20231115-A3</t>
  </si>
  <si>
    <t>TJTW-13-3</t>
  </si>
  <si>
    <t>0.18*900*712 T3 2.8/2.8</t>
  </si>
  <si>
    <t>ZM20231115-A4</t>
  </si>
  <si>
    <t>TJTW-13-4</t>
  </si>
  <si>
    <t>0.18*905*836.5 T4 2.8/2.8</t>
  </si>
  <si>
    <t>TJTW-13-5</t>
  </si>
  <si>
    <t>0.17*818*913.6 T4 2.8/2.8</t>
  </si>
  <si>
    <t>TJTW-13</t>
  </si>
  <si>
    <t>0.18*822；0.17*818</t>
  </si>
  <si>
    <t>TJTW-14</t>
  </si>
  <si>
    <t>YKG231201-A</t>
  </si>
  <si>
    <t>TJTW-15</t>
  </si>
  <si>
    <t>YKG231229-A</t>
  </si>
  <si>
    <t>TJTW-16</t>
  </si>
  <si>
    <t>TJTW-18-1</t>
  </si>
  <si>
    <t>TJTW-18-2</t>
  </si>
  <si>
    <t>TJTW-18-3</t>
  </si>
  <si>
    <t>0.18*900*712</t>
  </si>
  <si>
    <t>TJTW-18-4</t>
  </si>
  <si>
    <t>TJTW-18-5</t>
  </si>
  <si>
    <t>BD</t>
  </si>
  <si>
    <t>TJTW-18-6</t>
  </si>
  <si>
    <t>TJTW-18-7</t>
  </si>
  <si>
    <t>TJTW-18-8</t>
  </si>
  <si>
    <t>TJTW-18-9</t>
  </si>
  <si>
    <t>涂布费</t>
  </si>
  <si>
    <t>TJTW-18</t>
  </si>
  <si>
    <t>TJTW-19</t>
  </si>
  <si>
    <t>YKG240321-A</t>
  </si>
  <si>
    <t>TJTW-20</t>
  </si>
  <si>
    <t>TJTW-21-1</t>
  </si>
  <si>
    <t>TJTW-21-2</t>
  </si>
  <si>
    <t>TJTW-21-3</t>
  </si>
  <si>
    <t>TJTW-21-4</t>
  </si>
  <si>
    <t>TJTW-21-5</t>
  </si>
  <si>
    <t>TJTW-21</t>
  </si>
  <si>
    <t>TJTW-22</t>
  </si>
  <si>
    <t>TJTW-23</t>
  </si>
  <si>
    <t>0.16*892*C</t>
  </si>
  <si>
    <t>JHL2024-5-22</t>
  </si>
  <si>
    <t>0.16*875*C</t>
  </si>
  <si>
    <t>TJTW-23-2</t>
  </si>
  <si>
    <t>TJTW-24</t>
  </si>
  <si>
    <t>0.24*963*1026</t>
  </si>
  <si>
    <t>jhl2024-6-06</t>
  </si>
  <si>
    <t>0.26*963*1026</t>
  </si>
  <si>
    <t>0.32*856*785</t>
  </si>
  <si>
    <t>0.24*963*1026
0.26*963*1026
0.32*856*785</t>
  </si>
  <si>
    <t>TJTW-27</t>
  </si>
  <si>
    <t>TJTW-28-1</t>
  </si>
  <si>
    <t>0.16*820*C</t>
  </si>
  <si>
    <t>POLINKA TRADE SIA</t>
  </si>
  <si>
    <t>TJTW-28-2</t>
  </si>
  <si>
    <t>TJTW-28-3</t>
  </si>
  <si>
    <t>TJTW-28</t>
  </si>
  <si>
    <t>TJTW-29-1</t>
  </si>
  <si>
    <t>ZM20240710-A1</t>
  </si>
  <si>
    <t>TJTW-29</t>
  </si>
  <si>
    <t>TJTW-30</t>
  </si>
  <si>
    <t>0.22*903*836.5</t>
  </si>
  <si>
    <t>广东晟凯</t>
  </si>
  <si>
    <t>YSD240813002</t>
  </si>
  <si>
    <t>TJTW-30-2</t>
  </si>
  <si>
    <t>0.22*295</t>
  </si>
  <si>
    <t>TJTW-31</t>
  </si>
  <si>
    <t>jhl2024-08-08</t>
  </si>
  <si>
    <t>TJTW-33</t>
  </si>
  <si>
    <t>ZM20240918-A1</t>
  </si>
  <si>
    <t>TJTW-33-1</t>
  </si>
  <si>
    <t>TJTW-34-1</t>
  </si>
  <si>
    <t>ZM20241022-A1</t>
  </si>
  <si>
    <t>TJTW-34-2</t>
  </si>
  <si>
    <t>TJTW-34</t>
  </si>
  <si>
    <t>TJTW-35</t>
  </si>
  <si>
    <t>0.16X875xC</t>
  </si>
  <si>
    <t>ANDY</t>
  </si>
  <si>
    <t>EMC</t>
  </si>
  <si>
    <t>TJTW-36</t>
  </si>
  <si>
    <t>0.19 T4 #300 72.9mm</t>
  </si>
  <si>
    <t>National Foods Company Srl</t>
  </si>
  <si>
    <t>ZM20241231-A1</t>
  </si>
  <si>
    <t>TJTW-37</t>
  </si>
  <si>
    <t>0.21x894x1038</t>
  </si>
  <si>
    <t>0.16x960x924</t>
  </si>
  <si>
    <t>0.16/0.21</t>
  </si>
  <si>
    <t>TJTW-38-1</t>
  </si>
  <si>
    <t>0.17*857*730</t>
  </si>
  <si>
    <t>0.17*905*836.5</t>
  </si>
  <si>
    <t>TJTW-38-2</t>
  </si>
  <si>
    <t>TJTW-38</t>
  </si>
  <si>
    <t>TJTW-39</t>
  </si>
  <si>
    <t>0.20*903*920</t>
  </si>
  <si>
    <t>0.20*796*835</t>
  </si>
  <si>
    <t>0.22*903*836.5 AL</t>
  </si>
  <si>
    <t>PI TJTW-40</t>
  </si>
  <si>
    <t>TJTW-40</t>
  </si>
  <si>
    <t>CI TJTW-40-1</t>
  </si>
  <si>
    <t>TJTW-40-1</t>
  </si>
  <si>
    <t>CI TJTW-40-2</t>
  </si>
  <si>
    <t>TJTW-40-2</t>
  </si>
  <si>
    <t>CI TJTW-40-3</t>
  </si>
  <si>
    <t>TJTW-40-3</t>
  </si>
  <si>
    <t>CI TJTW-40-4</t>
  </si>
  <si>
    <t>TJTW-40-4</t>
  </si>
  <si>
    <t>0.17*818*913.6 VARNISH</t>
  </si>
  <si>
    <t>0.17*905*836.5 2.8/2.8</t>
  </si>
  <si>
    <t>0.17*905*836.5  2.8/2.8</t>
  </si>
  <si>
    <t>0.17*905*836.5 2.0/2.0</t>
  </si>
  <si>
    <t>0.17*905*836.5 VARNISH</t>
  </si>
  <si>
    <t>0.17*905*669.5</t>
  </si>
  <si>
    <t>THC</t>
  </si>
  <si>
    <t>TJTW-40-5</t>
  </si>
  <si>
    <t>0.18*905*669.5 2.8/2.8</t>
  </si>
  <si>
    <t>0.17*905*669.5 2.0/2.0</t>
  </si>
  <si>
    <t>TJTW-41</t>
  </si>
  <si>
    <t>#401</t>
  </si>
  <si>
    <t>TJTW-43-1</t>
  </si>
  <si>
    <t>0.16*820*C T4</t>
  </si>
  <si>
    <t>XF</t>
  </si>
  <si>
    <t>XZQD20240906-06</t>
  </si>
  <si>
    <t>TJTW-43-2</t>
  </si>
  <si>
    <t>TJTW-43</t>
  </si>
  <si>
    <t>HS</t>
  </si>
  <si>
    <t>BJHS-XWST-241209-01</t>
  </si>
  <si>
    <t>TMBP 基板</t>
  </si>
  <si>
    <t>0.16*820</t>
  </si>
  <si>
    <t>TJTW-44</t>
  </si>
  <si>
    <t>TJTW-46-1</t>
  </si>
  <si>
    <t>TJTW-46</t>
  </si>
  <si>
    <t>ZM20241205-A1</t>
  </si>
  <si>
    <t>港杂费</t>
  </si>
  <si>
    <t>TJTW-46-2</t>
  </si>
  <si>
    <t>TJTW-46-3</t>
  </si>
  <si>
    <t>0.16*875*C DR8.5</t>
  </si>
  <si>
    <t>XWST-241209-01</t>
  </si>
  <si>
    <t>0.16*875*C DR7.5</t>
  </si>
  <si>
    <t>TJTW-47</t>
  </si>
  <si>
    <t>EOE Aluminium diam.99.8mm 0.24 #401</t>
  </si>
  <si>
    <t>YKG241206-A</t>
  </si>
  <si>
    <t>177LVKVKN06045A</t>
  </si>
  <si>
    <t>Klaipeda</t>
  </si>
  <si>
    <t>BL:1066218410</t>
  </si>
  <si>
    <t>TJTW-48</t>
  </si>
  <si>
    <t>TFS BPA FREE EOE 72,9 0,19</t>
  </si>
  <si>
    <t>TJTW-49</t>
  </si>
  <si>
    <t>0.18*822*764.2 2.8/2.8 T4 stone,BA</t>
  </si>
  <si>
    <t>ZM20241216-A1</t>
  </si>
  <si>
    <t>0.17*818*913.6  2.8/2.8 T4 stone,BA</t>
  </si>
  <si>
    <t>0.18*822*764.2 2.8/2.8 T4 stone,BA
0.17*818*913.6  2.8/2.8 T4 stone,BA</t>
  </si>
  <si>
    <t>TJTW-50</t>
  </si>
  <si>
    <t>0.18*905*C 2.8/2.8 T4 STONE BA</t>
  </si>
  <si>
    <t>HBIS</t>
  </si>
  <si>
    <t>MN412501-1</t>
  </si>
  <si>
    <t>TJTW-50-1</t>
  </si>
  <si>
    <t>0.18*905*669.5 素铁</t>
  </si>
  <si>
    <t>TJTW-50-2</t>
  </si>
  <si>
    <t>0.18*905*836.5 铝膏 BPA</t>
  </si>
  <si>
    <t>0.18*905*836.5 铝膏+黄 BPA</t>
  </si>
  <si>
    <t>0.18*905*836.5 铝膏+黄 BPA free</t>
  </si>
  <si>
    <t>TJTW-50-4</t>
  </si>
  <si>
    <t>0.18*905*836.5 铝膏+有机 BPA free</t>
  </si>
  <si>
    <t>0.17*905*C 2.8/2.8 T4 STONE BA</t>
  </si>
  <si>
    <t>0.17*905*836.5 铝膏+有机 BPA free</t>
  </si>
  <si>
    <t>TJTW-50-3</t>
  </si>
  <si>
    <t>裁铁费</t>
  </si>
  <si>
    <t>0.18*905*C 2.8/2.8 T4 STONE BA
0.17*905*C 2.8/2.8 T4 STONE BA</t>
  </si>
  <si>
    <t>6500
6650</t>
  </si>
  <si>
    <t>-</t>
  </si>
  <si>
    <t>TJTW-51</t>
  </si>
  <si>
    <t>0,16x784x1040 2.0/2.0</t>
  </si>
  <si>
    <t>JY</t>
  </si>
  <si>
    <t>BZJY20252-35</t>
  </si>
  <si>
    <t>TJTW-52</t>
  </si>
  <si>
    <t>ZM20250210-A1</t>
  </si>
  <si>
    <t>TJTW-53</t>
  </si>
  <si>
    <t>ETP EOE 99 BPA FREE</t>
  </si>
  <si>
    <t>YKG250206-A</t>
  </si>
  <si>
    <t>TJTW-54</t>
  </si>
  <si>
    <t>0.16*820*C  2.0/2.0 T4BA</t>
  </si>
  <si>
    <t>ZM20250307-A1</t>
  </si>
  <si>
    <t>KLM</t>
  </si>
  <si>
    <t>TJTW-55</t>
  </si>
  <si>
    <t>0.17*818*coil 2.8/2.8 T4BA</t>
  </si>
  <si>
    <t>ZM20250212-A1</t>
  </si>
  <si>
    <t>0.17*818*913 alum BPA free</t>
  </si>
  <si>
    <t>0.17*818*913 alum+gold BPA free</t>
  </si>
  <si>
    <t>TJTW-55-2</t>
  </si>
  <si>
    <t>TJTW-56</t>
  </si>
  <si>
    <t>0.17*857*730 2.8/2.8 T4BA</t>
  </si>
  <si>
    <t>ZM20250227-A1</t>
  </si>
  <si>
    <t>get ready</t>
  </si>
  <si>
    <t>klaipeda</t>
  </si>
  <si>
    <t>TJTW-57</t>
  </si>
  <si>
    <t>EOE.99.8mm 0.21 #401</t>
  </si>
  <si>
    <t>ZM20250305-A1</t>
  </si>
  <si>
    <t>TJTW-59</t>
  </si>
  <si>
    <t>ZM20250402-A1</t>
  </si>
  <si>
    <t>booked</t>
  </si>
  <si>
    <t>TW 2025-04-03</t>
  </si>
  <si>
    <t>TJTW-60</t>
  </si>
  <si>
    <t>0.16*820*Coil</t>
  </si>
  <si>
    <t>ZM20250412-A1</t>
  </si>
  <si>
    <t>TW 2025-04-02</t>
  </si>
  <si>
    <t>0.165*875*Coil</t>
  </si>
  <si>
    <t>ZM20250412-A2</t>
  </si>
  <si>
    <t>0.17*875*Coil</t>
  </si>
  <si>
    <t>TJTW-60-1</t>
  </si>
  <si>
    <t>PLK</t>
  </si>
  <si>
    <t>0.16*820*Coil
0.16*875*Coil</t>
  </si>
  <si>
    <t>Riga</t>
  </si>
  <si>
    <t>TJTW-61-3</t>
  </si>
  <si>
    <t>0.18*905*836.5 2.8/2.8 T4 BA</t>
  </si>
  <si>
    <t>ZM20250416-A1</t>
  </si>
  <si>
    <t>0.17*905*836.5 2.8/2.8 T4 BA</t>
  </si>
  <si>
    <t>TJTW-61-4</t>
  </si>
  <si>
    <t>0.17*818*913.6 2.8/2.8 T4 BA</t>
  </si>
  <si>
    <t>TJTW-61-6</t>
  </si>
  <si>
    <t>0.18*900*712 2.8/2.8 T3 BA</t>
  </si>
  <si>
    <t>0.17*857*730 2.8/2.8 T4 BA</t>
  </si>
  <si>
    <t>ATS</t>
  </si>
  <si>
    <t>TJTW-61-1</t>
  </si>
  <si>
    <t>0.18*905*669.5 2.8/2.8 T4 BA</t>
  </si>
  <si>
    <t>0.18*822*764.2  2.8/2.8 T4 BA</t>
  </si>
  <si>
    <t>TJTW-61-2</t>
  </si>
  <si>
    <t>TJTW-61-5</t>
  </si>
  <si>
    <t>TJTW-61</t>
  </si>
  <si>
    <t>0.18*905*836.5 2.8/2.8 T4 BA
0.17*905*836.5 2.8/2.8 T4 BA
0.17*818*913.6 2.8/2.8 T4 BA
0.18*900*712 2.8/2.8 T3 BA
0.17*857*730 2.8/2.8 T4 BA
0.18*905*669.5 2.8/2.8 T4 BA
0.18*822*764.2  2.8/2.8 T4 BA</t>
  </si>
  <si>
    <t>TJTW-62</t>
  </si>
  <si>
    <t>0.3*790*850 2.0/2.0 T3</t>
  </si>
  <si>
    <t>ZM20250416-A2</t>
  </si>
  <si>
    <t>0.3*790*855 2.8/2.8 T3</t>
  </si>
  <si>
    <t>0.31*1000*665  2.0/2.0 T3</t>
  </si>
  <si>
    <t>0.31*960*640 2.0/2.0 T3</t>
  </si>
  <si>
    <t>INTX</t>
  </si>
  <si>
    <t>0.3*790*850 2.0/2.0 T3
0.3*790*855 2.0/2.0 T3
0.31*1000*665  2.0/2.0 T3
0.31*960*640 2.0/2.0 T3</t>
  </si>
  <si>
    <t>TJTW-63</t>
  </si>
  <si>
    <t>0.155*963*961 2.0/2.0  TH 620</t>
  </si>
  <si>
    <t>ZM20250417-A1</t>
  </si>
  <si>
    <t>0.155*931*927 2.0/2.0  TH 620</t>
  </si>
  <si>
    <t>TNX</t>
  </si>
  <si>
    <t>0.155*963*961 2.0/2.0  TH 620
0.155*931.927 2.0/2.0  TH 620</t>
  </si>
  <si>
    <t>PT-1</t>
  </si>
  <si>
    <t>0.26*31.8 TH620</t>
  </si>
  <si>
    <t>PARTNER</t>
  </si>
  <si>
    <t>常州冉达</t>
  </si>
  <si>
    <t>RD 254012C0213</t>
  </si>
  <si>
    <t>PT-1-1</t>
  </si>
  <si>
    <t>RD225012C0311A</t>
  </si>
  <si>
    <t>xiaofei</t>
  </si>
  <si>
    <t>PT-1-2</t>
  </si>
  <si>
    <t>RD25012C0424B</t>
  </si>
  <si>
    <t>PT-1-3</t>
  </si>
  <si>
    <t>NBE-5</t>
  </si>
  <si>
    <t>0,23x905x720 2.0/2.0 TS275 (Т3)</t>
  </si>
  <si>
    <t>ZM20250418-A1</t>
  </si>
  <si>
    <t>road transportation</t>
  </si>
  <si>
    <t>ICE</t>
  </si>
  <si>
    <t>PT-2</t>
  </si>
  <si>
    <t>0,16 896х1057 ТН 550 2,8/2,8 CА</t>
  </si>
  <si>
    <t>ZM20250506-A1</t>
  </si>
  <si>
    <t>0,16 862х922   ТН 620  2,8/2,8 CА</t>
  </si>
  <si>
    <t>Partner</t>
  </si>
  <si>
    <t>0,16 896х1057 ТН 550 2,8/2,8 CА
0,16 862х922   ТН 620  2,8/2,8 CА</t>
  </si>
  <si>
    <t>PT-3</t>
  </si>
  <si>
    <t>0.14*975*941 ТН520 СА 2.8/2.8</t>
  </si>
  <si>
    <t>0.15*956*991 ТН550 СА 2.8/2.8</t>
  </si>
  <si>
    <t>0.18*956*991 ТН550 СA 2.8/2.8</t>
  </si>
  <si>
    <t>0.14*975*941 ТН520 СА 2.8/2.8
0.15*956*991 ТН550 СА 2.8/2.8
0.18*956*991 ТН550 СA 2.8/2.8</t>
  </si>
  <si>
    <t>TJTW-64</t>
  </si>
  <si>
    <t>0.20х751х710.7 2.0/2.0  Т4</t>
  </si>
  <si>
    <t>ZM20250506-A2</t>
  </si>
  <si>
    <t>0.22х875х890  2.0/2.0  T3</t>
  </si>
  <si>
    <t>SPECPR</t>
  </si>
  <si>
    <t>0.20х751х710.7 2.0/2.0  Т4
0.22х875х890  2.0/2.0  T3</t>
  </si>
  <si>
    <t>take a client</t>
  </si>
  <si>
    <t>10AN-2</t>
  </si>
  <si>
    <t>0.16×775×765.7</t>
  </si>
  <si>
    <t>CAPAX</t>
  </si>
  <si>
    <t>ready</t>
  </si>
  <si>
    <t>TJTW-66</t>
  </si>
  <si>
    <t>TFS EOE 72.9 BPAni FREE</t>
  </si>
  <si>
    <t>ZM20250523-A1</t>
  </si>
  <si>
    <t>FOB</t>
  </si>
  <si>
    <t>Shipped</t>
  </si>
  <si>
    <t>Salerno</t>
  </si>
  <si>
    <t>TSN7166656</t>
  </si>
  <si>
    <t>TJTW-67</t>
  </si>
  <si>
    <t>0.16*892*808.4   2.0/2.0 Т4 Stone BA</t>
  </si>
  <si>
    <t>ZM20250522-A2</t>
  </si>
  <si>
    <t>0.15*868*872.4  1.0/1.0 DR9 Stone BA</t>
  </si>
  <si>
    <t>TJTW-67-2</t>
  </si>
  <si>
    <t>Together with TJTW-70</t>
  </si>
  <si>
    <t>TJTW-67-3</t>
  </si>
  <si>
    <t>SKARDENES</t>
  </si>
  <si>
    <t>0.16*892*808.4   2.0/2.0 Т4 Stone BA
0.15*868*872.4  1.0/1.0 DR9 Stone BA</t>
  </si>
  <si>
    <t>TJTW-68</t>
  </si>
  <si>
    <t>EOE 99.8 0.22 #401</t>
  </si>
  <si>
    <t>YKG250524-A</t>
  </si>
  <si>
    <t>DAP</t>
  </si>
  <si>
    <t>NBE-1</t>
  </si>
  <si>
    <t>Tool for Lid diameter 200 mm,</t>
  </si>
  <si>
    <t>蛟龙机械</t>
  </si>
  <si>
    <t>JJ20241111-011</t>
  </si>
  <si>
    <t>TSTXG1986575B</t>
  </si>
  <si>
    <t>NBE-3</t>
  </si>
  <si>
    <t>JJ20250226-11</t>
  </si>
  <si>
    <t>NBE-4</t>
  </si>
  <si>
    <t>0.22*765*1040 2.0/2.0 TS260(T3)</t>
  </si>
  <si>
    <t>ZM20250624-A2</t>
  </si>
  <si>
    <t>0.18*712*826  2.0/2.0 T4</t>
  </si>
  <si>
    <t>ZM20241220-A1</t>
  </si>
  <si>
    <t>0.22*805*765 2.0/2.0 TS260(T3)</t>
  </si>
  <si>
    <t>INTW-6</t>
  </si>
  <si>
    <t>72.9mm #300</t>
  </si>
  <si>
    <t>ZM20250210-A2</t>
  </si>
  <si>
    <t>INTW-6-1</t>
  </si>
  <si>
    <t>INTW-6-2</t>
  </si>
  <si>
    <t>INTW-6-3</t>
  </si>
  <si>
    <t>INTW-6-4</t>
  </si>
  <si>
    <t>STP</t>
  </si>
  <si>
    <t>FITFWXVVO02132</t>
  </si>
  <si>
    <t>INTW-6-5</t>
  </si>
  <si>
    <t>Vladivostok</t>
  </si>
  <si>
    <t>FITFWXVVO02632 SOC</t>
  </si>
  <si>
    <t>INTW-6-5-2</t>
  </si>
  <si>
    <t>FITFWXVVO02749</t>
  </si>
  <si>
    <t>INTW-6-6</t>
  </si>
  <si>
    <t>FITFWXVVO02875</t>
  </si>
  <si>
    <t>INTW-6-7</t>
  </si>
  <si>
    <t>003273187</t>
  </si>
  <si>
    <t>INTW-6-8</t>
  </si>
  <si>
    <t>INTW-6-9</t>
  </si>
  <si>
    <t>INTW-6-10</t>
  </si>
  <si>
    <t>28/02/2025</t>
  </si>
  <si>
    <t>INTW-6-11</t>
  </si>
  <si>
    <t>28/03/2025</t>
  </si>
  <si>
    <t>INTW-6-12</t>
  </si>
  <si>
    <t>28/04/2025</t>
  </si>
  <si>
    <t>INTW-6-13</t>
  </si>
  <si>
    <t>28/05/2025</t>
  </si>
  <si>
    <t>INTW-6-14</t>
  </si>
  <si>
    <t>28/06/2025</t>
  </si>
  <si>
    <t>INTW-6-15</t>
  </si>
  <si>
    <t>28/07/2025</t>
  </si>
  <si>
    <t>INTW-6-16</t>
  </si>
  <si>
    <t>28/08/2025</t>
  </si>
  <si>
    <t>TJTW-69</t>
  </si>
  <si>
    <t>0.16*875*Coil</t>
  </si>
  <si>
    <t>ZM20250606-A2</t>
  </si>
  <si>
    <t>TJTW-65</t>
  </si>
  <si>
    <t>0.18*860*950 varnished</t>
  </si>
  <si>
    <t>ZM20250620-A1</t>
  </si>
  <si>
    <t>0.18*845*950 TFS</t>
  </si>
  <si>
    <t>Z</t>
  </si>
  <si>
    <t>0.32*860*1108 TFS</t>
  </si>
  <si>
    <t>0.32*860*1108 ZN</t>
  </si>
  <si>
    <t>0.32*860*1108 TFS VARNISHED</t>
  </si>
  <si>
    <t>0.32*860*780 TFS</t>
  </si>
  <si>
    <t>0.32*860*780 ZN</t>
  </si>
  <si>
    <t>0.32*860*793 ZN</t>
  </si>
  <si>
    <t>0.32*860*793 ZN VARNISHED</t>
  </si>
  <si>
    <t>0.32*860*858 ZN</t>
  </si>
  <si>
    <t>0.32*965*884 TFS</t>
  </si>
  <si>
    <t>0.32*965*884 TFS VARNISHED</t>
  </si>
  <si>
    <t>OLEG</t>
  </si>
  <si>
    <t>NBE-7</t>
  </si>
  <si>
    <t>0.18*712*875 TFS VARNISHED</t>
  </si>
  <si>
    <t>ZM20250621-A1</t>
  </si>
  <si>
    <t>0.18*875*1040 TFS</t>
  </si>
  <si>
    <t>0.20*880*712 VARNISHED</t>
  </si>
  <si>
    <t>0.22*800*1040 VARNISHED</t>
  </si>
  <si>
    <t>0.22*805*1040 TFS VARNISHED</t>
  </si>
  <si>
    <t>0.22*805*972 TFS</t>
  </si>
  <si>
    <t>0.23*915*720 VARNISHED</t>
  </si>
  <si>
    <t>0.23*925*720 TFS VARNISHED</t>
  </si>
  <si>
    <t>0.32*860*800 ZN</t>
  </si>
  <si>
    <t>0.32*860*800 ZN VARNISHED</t>
  </si>
  <si>
    <t>0.35*860*800 TFS</t>
  </si>
  <si>
    <t>0.35*860*800 TFS VARNISHED</t>
  </si>
  <si>
    <t>0.35*965*640 TFS</t>
  </si>
  <si>
    <t>0.35*965*640 TFS VARNISHED</t>
  </si>
  <si>
    <t>TSTXG1986575A</t>
  </si>
  <si>
    <t>SKV</t>
  </si>
  <si>
    <t>TJTW-70-2</t>
  </si>
  <si>
    <t>0.18*862*782 2.8/2.8 T5</t>
  </si>
  <si>
    <t>ZM20250613-A2</t>
  </si>
  <si>
    <t>ODESSA</t>
  </si>
  <si>
    <t>TJN0756948</t>
  </si>
  <si>
    <t>TJTW-70</t>
  </si>
  <si>
    <t>0.18*890*807.3 2.8/2.8 T5</t>
  </si>
  <si>
    <t>READY</t>
  </si>
  <si>
    <t>TJN0791970</t>
  </si>
  <si>
    <t>0.18*890*Coil</t>
  </si>
  <si>
    <t>0.17*944*795 2.8/2.8 T4</t>
  </si>
  <si>
    <t>GOLXG2025092301</t>
  </si>
  <si>
    <t>TJTW-70-3</t>
  </si>
  <si>
    <t>0.18*880*824 2.8/2.8 T3</t>
  </si>
  <si>
    <t>0.18*928*934.7 2.8/2.8 T5</t>
  </si>
  <si>
    <t>0.16*892*808.4 2.0/2.0 T4</t>
  </si>
  <si>
    <t>jhl2024-6-13</t>
  </si>
  <si>
    <t>0.2*892*808.4 2.8/2.8 T3</t>
  </si>
  <si>
    <t>0.15*868*872.4 1.0/1.0 DR9</t>
  </si>
  <si>
    <t>INTW-9</t>
  </si>
  <si>
    <t>can making mold spare part</t>
  </si>
  <si>
    <t>三德明</t>
  </si>
  <si>
    <t>SDM2025061701</t>
  </si>
  <si>
    <t>INTW-9-1</t>
  </si>
  <si>
    <t>SDM2025063001</t>
  </si>
  <si>
    <t>INTW-9-2</t>
  </si>
  <si>
    <t>SDM2025081501</t>
  </si>
  <si>
    <t>INTW-9-3</t>
  </si>
  <si>
    <t>SDM2025091101</t>
  </si>
  <si>
    <t>Mold spare parts</t>
  </si>
  <si>
    <t>PLsk</t>
  </si>
  <si>
    <t>CFR</t>
  </si>
  <si>
    <t>TJTW-71</t>
  </si>
  <si>
    <t>Easy open end diam.99.8mm 0.21 T4 gold/2x white</t>
  </si>
  <si>
    <t>ZM20250524-A1</t>
  </si>
  <si>
    <t>Plsk</t>
  </si>
  <si>
    <t>GDANSK</t>
  </si>
  <si>
    <t>FCA</t>
  </si>
  <si>
    <t>NBE-8</t>
  </si>
  <si>
    <t>0,22x765 x1040</t>
  </si>
  <si>
    <t>TJTW-72</t>
  </si>
  <si>
    <t>ZM20250703-A1</t>
  </si>
  <si>
    <t>TJTW-73</t>
  </si>
  <si>
    <t>0.16*820 2.0/2.0, T4 Stone, BA</t>
  </si>
  <si>
    <t>ZM20250709-A2</t>
  </si>
  <si>
    <t>0.16*875 2.0/2.0, DR 8.5 Stone, BA</t>
  </si>
  <si>
    <t>ZM20250709-A1</t>
  </si>
  <si>
    <t>0.16*820 2.0/2.0, T4 Stone, BA
0.16*875 2.0/2.0, DR 8.5 Stone, BA</t>
  </si>
  <si>
    <t>RIGA</t>
  </si>
  <si>
    <t>ATL</t>
  </si>
  <si>
    <t>TJTW-74</t>
  </si>
  <si>
    <t>0.17*730*857 T4 2.8/2.8</t>
  </si>
  <si>
    <t>ZM20250707-A1</t>
  </si>
  <si>
    <t>0.17*818*913 T4 2.8/2.8</t>
  </si>
  <si>
    <t>TJTW-74-2 BOOKING</t>
  </si>
  <si>
    <t>TJTW-74-3 BOOKING</t>
  </si>
  <si>
    <t>177KKNPPXTNN4394</t>
  </si>
  <si>
    <t>0.17*905*836.5 T4 2.8/2.8</t>
  </si>
  <si>
    <t>TJTW-74-4 BOOKING</t>
  </si>
  <si>
    <t>177KKNPPXTNN4395</t>
  </si>
  <si>
    <t>TJTW-74-5 BOOKING</t>
  </si>
  <si>
    <t>CANCEL</t>
  </si>
  <si>
    <t>TJTW-74-1</t>
  </si>
  <si>
    <t>TJTW-999</t>
  </si>
  <si>
    <t>0.18*905*669.5 T4 2.8/2.8</t>
  </si>
  <si>
    <t>TJTW-74-1 BOOKING</t>
  </si>
  <si>
    <t>0.17*730*857 T4 2.8/2.8 
0.17*818*913 T4 2.8/2.8 
0.18*900*712 T3 2.8/2.8 
0.17*905*836.5 T4 2.8/2.8
0.18*905*836.5 T4 2.8/2.8 
0.18*822*764.2 T4 2.8/2.8
0.18*905*669.5 T4 2.8/2.8</t>
  </si>
  <si>
    <t>10/09/2025-10/10/2025</t>
  </si>
  <si>
    <t>TJTW-75</t>
  </si>
  <si>
    <t>ZM20250708-A2</t>
  </si>
  <si>
    <t>TJTW-75-6 BOOKING</t>
  </si>
  <si>
    <t>177KKNPPXTNN4391</t>
  </si>
  <si>
    <t>INTW-10</t>
  </si>
  <si>
    <t>ZM20250710-A1</t>
  </si>
  <si>
    <t>INTW-10-1</t>
  </si>
  <si>
    <t>Easy open end diam.98.9mm #401</t>
  </si>
  <si>
    <t>FITFWXVVO02548</t>
  </si>
  <si>
    <t>22/07/2025</t>
  </si>
  <si>
    <t>INTW-11</t>
  </si>
  <si>
    <t>SE diametr 70мм thickness  0,19 GOLD/Alu+ Gold</t>
  </si>
  <si>
    <t>ZM20250718-A1</t>
  </si>
  <si>
    <t>FITFWXVVO02631</t>
  </si>
  <si>
    <t>TJTW-76</t>
  </si>
  <si>
    <t>0.18*862*783 2.8/2.8 T5</t>
  </si>
  <si>
    <t>ZM20250716-A1</t>
  </si>
  <si>
    <t>TJN0768320</t>
  </si>
  <si>
    <t>177GVBEAXTEN4472</t>
  </si>
  <si>
    <t>TJTW-76-4</t>
  </si>
  <si>
    <t>XM251100182</t>
  </si>
  <si>
    <t>0.20*892*808.4 2.8/2.8 T3</t>
  </si>
  <si>
    <t>jhl2025-7-18</t>
  </si>
  <si>
    <t>0.15*890*917 1.0/1.0 DR9</t>
  </si>
  <si>
    <t>rest</t>
  </si>
  <si>
    <t>18/07/2025</t>
  </si>
  <si>
    <t>0.18*862*783 2.8/2.8 T5
0.18*890*807.3 2.8/2.8 T5
0.17*944*795 2.8/2.8 T4
0.20*892*808.4 2.8/2.8 T3 
0.15*868*872.4 1.0/1.0 DR9
0.15*890*917 1.0/1.0 DR9</t>
  </si>
  <si>
    <t>TJTW-77</t>
  </si>
  <si>
    <t>0.16*875*C DR8.5 2.0/2.0</t>
  </si>
  <si>
    <t>jh12025-7-24</t>
  </si>
  <si>
    <t>0.16*820*C T4 2.0/2.0</t>
  </si>
  <si>
    <t>0.17*807*C DR8.5 2.0/2.0</t>
  </si>
  <si>
    <t>0.16*875*C DR8.5 2.0/2.0 
0.16*820*C T4 2.0/2.0 
0.17*807*C DR8.5 2.0/2.0</t>
  </si>
  <si>
    <t>PT-4</t>
  </si>
  <si>
    <t>TFS 0.21*907*868 DR8 СА 2.8/2.8</t>
  </si>
  <si>
    <t>ZM20250726-A1</t>
  </si>
  <si>
    <t>Novorossiysk</t>
  </si>
  <si>
    <t>FPXNVSC01508</t>
  </si>
  <si>
    <t>0.17*1057*900 DR7.5 СА 2.8/2.8</t>
  </si>
  <si>
    <t>0.18*1013*931 DR8 СА 2.8/2.8</t>
  </si>
  <si>
    <t>TFS 0.21*907*868 DR8 СА 2.8/2.8
0.17*1057*900 DR7.5 СА 2.8/2.8
0.18*1013*931 DR8 СА 2.8/2.8</t>
  </si>
  <si>
    <t>TECNOCAP</t>
  </si>
  <si>
    <t>TJTW-78</t>
  </si>
  <si>
    <t>0.17*784*1040 2.0/2.0 DR9</t>
  </si>
  <si>
    <t>jh12025-7-29</t>
  </si>
  <si>
    <t>0.17*910*1071 2.0/2.0 DR9</t>
  </si>
  <si>
    <t>0.17*784*1040 2.0/2.0 DR9
0.17*910*1071 2.0/2.0 DR9</t>
  </si>
  <si>
    <t>TINEX</t>
  </si>
  <si>
    <t>TJTW-79</t>
  </si>
  <si>
    <t>0.155*931*927 2.0/2.0 TH620</t>
  </si>
  <si>
    <t>jh12025-7-31</t>
  </si>
  <si>
    <t>0.155*963*960 2.0/2.0 TH620</t>
  </si>
  <si>
    <t>0.155*931*927 2.0/2.0 TH620 
0.155*963*960 2.0/2.0 TH620</t>
  </si>
  <si>
    <t>NBE-9</t>
  </si>
  <si>
    <t>0,18x928x735 1.5/1.5 T4 Lito</t>
  </si>
  <si>
    <t>ZM20250808-A2</t>
  </si>
  <si>
    <t>/</t>
  </si>
  <si>
    <t>ETP 0,18x850x735 1.5/1.5 T2,5</t>
  </si>
  <si>
    <t>0,18x945x712 1.5/1.5 T4 Lito</t>
  </si>
  <si>
    <t>0,22x960x712 1.5/1.5 T2,5</t>
  </si>
  <si>
    <t>ETP 0,22x960x712 1.5/1.5 T2,5</t>
  </si>
  <si>
    <t>be pending</t>
  </si>
  <si>
    <t>0,18x1040x826 1.5/1.5 T4 Lito</t>
  </si>
  <si>
    <t>0,18x1040x765 1.5/1.5 T4 Lito</t>
  </si>
  <si>
    <t>ETP 0,22x765x1040 1.5/1.5 T2,5</t>
  </si>
  <si>
    <t>0,18x765x1040  1.5/1.5 T2,5</t>
  </si>
  <si>
    <t>0,20x972x815  1.5/1.5 T3 Lito</t>
  </si>
  <si>
    <t>0,23x905x720  1.5/1.5 T2,5</t>
  </si>
  <si>
    <t>0,19x882x712 1.5/1.5 T2,5</t>
  </si>
  <si>
    <t>TJTW-80</t>
  </si>
  <si>
    <t>0.18*905*be pending 2.8/2.8 T4</t>
  </si>
  <si>
    <t>ZM20250802-A1</t>
  </si>
  <si>
    <t>0.17*905*be pending 2.8/2.8 T4</t>
  </si>
  <si>
    <t>0.18*822*764.2 2.8/2.8 T4</t>
  </si>
  <si>
    <t>0.17*818*913 2.8/2.8 T4</t>
  </si>
  <si>
    <t>TJTW-81</t>
  </si>
  <si>
    <t>EOE.99.8mm 0.22 #401</t>
  </si>
  <si>
    <t>TJTW-82</t>
  </si>
  <si>
    <t>ZM20250806-A1</t>
  </si>
  <si>
    <t>PT-5</t>
  </si>
  <si>
    <r>
      <rPr>
        <sz val="11"/>
        <color theme="1"/>
        <rFont val="Calibri"/>
        <charset val="134"/>
      </rPr>
      <t>0.18*800*924 Т5</t>
    </r>
    <r>
      <rPr>
        <sz val="11"/>
        <color theme="1"/>
        <rFont val="宋体"/>
        <charset val="204"/>
      </rPr>
      <t>（</t>
    </r>
    <r>
      <rPr>
        <sz val="11"/>
        <color theme="1"/>
        <rFont val="Calibri"/>
        <charset val="134"/>
      </rPr>
      <t>TH435</t>
    </r>
    <r>
      <rPr>
        <sz val="11"/>
        <color theme="1"/>
        <rFont val="宋体"/>
        <charset val="204"/>
      </rPr>
      <t>）</t>
    </r>
    <r>
      <rPr>
        <sz val="11"/>
        <color theme="1"/>
        <rFont val="Calibri"/>
        <charset val="134"/>
      </rPr>
      <t>2.0/2.0</t>
    </r>
  </si>
  <si>
    <t>ZM20250730-A1</t>
  </si>
  <si>
    <t>FITFWXVVO02823</t>
  </si>
  <si>
    <t>PT-6</t>
  </si>
  <si>
    <t>ZM20250802-A2</t>
  </si>
  <si>
    <t>FITFFXVVO00163</t>
  </si>
  <si>
    <r>
      <rPr>
        <sz val="11"/>
        <color theme="1"/>
        <rFont val="Calibri"/>
        <charset val="134"/>
      </rPr>
      <t>0.18*800*944 Т5</t>
    </r>
    <r>
      <rPr>
        <sz val="11"/>
        <color theme="1"/>
        <rFont val="宋体"/>
        <charset val="204"/>
      </rPr>
      <t>（</t>
    </r>
    <r>
      <rPr>
        <sz val="11"/>
        <color theme="1"/>
        <rFont val="Calibri"/>
        <charset val="134"/>
      </rPr>
      <t>TH435</t>
    </r>
    <r>
      <rPr>
        <sz val="11"/>
        <color theme="1"/>
        <rFont val="宋体"/>
        <charset val="204"/>
      </rPr>
      <t>）</t>
    </r>
    <r>
      <rPr>
        <sz val="11"/>
        <color theme="1"/>
        <rFont val="Calibri"/>
        <charset val="134"/>
      </rPr>
      <t>2.0/2.0</t>
    </r>
  </si>
  <si>
    <r>
      <rPr>
        <sz val="11"/>
        <color theme="1"/>
        <rFont val="Calibri"/>
        <charset val="134"/>
      </rPr>
      <t>0.18*860*944 Т5</t>
    </r>
    <r>
      <rPr>
        <sz val="11"/>
        <color theme="1"/>
        <rFont val="宋体"/>
        <charset val="204"/>
      </rPr>
      <t>（</t>
    </r>
    <r>
      <rPr>
        <sz val="11"/>
        <color theme="1"/>
        <rFont val="Calibri"/>
        <charset val="134"/>
      </rPr>
      <t>TH435</t>
    </r>
    <r>
      <rPr>
        <sz val="11"/>
        <color theme="1"/>
        <rFont val="宋体"/>
        <charset val="204"/>
      </rPr>
      <t>）</t>
    </r>
    <r>
      <rPr>
        <sz val="11"/>
        <color theme="1"/>
        <rFont val="Calibri"/>
        <charset val="134"/>
      </rPr>
      <t>2.0/2.0</t>
    </r>
  </si>
  <si>
    <t>INT</t>
  </si>
  <si>
    <t>TJTW-83</t>
  </si>
  <si>
    <t>0.30*790*855 2.0/2.0 T3 BA</t>
  </si>
  <si>
    <t>jh12025-8-22</t>
  </si>
  <si>
    <t>BOOKED</t>
  </si>
  <si>
    <t>177KKNPPXTNN4396</t>
  </si>
  <si>
    <t>0.30*770*850 2.0/2.0 T3 BA</t>
  </si>
  <si>
    <t>0.30*1000*665 2.0/2.0 T3 BA</t>
  </si>
  <si>
    <t>0.30*960*640 2.0/2.0 T3 BA</t>
  </si>
  <si>
    <t>SPC</t>
  </si>
  <si>
    <t>TW 2025-08-18/1</t>
  </si>
  <si>
    <t>TJTW-85</t>
  </si>
  <si>
    <t>0.20*963*837.5 2.8/2.8 T3BA</t>
  </si>
  <si>
    <t>ZM20250814-A2</t>
  </si>
  <si>
    <t>QN25100193</t>
  </si>
  <si>
    <t>0.18*870*946 2.0/2.0 T3BA</t>
  </si>
  <si>
    <t>QN25110107</t>
  </si>
  <si>
    <t>0.20*875*890 2.0/2.0 T3BA</t>
  </si>
  <si>
    <t>暂无</t>
  </si>
  <si>
    <t>0.22*875*975 2.0/2.0 T3BA</t>
  </si>
  <si>
    <t>0.22*870*860 2.0/2.0 T3BA</t>
  </si>
  <si>
    <t>TJTW-86</t>
  </si>
  <si>
    <t>0.16*892*808.4 2.0/2.0 T4BA</t>
  </si>
  <si>
    <t>ZM20250819-A2</t>
  </si>
  <si>
    <t>TJN0804473</t>
  </si>
  <si>
    <t>ZN</t>
  </si>
  <si>
    <t>TJTW-999-1</t>
  </si>
  <si>
    <t>INTW-12</t>
  </si>
  <si>
    <t>ZM20250823-A1</t>
  </si>
  <si>
    <t>TJTW-87</t>
  </si>
  <si>
    <t>EOE 98.9mm 0.21 #401</t>
  </si>
  <si>
    <t>ZM20250827-A1</t>
  </si>
  <si>
    <t>TJN0766795</t>
  </si>
  <si>
    <t>ZM20250825-A1</t>
  </si>
  <si>
    <t>TJTW-88</t>
  </si>
  <si>
    <t>ZM20250904-A1</t>
  </si>
  <si>
    <t>INTW-13</t>
  </si>
  <si>
    <t>INTW-13-1</t>
  </si>
  <si>
    <t>stp</t>
  </si>
  <si>
    <t>INTW-13-2</t>
  </si>
  <si>
    <t>INTW-13-3</t>
  </si>
  <si>
    <t>TJTW-89</t>
  </si>
  <si>
    <t>EOE diam.98.9mm #401</t>
  </si>
  <si>
    <t>ZM20250918-A2</t>
  </si>
  <si>
    <t>TJN0787920</t>
  </si>
  <si>
    <t>EOE diam.98.9mm #307</t>
  </si>
  <si>
    <t>#401  #307 EOE</t>
  </si>
  <si>
    <t>SKARDA</t>
  </si>
  <si>
    <t>TW 2025-09-18</t>
  </si>
  <si>
    <t>TJTW-90</t>
  </si>
  <si>
    <t>0.18*862*783 T5BA 2.8/2.8</t>
  </si>
  <si>
    <t>ZM20250919-A</t>
  </si>
  <si>
    <t>#TN#1071563469</t>
  </si>
  <si>
    <t>0.18*890*807.3 T5BA 2.8/2.8</t>
  </si>
  <si>
    <t>#TN#1071563833</t>
  </si>
  <si>
    <t>0.17*944*795 T4BA 2.8/2.8</t>
  </si>
  <si>
    <t>0.16*892*808.4 T4BA 2.0/2.0</t>
  </si>
  <si>
    <t>#TN#1071578177</t>
  </si>
  <si>
    <t>17/01/2026 MSC</t>
  </si>
  <si>
    <t>18/01/2025 Maersk</t>
  </si>
  <si>
    <t>0.15*868*872.4 DR9BA 1.0/1.0</t>
  </si>
  <si>
    <t>0.15*890*917 DR9BA 1.0/1.0</t>
  </si>
  <si>
    <t>LB</t>
  </si>
  <si>
    <t>TJTW-91</t>
  </si>
  <si>
    <t>0.24*1023*954 2.0/2.0 T3 FF6716-5</t>
  </si>
  <si>
    <t>ZM20250924-A</t>
  </si>
  <si>
    <t>TN#1070866273</t>
  </si>
  <si>
    <t>0.24*1023*954 2.0/2.0 T3 MN7715-5</t>
  </si>
  <si>
    <t>0.24*1023*954 2.0/2.0 T3 FF6719-5</t>
  </si>
  <si>
    <t>0.24*1023*954 2.0/2.0 T3 FF6717-5</t>
  </si>
  <si>
    <t>0.25*748*953.5 Sheets T3 2.0/2.0 BA</t>
  </si>
  <si>
    <t>ZM20251024-A</t>
  </si>
  <si>
    <t>0.24*1023*954 2.0/2.0 T3</t>
  </si>
  <si>
    <t>INTW-14</t>
  </si>
  <si>
    <t>Can making mold spare part</t>
  </si>
  <si>
    <t>INTW-15</t>
  </si>
  <si>
    <t>EOE 99.8 0.21 #401 multicolor/многоцветная</t>
  </si>
  <si>
    <t>ZM20251105-A2</t>
  </si>
  <si>
    <t>FITFFXVVO00204</t>
  </si>
  <si>
    <t>EOE 99.8 0.21 #401 monochroic/одноцветная</t>
  </si>
  <si>
    <t>ZM20251005-A2</t>
  </si>
  <si>
    <t>SE*2 diam.98.9mm #401 0.20 T4</t>
  </si>
  <si>
    <t>ZM20251106-A2</t>
  </si>
  <si>
    <t>INTW-17</t>
  </si>
  <si>
    <t>SE*2 diam.70mm #214 0.19 T5</t>
  </si>
  <si>
    <t>ZM20251005-A1</t>
  </si>
  <si>
    <t>TW 2025-10-08</t>
  </si>
  <si>
    <t>TJTW-93</t>
  </si>
  <si>
    <t>0.18x862x782 Scroll Sheets T5 2.8/2.8 Stone, BA</t>
  </si>
  <si>
    <t>ZM20251007-A</t>
  </si>
  <si>
    <t>0.18x890x807.3 Scroll sheets T5 2.8/2.8 Stone, BA</t>
  </si>
  <si>
    <t>0,17x944x795 Sheets T4 2.8/2.8 Stone, BA</t>
  </si>
  <si>
    <t>0,16x892x808.4 Scroll Sheets T4 2.0/2.0 Stone, BA</t>
  </si>
  <si>
    <t>jhl2025-10-09</t>
  </si>
  <si>
    <t>0,15x868x872.4 Scroll Sheets DR 9 1.0/1.0 Stone, BA</t>
  </si>
  <si>
    <t>0,15x890x917 Scroll Sheets DR 9 1.0/1.0 Stone, BA</t>
  </si>
  <si>
    <t>INTW-18</t>
  </si>
  <si>
    <t>D45 CONE AND DOME</t>
  </si>
  <si>
    <t>聊城坤和</t>
  </si>
  <si>
    <t>KH2025101301</t>
  </si>
  <si>
    <t>INTEX</t>
  </si>
  <si>
    <t>TJTW-92</t>
  </si>
  <si>
    <t>0.30*790*850 2.0/2.0 T3</t>
  </si>
  <si>
    <t>177KKNPPXTNN4895</t>
  </si>
  <si>
    <t>0.32*940*850 2.0/2.0 T3</t>
  </si>
  <si>
    <t>TJTW-94</t>
  </si>
  <si>
    <t>0.18*788*982 2.8/2.8 T3</t>
  </si>
  <si>
    <t>ZM20251020-B</t>
  </si>
  <si>
    <t>#TN#1071521168</t>
  </si>
  <si>
    <t>04/01/2026 MSC</t>
  </si>
  <si>
    <t>NBE-10-1</t>
  </si>
  <si>
    <t>0,22x960x712 2.0/2.0 T3 with lamination</t>
  </si>
  <si>
    <t>ZM20251020-A2</t>
  </si>
  <si>
    <t>0,22x1040x765 2.0/2.0 T3 with lamination</t>
  </si>
  <si>
    <t>0,23x905x720 2.0/2.0 T3 with lamination</t>
  </si>
  <si>
    <t>NBE-10-2</t>
  </si>
  <si>
    <t>0,18x1040x826 2.0/2.0 T4 with lamination</t>
  </si>
  <si>
    <t>0,18x1040x765 2.0/2.0 T4 with lamination</t>
  </si>
  <si>
    <t>0,18x765x1040  2.0/2.0 T3 with lamination</t>
  </si>
  <si>
    <t>0,20x882x712 2.0/2.0 T3 with lamination</t>
  </si>
  <si>
    <t>NBE-10-3</t>
  </si>
  <si>
    <t>0,18x928x735 2.0/2.0 T4</t>
  </si>
  <si>
    <t>0,18x850x735 2.0/2.0 T3</t>
  </si>
  <si>
    <t>0,22x960x712 2.0/2.0 T3</t>
  </si>
  <si>
    <t>0,18x1040x765 2.0/2.0 T4</t>
  </si>
  <si>
    <t>0,22x765x1040 2.0/2.0 T3</t>
  </si>
  <si>
    <t>0,21x765x1040 2.0/2.0 T3</t>
  </si>
  <si>
    <t>0,23x905x720 2.0/2.0 T3</t>
  </si>
  <si>
    <t>0,23x1040x850 2.0/2.0 T3</t>
  </si>
  <si>
    <t>0,24x914x758 2.0/2.0 T2.5</t>
  </si>
  <si>
    <t>0,24x1040x824 2.0/2.0 T2.5</t>
  </si>
  <si>
    <t>NBE-10-4</t>
  </si>
  <si>
    <t>0,30x850x735 2.0/2.0 T2.5</t>
  </si>
  <si>
    <t>0,31x712x705 2.0/2.0 T2.5</t>
  </si>
  <si>
    <t>0,30x900x882 2.0/2.0 T2.5</t>
  </si>
  <si>
    <t>0,31x712х960 2.0/2.0 T2.5</t>
  </si>
  <si>
    <t>0,35x712х670 2.0/2.0 T2.5</t>
  </si>
  <si>
    <t>0,35x712х860 2.0/2.0 T2.5</t>
  </si>
  <si>
    <t>NBE-10-5</t>
  </si>
  <si>
    <t>ZM20251205-A2</t>
  </si>
  <si>
    <t>NBE-10</t>
  </si>
  <si>
    <t>TW 2025-08-18 2</t>
  </si>
  <si>
    <t>TJTW-85/2</t>
  </si>
  <si>
    <t>0.22*740*823 Scroll Т3 2.0/2.0</t>
  </si>
  <si>
    <t>ZM20251031-A</t>
  </si>
  <si>
    <t>TCNCP</t>
  </si>
  <si>
    <t>TJTW-95</t>
  </si>
  <si>
    <t>jhl2025-11-07</t>
  </si>
  <si>
    <t>#TN#1071577166</t>
  </si>
  <si>
    <t>18/01/2026 MAERSK</t>
  </si>
  <si>
    <t>ОКЗ</t>
  </si>
  <si>
    <t>TJTW-96</t>
  </si>
  <si>
    <t>0.22*792*652  Т3 5.6/2.8</t>
  </si>
  <si>
    <t>ZM20251107-A</t>
  </si>
  <si>
    <t>Varnished electrogalvanized steel 0.37*31.8*C DR7</t>
  </si>
  <si>
    <t>ZM20251107-B</t>
  </si>
  <si>
    <t>TJTW-99</t>
  </si>
  <si>
    <t>jhl2025-11-06</t>
  </si>
  <si>
    <t>TN#1071085970</t>
  </si>
  <si>
    <t>ETL</t>
  </si>
  <si>
    <t>TJTW-98</t>
  </si>
  <si>
    <t>0.20*865*1070 T3 2.0/2.0</t>
  </si>
  <si>
    <t>ZM20251107-C</t>
  </si>
  <si>
    <t>0.22*972*712 T3 2.0/2.0</t>
  </si>
  <si>
    <t>0.19*950*C T3 2.0/2.0</t>
  </si>
  <si>
    <t>PT-7</t>
  </si>
  <si>
    <t>ETP 0.17*1057*900 DR7.5 СА 2.8/2.8</t>
  </si>
  <si>
    <t>ZM2025110801</t>
  </si>
  <si>
    <t>TFS 0.21*868*907 DR8 СА</t>
  </si>
  <si>
    <t>ZM2025110802</t>
  </si>
  <si>
    <r>
      <rPr>
        <sz val="11"/>
        <color theme="1"/>
        <rFont val="Calibri"/>
        <charset val="134"/>
      </rPr>
      <t>0.17, 26</t>
    </r>
    <r>
      <rPr>
        <sz val="11"/>
        <color theme="1"/>
        <rFont val="宋体"/>
        <charset val="204"/>
      </rPr>
      <t>年</t>
    </r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204"/>
      </rPr>
      <t>月交货</t>
    </r>
  </si>
  <si>
    <t>TFS 0.18*1013*931 DR8 СА</t>
  </si>
  <si>
    <r>
      <rPr>
        <sz val="11"/>
        <color theme="1"/>
        <rFont val="Calibri"/>
        <charset val="134"/>
      </rPr>
      <t>0.18, 26</t>
    </r>
    <r>
      <rPr>
        <sz val="11"/>
        <color theme="1"/>
        <rFont val="宋体"/>
        <charset val="204"/>
      </rPr>
      <t>年</t>
    </r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204"/>
      </rPr>
      <t>月交货</t>
    </r>
  </si>
  <si>
    <r>
      <rPr>
        <sz val="11"/>
        <color theme="1"/>
        <rFont val="Calibri"/>
        <charset val="134"/>
      </rPr>
      <t>0.21, 26</t>
    </r>
    <r>
      <rPr>
        <sz val="11"/>
        <color theme="1"/>
        <rFont val="宋体"/>
        <charset val="204"/>
      </rPr>
      <t>年</t>
    </r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204"/>
      </rPr>
      <t>月交货</t>
    </r>
  </si>
  <si>
    <t>ZM20251126-2</t>
  </si>
  <si>
    <r>
      <rPr>
        <sz val="11"/>
        <color theme="1"/>
        <rFont val="Calibri"/>
        <charset val="134"/>
      </rPr>
      <t>0.17, 26</t>
    </r>
    <r>
      <rPr>
        <sz val="11"/>
        <color theme="1"/>
        <rFont val="宋体"/>
        <charset val="204"/>
      </rPr>
      <t>年</t>
    </r>
    <r>
      <rPr>
        <sz val="11"/>
        <color theme="1"/>
        <rFont val="Calibri"/>
        <charset val="134"/>
      </rPr>
      <t>2</t>
    </r>
    <r>
      <rPr>
        <sz val="11"/>
        <color theme="1"/>
        <rFont val="宋体"/>
        <charset val="204"/>
      </rPr>
      <t>月交货</t>
    </r>
  </si>
  <si>
    <r>
      <rPr>
        <sz val="11"/>
        <color theme="1"/>
        <rFont val="Calibri"/>
        <charset val="134"/>
      </rPr>
      <t>0.18, 26</t>
    </r>
    <r>
      <rPr>
        <sz val="11"/>
        <color theme="1"/>
        <rFont val="宋体"/>
        <charset val="204"/>
      </rPr>
      <t>年</t>
    </r>
    <r>
      <rPr>
        <sz val="11"/>
        <color theme="1"/>
        <rFont val="Calibri"/>
        <charset val="134"/>
      </rPr>
      <t>2</t>
    </r>
    <r>
      <rPr>
        <sz val="11"/>
        <color theme="1"/>
        <rFont val="宋体"/>
        <charset val="204"/>
      </rPr>
      <t>月交货</t>
    </r>
  </si>
  <si>
    <r>
      <rPr>
        <sz val="11"/>
        <color theme="1"/>
        <rFont val="Calibri"/>
        <charset val="134"/>
      </rPr>
      <t>0.21, 26</t>
    </r>
    <r>
      <rPr>
        <sz val="11"/>
        <color theme="1"/>
        <rFont val="宋体"/>
        <charset val="204"/>
      </rPr>
      <t>年</t>
    </r>
    <r>
      <rPr>
        <sz val="11"/>
        <color theme="1"/>
        <rFont val="Calibri"/>
        <charset val="134"/>
      </rPr>
      <t>2</t>
    </r>
    <r>
      <rPr>
        <sz val="11"/>
        <color theme="1"/>
        <rFont val="宋体"/>
        <charset val="204"/>
      </rPr>
      <t>月交货</t>
    </r>
  </si>
  <si>
    <t>ZM20251126-3</t>
  </si>
  <si>
    <r>
      <rPr>
        <sz val="11"/>
        <color theme="1"/>
        <rFont val="Calibri"/>
        <charset val="134"/>
      </rPr>
      <t>0.17, 26</t>
    </r>
    <r>
      <rPr>
        <sz val="11"/>
        <color theme="1"/>
        <rFont val="宋体"/>
        <charset val="204"/>
      </rPr>
      <t>年</t>
    </r>
    <r>
      <rPr>
        <sz val="11"/>
        <color theme="1"/>
        <rFont val="Calibri"/>
        <charset val="134"/>
      </rPr>
      <t>3</t>
    </r>
    <r>
      <rPr>
        <sz val="11"/>
        <color theme="1"/>
        <rFont val="宋体"/>
        <charset val="204"/>
      </rPr>
      <t>月交货</t>
    </r>
  </si>
  <si>
    <t>ETP 0.18*1013*931 DR8 СА</t>
  </si>
  <si>
    <r>
      <rPr>
        <sz val="11"/>
        <color theme="1"/>
        <rFont val="Calibri"/>
        <charset val="134"/>
      </rPr>
      <t>0.18, 26</t>
    </r>
    <r>
      <rPr>
        <sz val="11"/>
        <color theme="1"/>
        <rFont val="宋体"/>
        <charset val="204"/>
      </rPr>
      <t>年</t>
    </r>
    <r>
      <rPr>
        <sz val="11"/>
        <color theme="1"/>
        <rFont val="Calibri"/>
        <charset val="134"/>
      </rPr>
      <t>3</t>
    </r>
    <r>
      <rPr>
        <sz val="11"/>
        <color theme="1"/>
        <rFont val="宋体"/>
        <charset val="204"/>
      </rPr>
      <t>月交货</t>
    </r>
  </si>
  <si>
    <r>
      <rPr>
        <sz val="11"/>
        <color theme="1"/>
        <rFont val="Calibri"/>
        <charset val="134"/>
      </rPr>
      <t>0.21, 26</t>
    </r>
    <r>
      <rPr>
        <sz val="11"/>
        <color theme="1"/>
        <rFont val="宋体"/>
        <charset val="204"/>
      </rPr>
      <t>年</t>
    </r>
    <r>
      <rPr>
        <sz val="11"/>
        <color theme="1"/>
        <rFont val="Calibri"/>
        <charset val="134"/>
      </rPr>
      <t>3</t>
    </r>
    <r>
      <rPr>
        <sz val="11"/>
        <color theme="1"/>
        <rFont val="宋体"/>
        <charset val="204"/>
      </rPr>
      <t>月交货</t>
    </r>
  </si>
  <si>
    <t>ZM20251126-4</t>
  </si>
  <si>
    <r>
      <rPr>
        <sz val="11"/>
        <color theme="1"/>
        <rFont val="Calibri"/>
        <charset val="134"/>
      </rPr>
      <t>0.17, 26</t>
    </r>
    <r>
      <rPr>
        <sz val="11"/>
        <color theme="1"/>
        <rFont val="宋体"/>
        <charset val="204"/>
      </rPr>
      <t>年</t>
    </r>
    <r>
      <rPr>
        <sz val="11"/>
        <color theme="1"/>
        <rFont val="Calibri"/>
        <charset val="134"/>
      </rPr>
      <t>4</t>
    </r>
    <r>
      <rPr>
        <sz val="11"/>
        <color theme="1"/>
        <rFont val="宋体"/>
        <charset val="204"/>
      </rPr>
      <t>月交货</t>
    </r>
  </si>
  <si>
    <r>
      <rPr>
        <sz val="11"/>
        <color theme="1"/>
        <rFont val="Calibri"/>
        <charset val="134"/>
      </rPr>
      <t>0.18, 26</t>
    </r>
    <r>
      <rPr>
        <sz val="11"/>
        <color theme="1"/>
        <rFont val="宋体"/>
        <charset val="204"/>
      </rPr>
      <t>年</t>
    </r>
    <r>
      <rPr>
        <sz val="11"/>
        <color theme="1"/>
        <rFont val="Calibri"/>
        <charset val="134"/>
      </rPr>
      <t>4</t>
    </r>
    <r>
      <rPr>
        <sz val="11"/>
        <color theme="1"/>
        <rFont val="宋体"/>
        <charset val="204"/>
      </rPr>
      <t>月交货</t>
    </r>
  </si>
  <si>
    <r>
      <rPr>
        <sz val="11"/>
        <color theme="1"/>
        <rFont val="Calibri"/>
        <charset val="134"/>
      </rPr>
      <t>0.21, 26</t>
    </r>
    <r>
      <rPr>
        <sz val="11"/>
        <color theme="1"/>
        <rFont val="宋体"/>
        <charset val="204"/>
      </rPr>
      <t>年</t>
    </r>
    <r>
      <rPr>
        <sz val="11"/>
        <color theme="1"/>
        <rFont val="Calibri"/>
        <charset val="134"/>
      </rPr>
      <t>4</t>
    </r>
    <r>
      <rPr>
        <sz val="11"/>
        <color theme="1"/>
        <rFont val="宋体"/>
        <charset val="204"/>
      </rPr>
      <t>月交货</t>
    </r>
  </si>
  <si>
    <t>ZM20251126-5</t>
  </si>
  <si>
    <r>
      <rPr>
        <sz val="11"/>
        <color theme="1"/>
        <rFont val="Calibri"/>
        <charset val="134"/>
      </rPr>
      <t>0.17, 26</t>
    </r>
    <r>
      <rPr>
        <sz val="11"/>
        <color theme="1"/>
        <rFont val="宋体"/>
        <charset val="204"/>
      </rPr>
      <t>年</t>
    </r>
    <r>
      <rPr>
        <sz val="11"/>
        <color theme="1"/>
        <rFont val="Calibri"/>
        <charset val="134"/>
      </rPr>
      <t>5</t>
    </r>
    <r>
      <rPr>
        <sz val="11"/>
        <color theme="1"/>
        <rFont val="宋体"/>
        <charset val="204"/>
      </rPr>
      <t>月交货</t>
    </r>
  </si>
  <si>
    <r>
      <rPr>
        <sz val="11"/>
        <color theme="1"/>
        <rFont val="Calibri"/>
        <charset val="134"/>
      </rPr>
      <t>0.18, 26</t>
    </r>
    <r>
      <rPr>
        <sz val="11"/>
        <color theme="1"/>
        <rFont val="宋体"/>
        <charset val="204"/>
      </rPr>
      <t>年</t>
    </r>
    <r>
      <rPr>
        <sz val="11"/>
        <color theme="1"/>
        <rFont val="Calibri"/>
        <charset val="134"/>
      </rPr>
      <t>5</t>
    </r>
    <r>
      <rPr>
        <sz val="11"/>
        <color theme="1"/>
        <rFont val="宋体"/>
        <charset val="204"/>
      </rPr>
      <t>月交货</t>
    </r>
  </si>
  <si>
    <r>
      <rPr>
        <sz val="11"/>
        <color theme="1"/>
        <rFont val="Calibri"/>
        <charset val="134"/>
      </rPr>
      <t>0.21, 26</t>
    </r>
    <r>
      <rPr>
        <sz val="11"/>
        <color theme="1"/>
        <rFont val="宋体"/>
        <charset val="204"/>
      </rPr>
      <t>年</t>
    </r>
    <r>
      <rPr>
        <sz val="11"/>
        <color theme="1"/>
        <rFont val="Calibri"/>
        <charset val="134"/>
      </rPr>
      <t>5</t>
    </r>
    <r>
      <rPr>
        <sz val="11"/>
        <color theme="1"/>
        <rFont val="宋体"/>
        <charset val="204"/>
      </rPr>
      <t>月交货</t>
    </r>
  </si>
  <si>
    <t>ZM20251126-6</t>
  </si>
  <si>
    <r>
      <rPr>
        <sz val="11"/>
        <color theme="1"/>
        <rFont val="Calibri"/>
        <charset val="134"/>
      </rPr>
      <t>0.17, 26</t>
    </r>
    <r>
      <rPr>
        <sz val="11"/>
        <color theme="1"/>
        <rFont val="宋体"/>
        <charset val="204"/>
      </rPr>
      <t>年</t>
    </r>
    <r>
      <rPr>
        <sz val="11"/>
        <color theme="1"/>
        <rFont val="Calibri"/>
        <charset val="134"/>
      </rPr>
      <t>6</t>
    </r>
    <r>
      <rPr>
        <sz val="11"/>
        <color theme="1"/>
        <rFont val="宋体"/>
        <charset val="204"/>
      </rPr>
      <t>月交货</t>
    </r>
  </si>
  <si>
    <r>
      <rPr>
        <sz val="11"/>
        <color theme="1"/>
        <rFont val="Calibri"/>
        <charset val="134"/>
      </rPr>
      <t>0.18, 26</t>
    </r>
    <r>
      <rPr>
        <sz val="11"/>
        <color theme="1"/>
        <rFont val="宋体"/>
        <charset val="204"/>
      </rPr>
      <t>年</t>
    </r>
    <r>
      <rPr>
        <sz val="11"/>
        <color theme="1"/>
        <rFont val="Calibri"/>
        <charset val="134"/>
      </rPr>
      <t>6</t>
    </r>
    <r>
      <rPr>
        <sz val="11"/>
        <color theme="1"/>
        <rFont val="宋体"/>
        <charset val="204"/>
      </rPr>
      <t>月交货</t>
    </r>
  </si>
  <si>
    <r>
      <rPr>
        <sz val="11"/>
        <color theme="1"/>
        <rFont val="Calibri"/>
        <charset val="134"/>
      </rPr>
      <t>0.21, 26</t>
    </r>
    <r>
      <rPr>
        <sz val="11"/>
        <color theme="1"/>
        <rFont val="宋体"/>
        <charset val="204"/>
      </rPr>
      <t>年</t>
    </r>
    <r>
      <rPr>
        <sz val="11"/>
        <color theme="1"/>
        <rFont val="Calibri"/>
        <charset val="134"/>
      </rPr>
      <t>6</t>
    </r>
    <r>
      <rPr>
        <sz val="11"/>
        <color theme="1"/>
        <rFont val="宋体"/>
        <charset val="204"/>
      </rPr>
      <t>月交货</t>
    </r>
  </si>
  <si>
    <t>ZM20251126-7</t>
  </si>
  <si>
    <r>
      <rPr>
        <sz val="11"/>
        <color theme="1"/>
        <rFont val="Calibri"/>
        <charset val="134"/>
      </rPr>
      <t>0.17, 26</t>
    </r>
    <r>
      <rPr>
        <sz val="11"/>
        <color theme="1"/>
        <rFont val="宋体"/>
        <charset val="134"/>
      </rPr>
      <t>年</t>
    </r>
    <r>
      <rPr>
        <sz val="11"/>
        <color theme="1"/>
        <rFont val="Calibri"/>
        <charset val="134"/>
      </rPr>
      <t>7</t>
    </r>
    <r>
      <rPr>
        <sz val="11"/>
        <color theme="1"/>
        <rFont val="宋体"/>
        <charset val="134"/>
      </rPr>
      <t>月交货</t>
    </r>
  </si>
  <si>
    <r>
      <rPr>
        <sz val="11"/>
        <color theme="1"/>
        <rFont val="Calibri"/>
        <charset val="134"/>
      </rPr>
      <t>0.18, 26</t>
    </r>
    <r>
      <rPr>
        <sz val="11"/>
        <color theme="1"/>
        <rFont val="宋体"/>
        <charset val="134"/>
      </rPr>
      <t>年</t>
    </r>
    <r>
      <rPr>
        <sz val="11"/>
        <color theme="1"/>
        <rFont val="Calibri"/>
        <charset val="134"/>
      </rPr>
      <t>7</t>
    </r>
    <r>
      <rPr>
        <sz val="11"/>
        <color theme="1"/>
        <rFont val="宋体"/>
        <charset val="134"/>
      </rPr>
      <t>月交货</t>
    </r>
  </si>
  <si>
    <r>
      <rPr>
        <sz val="11"/>
        <color theme="1"/>
        <rFont val="Calibri"/>
        <charset val="134"/>
      </rPr>
      <t>0.21, 26</t>
    </r>
    <r>
      <rPr>
        <sz val="11"/>
        <color theme="1"/>
        <rFont val="宋体"/>
        <charset val="134"/>
      </rPr>
      <t>年</t>
    </r>
    <r>
      <rPr>
        <sz val="11"/>
        <color theme="1"/>
        <rFont val="Calibri"/>
        <charset val="134"/>
      </rPr>
      <t>7</t>
    </r>
    <r>
      <rPr>
        <sz val="11"/>
        <color theme="1"/>
        <rFont val="宋体"/>
        <charset val="134"/>
      </rPr>
      <t>月交货</t>
    </r>
  </si>
  <si>
    <t>TJTW-97</t>
  </si>
  <si>
    <t>ZM20250721-A2</t>
  </si>
  <si>
    <t>177KKNPPXTNN4792</t>
  </si>
  <si>
    <t>ZM20250721-A1</t>
  </si>
  <si>
    <t>TW 2025-11-12-1</t>
  </si>
  <si>
    <t>TJTW-100</t>
  </si>
  <si>
    <t>0.18*862*782 Scroll Sheets T5 2.8/2.8</t>
  </si>
  <si>
    <t>ZM20251117</t>
  </si>
  <si>
    <t xml:space="preserve">TN#1072661355 </t>
  </si>
  <si>
    <t>0.18*890*807.3 Scroll Sheets T5 2.8/2.8</t>
  </si>
  <si>
    <t>0.17*944*795 Sheets T4 2.8/2.8</t>
  </si>
  <si>
    <t>0.16*892*808.4 Scroll Sheets T4 2.0/2.0</t>
  </si>
  <si>
    <t>0.20*892*808.4 Scroll Sheets T3 2.8/2.8</t>
  </si>
  <si>
    <t>0.15*868*872.4 Scroll Sheets DR9 1.0/1.0</t>
  </si>
  <si>
    <t>jhl2025-11-17</t>
  </si>
  <si>
    <t>TJTW-101</t>
  </si>
  <si>
    <t>TFS EOE 72.9 BPAni FREE 300#</t>
  </si>
  <si>
    <t>ZM20251127-A1</t>
  </si>
  <si>
    <t>INTW-19</t>
  </si>
  <si>
    <t>INTW-19-1</t>
  </si>
  <si>
    <t>ZM20251203-A1</t>
  </si>
  <si>
    <t>INTW-19-2</t>
  </si>
  <si>
    <t>INTW-19-3</t>
  </si>
  <si>
    <t>INTW-19-4</t>
  </si>
  <si>
    <t>INTW-19-5</t>
  </si>
  <si>
    <t>INTW-19-6</t>
  </si>
  <si>
    <t>DDP</t>
  </si>
  <si>
    <t>TW 2025-12-02</t>
  </si>
  <si>
    <t>TJTW-102</t>
  </si>
  <si>
    <t>jhl2025-12-02</t>
  </si>
  <si>
    <t>0.16*824*1048 2.0/2.0 DR9</t>
  </si>
  <si>
    <t xml:space="preserve">TN#1072661785  </t>
  </si>
  <si>
    <t>TJTW-103</t>
  </si>
  <si>
    <t>jhl2025-12-05</t>
  </si>
  <si>
    <t>TJTW 2025-12-05</t>
  </si>
  <si>
    <t>TN#1072662449</t>
  </si>
  <si>
    <t>TJTW 2025-12-04</t>
  </si>
  <si>
    <t>KALMETA</t>
  </si>
  <si>
    <t>TJTW-104</t>
  </si>
  <si>
    <t>EOE 99.8mm 0.21 #401</t>
  </si>
  <si>
    <t>ZM20251217-A1</t>
  </si>
  <si>
    <t>TN#1071710694</t>
  </si>
  <si>
    <t>SPC_04</t>
  </si>
  <si>
    <t>TJTW-105</t>
  </si>
  <si>
    <t>0.30*728*1092 2.0/2.0 T3</t>
  </si>
  <si>
    <t>jhl2025-12-16</t>
  </si>
  <si>
    <t>0.30*770*850 2.0/2.0 T3</t>
  </si>
  <si>
    <t>TJTW-106</t>
  </si>
  <si>
    <t>0.16*875*C DR8.5 2.0/2.0 BA "eye to the side"</t>
  </si>
  <si>
    <t>jhl2025-12-19</t>
  </si>
  <si>
    <t>TN#1072321266</t>
  </si>
  <si>
    <t>TW 2025-12-22</t>
  </si>
  <si>
    <t>TJTW-107</t>
  </si>
  <si>
    <t>0.15*868*872.4 DR9 1.0/1.0</t>
  </si>
  <si>
    <t>jhl2025-12-22</t>
  </si>
  <si>
    <t>TN#1072509317</t>
  </si>
  <si>
    <t>0.17*944*795  T4 2.8/2.8</t>
  </si>
  <si>
    <t>ZM20251222-A</t>
  </si>
  <si>
    <t xml:space="preserve">TN#1073252596   </t>
  </si>
  <si>
    <t>0.20*892*808.4  T3 2.8/2.8</t>
  </si>
  <si>
    <t>TJTW-109</t>
  </si>
  <si>
    <t>YKG260106-A</t>
  </si>
  <si>
    <t>N232599749</t>
  </si>
  <si>
    <t>TW 2025-12-23</t>
  </si>
  <si>
    <t>varnish</t>
  </si>
  <si>
    <r>
      <rPr>
        <sz val="11"/>
        <color theme="1"/>
        <rFont val="Calibri"/>
        <charset val="134"/>
      </rPr>
      <t>Seaming chuck</t>
    </r>
    <r>
      <rPr>
        <sz val="11"/>
        <color theme="1"/>
        <rFont val="宋体"/>
        <charset val="134"/>
      </rPr>
      <t>压头</t>
    </r>
  </si>
  <si>
    <t>Seaming chuck压头</t>
  </si>
  <si>
    <r>
      <rPr>
        <sz val="11"/>
        <color theme="1"/>
        <rFont val="Calibri"/>
        <charset val="134"/>
      </rPr>
      <t>роликов первой операции</t>
    </r>
    <r>
      <rPr>
        <sz val="11"/>
        <color theme="1"/>
        <rFont val="宋体"/>
        <charset val="134"/>
      </rPr>
      <t>滚轮</t>
    </r>
  </si>
  <si>
    <t>роликов первой операции滚轮</t>
  </si>
  <si>
    <r>
      <rPr>
        <sz val="11"/>
        <color theme="1"/>
        <rFont val="Calibri"/>
        <charset val="134"/>
      </rPr>
      <t>роликов второй операции</t>
    </r>
    <r>
      <rPr>
        <sz val="11"/>
        <color theme="1"/>
        <rFont val="宋体"/>
        <charset val="134"/>
      </rPr>
      <t>滚轮</t>
    </r>
  </si>
  <si>
    <t>роликов второй операции滚轮</t>
  </si>
  <si>
    <t>TJTW-108</t>
  </si>
  <si>
    <t>TJTW-110</t>
  </si>
  <si>
    <t>ZM20260106-A1</t>
  </si>
  <si>
    <t>TN#1072321822</t>
  </si>
  <si>
    <t>TJTW-111</t>
  </si>
  <si>
    <t>EOE 99.8mm 0.21 #401(colored)</t>
  </si>
  <si>
    <t>ZM20260113-A2</t>
  </si>
  <si>
    <t>SHIPPED WITH 104-2</t>
  </si>
  <si>
    <t>TIN SERVIS</t>
  </si>
  <si>
    <t>No 13-08 Spec 3</t>
  </si>
  <si>
    <t>TJTW-112</t>
  </si>
  <si>
    <t>EOE diam.99mm #401</t>
  </si>
  <si>
    <t>ZM20260116-A2</t>
  </si>
  <si>
    <t>TN#1072872169</t>
  </si>
  <si>
    <t>EOE diam.83mm #307</t>
  </si>
  <si>
    <t>NBE-11</t>
  </si>
  <si>
    <t>ZM20260121-B</t>
  </si>
  <si>
    <t>MAGOL</t>
  </si>
  <si>
    <t>TJTW-113</t>
  </si>
  <si>
    <t>0.16*960*930 DR9 2.0/2.0</t>
  </si>
  <si>
    <t>jhl-2026-01-21</t>
  </si>
  <si>
    <t>waiting for ilya</t>
  </si>
  <si>
    <t>SPC_05</t>
  </si>
  <si>
    <t>TJTW-114</t>
  </si>
  <si>
    <t>0.30*770*850 T3 2.0/2.0</t>
  </si>
  <si>
    <t>jhl-2026-01-22</t>
  </si>
  <si>
    <t>INTW-20</t>
  </si>
  <si>
    <t>TW 2026-01-21</t>
  </si>
  <si>
    <t>TJTW-115</t>
  </si>
  <si>
    <t>0.20*963*837.5 1.5/1.5 T3BA</t>
  </si>
  <si>
    <t>ZM20260121-A1</t>
  </si>
  <si>
    <t>0.18*870*946 1.5/1.5 T3BA</t>
  </si>
  <si>
    <t>0.20*875*890 1.5/1.5 T3BA</t>
  </si>
  <si>
    <t>0.22*875*975 1.5/1.5 T3BA</t>
  </si>
  <si>
    <t>0.22*870*860 1.5/1.5 T3BA</t>
  </si>
  <si>
    <t>SPC_06</t>
  </si>
  <si>
    <t>TJTW-116</t>
  </si>
  <si>
    <t>jhl2026-02-02</t>
  </si>
  <si>
    <t>TN#1072683246</t>
  </si>
  <si>
    <t>TW 2026-02-03</t>
  </si>
  <si>
    <t>TJTW-117</t>
  </si>
  <si>
    <t>jhl2026-02-03</t>
  </si>
  <si>
    <t>TN#1072872567</t>
  </si>
  <si>
    <t>TJTW-118</t>
  </si>
  <si>
    <t>ZM20250209-A1</t>
  </si>
  <si>
    <t xml:space="preserve">TN#1073027774   </t>
  </si>
  <si>
    <t>ETALON</t>
  </si>
  <si>
    <t>TW 2026-02-10</t>
  </si>
  <si>
    <t>TJTW-119</t>
  </si>
  <si>
    <t>0.19*950*836 2.0/2.0, T3,5 Stone, BA</t>
  </si>
  <si>
    <t>ZM2026211-B</t>
  </si>
  <si>
    <t>0.19*950*875 2.0/2.0, T3,5 Stone, BA</t>
  </si>
  <si>
    <t xml:space="preserve">TN#1074554977 </t>
  </si>
  <si>
    <t>0.22*763*742 2.0/2.0, T3,5 Stone, BA</t>
  </si>
  <si>
    <t>0.22*900*735 2.0/2.0, T3,5 Stone, BA</t>
  </si>
  <si>
    <t>0.22*972*712 2.0/2.0, T3,5 Stone, BA</t>
  </si>
  <si>
    <t>0.22*932*1133 2.0/2.0, T3,5 Stone, BA</t>
  </si>
  <si>
    <t>0.24*870*670 2.0/2.0, T3,5 Stone, BA</t>
  </si>
  <si>
    <t>0.22*972*C 2.0/2.0, T3,5 Stone, BA</t>
  </si>
  <si>
    <t>0.22*950*C 2.0/2.0, T3,5 Stone, BA</t>
  </si>
  <si>
    <t>Baltic</t>
  </si>
  <si>
    <t>TJTW-120</t>
  </si>
  <si>
    <t>Zn-Plate Bottom diam. 268 mm Thikness: 0.35, Inside blank/Outside blank Standart
Packaging</t>
  </si>
  <si>
    <t>ZM20250328-A1</t>
  </si>
  <si>
    <t>Zn-Plate Bottom diam. 268 mm Thikness: 0.35, Inside blank/Outside blank Premium
Packaging</t>
  </si>
  <si>
    <t>TMBP Bottom diam. 268 mm Thikness: 0.35, Inside PET weiss /Outside PET
transparent Standart Packaging</t>
  </si>
  <si>
    <t>TMBP Bottom diam. 268 mm Thikness: 0.35, Inside PET weiss /Outside PET transparent Premium Packaging</t>
  </si>
  <si>
    <t>Zn-Plate Korona ICM-Form diam. 285 mm Thikness: 0.35,Inside blank/Outside PET weiss Standart Packaging</t>
  </si>
  <si>
    <t>Zn-Plate Korona ICM-Form diam. 285 mm Thikness: 0.35, Inside blank/Outside PET weiss Premium Packaging</t>
  </si>
  <si>
    <t>TMBP Korona ICM-Form diam. 285 mm Thikness: 0.35, Inside PET weiss/Outside PET
transparent Standart Packaging</t>
  </si>
  <si>
    <t>TMBP Korona ICM-Form diam. 285 mm Thikness: 0.35, Inside PET weiss/Outside PET
transparent Premium Packaging</t>
  </si>
  <si>
    <t>NBE-6</t>
  </si>
  <si>
    <t>Zn-plate Bottom: diameter 268 mm, Inside/Outside:blank, 0.35mm, Standart packaging</t>
  </si>
  <si>
    <t>ZM20250328-NBE</t>
  </si>
  <si>
    <t>Zn-plate Bottom: diameter 268 mm, Inside/Outside:blank, 0.35mm, Premium packaging</t>
  </si>
  <si>
    <t>TMBP Bottom: diameter 268 mm, Inside: PET white/Outside: PET transparent, 0.35mm, Standart packaging</t>
  </si>
  <si>
    <t>TMBP Bottom: diameter 268 mm, Inside: PET white/Outside: PET transparent, 0.35mm, Premium packaging</t>
  </si>
  <si>
    <t>Zn-Plate Korona NBE-form: diameter 285mm, Inside: blank /Outside: PET white, 0.35mm, Standart packaging</t>
  </si>
  <si>
    <t>Zn-Plate Korona NBE-form: diameter 285mm, Inside: blank /Outside: PET white, 0.35mm, Premium packaging</t>
  </si>
  <si>
    <t>TMBP Korona NBE-form: diameter 285mm, Inside: PET white/Outside: PET transparent, 0.35mm, Standart packaging</t>
  </si>
  <si>
    <t>TMBP Korona NBE-form: diameter 285mm, Inside: PET white/Outside: PET transparent, 0.35mm, Premium packaging</t>
  </si>
  <si>
    <t>TMBP Korona China-form: diameter 285mm, Inside: PET transparent/Outside: PET black, 0.32mm, Standart packaging</t>
  </si>
  <si>
    <t>TMBP Korona China-form: diameter 285mm, Inside: PET transparent/Outside: PET black, 0.32mm, Premium packaging</t>
  </si>
  <si>
    <t>TJTW-121</t>
  </si>
  <si>
    <t>ZM20251229-A2</t>
  </si>
  <si>
    <t>0.18*822*764.2 2.8/2.8 T4 BA</t>
  </si>
  <si>
    <t>INTW-21</t>
  </si>
  <si>
    <t>PT-8</t>
  </si>
  <si>
    <t>0.15*890*866 DR9 (TS620) 2.8/2.8</t>
  </si>
  <si>
    <t>jhl2026-03-06</t>
  </si>
  <si>
    <t>0.16*785*1033 DR9 (TS620) 2.8/2.8</t>
  </si>
  <si>
    <t>TW 2026-03-03</t>
  </si>
  <si>
    <t>TJTW-122</t>
  </si>
  <si>
    <t>0.16*892*Coil 2.0/2.0, T4 Stone, BA "eye to Sky"</t>
  </si>
  <si>
    <t>TN#1073366745</t>
  </si>
  <si>
    <t>TW 2026-03-02</t>
  </si>
  <si>
    <t>0.17*807*Coil 2.0/2.0, DR 8,5 Stone, BA "eye to the side"</t>
  </si>
  <si>
    <t>TW 2026-03-10</t>
  </si>
  <si>
    <t>TJTW-123</t>
  </si>
  <si>
    <t>0.18*945*918 2.0/2.0 T4 BA</t>
  </si>
  <si>
    <t>ZM20260306-B</t>
  </si>
  <si>
    <t>0.24*1023*957 2.0/2.0 T3 BA</t>
  </si>
  <si>
    <t>TW 2026-03-05</t>
  </si>
  <si>
    <t>TJTW-124</t>
  </si>
  <si>
    <t>0.17x944x795 Sheets Т4 2.8/2.8 Stone, BA</t>
  </si>
  <si>
    <t>ZM20260306-A</t>
  </si>
  <si>
    <t>0.18x862x782 Scroll Sheets Т5 2.8/2.8 Stone, BA</t>
  </si>
  <si>
    <t>0.18x880x824 Scroll Sheets Т3 2.8/2.8 Stone, BA</t>
  </si>
  <si>
    <t>INTW-22</t>
  </si>
  <si>
    <t>INTW-23</t>
  </si>
  <si>
    <t>TJTW-125</t>
  </si>
  <si>
    <t>0.17*818*913 T4 2.8/2.8   VARNISHED</t>
  </si>
  <si>
    <t>ZM20260331-B</t>
  </si>
  <si>
    <t>0.18*900*712 T3 2.8/2.8    VARNISHED</t>
  </si>
  <si>
    <t>0.17*905*836.5 T4 2.8/2.8   VARNISHED</t>
  </si>
  <si>
    <t>0.18*905*669 T4 2.8/2.8</t>
  </si>
  <si>
    <t>TJTW-84</t>
  </si>
  <si>
    <t>99 Peel-off Lids</t>
  </si>
  <si>
    <t>WRD</t>
  </si>
  <si>
    <t>WRD260601</t>
  </si>
  <si>
    <t>401# SE 0.18</t>
  </si>
  <si>
    <t>NBE-12</t>
  </si>
  <si>
    <r>
      <rPr>
        <sz val="11"/>
        <color theme="1"/>
        <rFont val="Calibri"/>
        <charset val="134"/>
      </rPr>
      <t xml:space="preserve">Лента холоднокатаная оцинкованная 0,55 мм 22,0 м
</t>
    </r>
    <r>
      <rPr>
        <sz val="11"/>
        <color theme="1"/>
        <rFont val="宋体"/>
        <charset val="134"/>
      </rPr>
      <t>冷轧镀锌钢带</t>
    </r>
  </si>
  <si>
    <t>WZ</t>
  </si>
  <si>
    <t>WZDX26032901-SJ</t>
  </si>
  <si>
    <t>NBE-13</t>
  </si>
  <si>
    <t>0,23x905x720 1.5/1.5 T3 with lamination</t>
  </si>
  <si>
    <t>ZM20260409-B</t>
  </si>
  <si>
    <t>TW 2026-04-10</t>
  </si>
  <si>
    <t>TJTW-126</t>
  </si>
  <si>
    <t>jhI2026-04-13</t>
  </si>
  <si>
    <t>TW 2026-04-09</t>
  </si>
  <si>
    <t>TW 2026-04-13</t>
  </si>
  <si>
    <t>TJTW-127</t>
  </si>
  <si>
    <t>ZM20260414-B</t>
  </si>
  <si>
    <t>0.18x890x807.3 Scroll Sheets Т5 2.8/2.8 Stone, BA</t>
  </si>
  <si>
    <t>0.18x928x934.7 Scroll Sheets Т3 2.8/2.8 Stone, BA</t>
  </si>
  <si>
    <t>0.15x868x872,4 Scroll Sheets DR9 1,0/1,0 Stone, BA</t>
  </si>
  <si>
    <t>jhl2026-04-22</t>
  </si>
  <si>
    <t>TJTW-128</t>
  </si>
  <si>
    <t>ZM20260417-A1</t>
  </si>
  <si>
    <t>TJTW-129</t>
  </si>
  <si>
    <t>YKG260417-A</t>
  </si>
  <si>
    <t>TJTW-130</t>
  </si>
  <si>
    <t>ZM20260428-A1</t>
  </si>
  <si>
    <t>TJTW-131</t>
  </si>
  <si>
    <t>0.19* 850*790</t>
  </si>
  <si>
    <t>SK</t>
  </si>
  <si>
    <t>XWST-SK260422-1</t>
  </si>
  <si>
    <t>0.19* 850*790 Aluminum sheets 3104H26</t>
  </si>
  <si>
    <t>INTW-24</t>
  </si>
  <si>
    <t>No 13-08 Spec 4</t>
  </si>
  <si>
    <t>TJTW-132</t>
  </si>
  <si>
    <t>EOE ETP diam.99mm 0.21 T4 2.8/2.8 CA</t>
  </si>
  <si>
    <t>ZM20260513-A2</t>
  </si>
  <si>
    <t>EOE ETP diam.83mm 0.20 T4 2.8/2.8 CA</t>
  </si>
  <si>
    <t>MB</t>
  </si>
  <si>
    <t>TJTW-133</t>
  </si>
  <si>
    <t>EOE #401, 98.9 mm, 0.21, T4, ETP, Ad-99 Gold/White  BPA-NI 3N2144-655W</t>
  </si>
  <si>
    <t>ZM20260420-A1</t>
  </si>
  <si>
    <t>INTW-25</t>
  </si>
  <si>
    <t>EOE 99mm ETP T5 Gold/Alum+Gold 0.21</t>
  </si>
  <si>
    <t>ZM20260428-A2</t>
  </si>
  <si>
    <t>SPC_07</t>
  </si>
  <si>
    <t>TJTW-134</t>
  </si>
  <si>
    <t>jhl2026-04-30</t>
  </si>
  <si>
    <t>SPC_08</t>
  </si>
  <si>
    <t>TJTW-135</t>
  </si>
  <si>
    <t>jhl2026-05-11</t>
  </si>
  <si>
    <t>0.30*1000*665 2.0/2.0 BA TS 275</t>
  </si>
  <si>
    <t>TW 2026-05-15</t>
  </si>
  <si>
    <t>TJTW-136</t>
  </si>
  <si>
    <t>0.17*944*795 Sheets Т4 2.8/2.8 Stone, BA</t>
  </si>
  <si>
    <t>LS</t>
  </si>
  <si>
    <t>LSXC-20260527004</t>
  </si>
  <si>
    <t>0.18*890*807.3 Scroll Sheets Т5 2.8/2.8 Stone, BA</t>
  </si>
  <si>
    <t>0.18*880*824 Scroll Sheets Т3 2.8/2.8 Stone, BA</t>
  </si>
  <si>
    <t>0.18*928*934.7 Scroll Sheets Т5 2.8/2.8 Stone, BA</t>
  </si>
  <si>
    <t>0.15*868*872.4 Scroll Sheets DR9 1,0/1,0 Stone, BA</t>
  </si>
  <si>
    <t>NBE-14</t>
  </si>
  <si>
    <t>0.24*914*758 1.5/1.5 T2.5 plain</t>
  </si>
  <si>
    <t>ZM20260527-A</t>
  </si>
  <si>
    <t>0.23*1040*850 1.5/1.5 T3 plain</t>
  </si>
  <si>
    <t>0.22*960*712 1.5/1.5 T3 plain</t>
  </si>
  <si>
    <t>0.22*765*1040 1.5/1.5 T3 plain</t>
  </si>
  <si>
    <t>0.23*905*720 1.5/1.5 T3 plain</t>
  </si>
  <si>
    <t>0.30*1100*850 1.5/1.5 T2.5 plain</t>
  </si>
  <si>
    <t>0.22*960*712 1.5/1.5 T3 with lamination</t>
  </si>
  <si>
    <t>ZM20260527-B</t>
  </si>
  <si>
    <t>0.22*1040*765 1.5/1.5 T3 with lamination</t>
  </si>
  <si>
    <t>0.23*905*720 1.5/1.5 T3 with lamination</t>
  </si>
  <si>
    <t>TW 2026-06-10</t>
  </si>
  <si>
    <t>TJTW-137</t>
  </si>
  <si>
    <t>LSXC-20260617006</t>
  </si>
  <si>
    <t>0.18*862*782 Scroll Sheets Т5 2.8/2.8 Stone, BA</t>
  </si>
  <si>
    <t>0.18*936*906.5 Scroll Sheets Т3 2.8/2.8 Stone, BA</t>
  </si>
  <si>
    <t>?</t>
  </si>
  <si>
    <t>TJTW-138</t>
  </si>
  <si>
    <t>Easy open end diam.99.8mm 0.21 T5 CA #401</t>
  </si>
  <si>
    <t>JRD</t>
  </si>
  <si>
    <t>JRDS202606-232</t>
  </si>
  <si>
    <t>TJTW-139</t>
  </si>
  <si>
    <t>SE ETP diam.83.4mm 0.19 2.8/2.8 T5</t>
  </si>
  <si>
    <t>ZM20260615-A</t>
  </si>
  <si>
    <t>TJTW-140</t>
  </si>
  <si>
    <t>ZM20260630-A</t>
  </si>
  <si>
    <t>0.18*905*836.5 T4 2.8/2.8     VARNISHED</t>
  </si>
  <si>
    <t>0.17*857*730 T4 2.8/2.8 VARNISHED</t>
  </si>
  <si>
    <t>TJTW-141</t>
  </si>
  <si>
    <t>LSXC-20260717006</t>
  </si>
  <si>
    <t>TW 2026-06-26</t>
  </si>
  <si>
    <t>TJTW-142</t>
  </si>
  <si>
    <t>0.20*735*712 2.0/2.0, TS 290 Stone, BA</t>
  </si>
  <si>
    <t>ZM20260629-A</t>
  </si>
  <si>
    <t>0.20*892*712 2.0/2.0, TS 290 Stone, BA</t>
  </si>
  <si>
    <t>0.20*865*1070 2.0/2.0, TS 290 Stone, BA</t>
  </si>
  <si>
    <t>0.22*900*735  2.0/2.0, TS 290 Stone, BA</t>
  </si>
  <si>
    <t>TJTW-143</t>
  </si>
  <si>
    <t>EOE #401, 99.8 mm, 0.21, T4, ETP, Ad-99 Gold/White  BPA-NI 3N2144-655W</t>
  </si>
  <si>
    <t>ZM20260707-A1</t>
  </si>
  <si>
    <t>TW 2026-07-06</t>
  </si>
  <si>
    <t>TJTW-144</t>
  </si>
  <si>
    <t>LSXC-20260706006</t>
  </si>
  <si>
    <t>0.16*892*808.4 Scroll Sheets Т4 2.0/2.0 Stone, BA</t>
  </si>
  <si>
    <t>0.20*892*808.4 Scroll Sheets Т3 2.8/2.8 Stone, BA</t>
  </si>
  <si>
    <t>part ready</t>
  </si>
  <si>
    <t>TJTW-145</t>
  </si>
  <si>
    <t>ZM20260710-A</t>
  </si>
  <si>
    <t>TJTW-146</t>
  </si>
  <si>
    <t>EOE #401, 99.8 mm, 0.21, T4, ETP, gold PFAS-NI /white BPAni + PFAS-NI coated</t>
  </si>
  <si>
    <t>ZM20260723-A1</t>
  </si>
  <si>
    <t>TJTW-147</t>
  </si>
  <si>
    <t>LSXC-20260720006</t>
  </si>
  <si>
    <t>TJTW-148</t>
  </si>
  <si>
    <t>WRD260629</t>
  </si>
  <si>
    <t>WRD260701</t>
  </si>
  <si>
    <t>WRD260702</t>
  </si>
  <si>
    <t>INTW-26</t>
  </si>
  <si>
    <t>EOE 99mm ETP T5 GLitografy/Alum 0.21</t>
  </si>
  <si>
    <t>ZM20260724-A2</t>
  </si>
  <si>
    <t>TJTW-149</t>
  </si>
  <si>
    <t>LSXC-20260803006</t>
  </si>
  <si>
    <t>TJTW-150</t>
  </si>
  <si>
    <t>YKG260807-A</t>
  </si>
  <si>
    <t>TJTW-151</t>
  </si>
  <si>
    <t>LSXC-20260810006</t>
  </si>
  <si>
    <t>TJTW-152</t>
  </si>
  <si>
    <t>LSXC-20260810007</t>
  </si>
  <si>
    <t>TJTW-153</t>
  </si>
  <si>
    <t>ZM20260820-A2</t>
  </si>
  <si>
    <t>TJTW-154</t>
  </si>
  <si>
    <t>ZM20260820-A1</t>
  </si>
  <si>
    <t>TJTW-155</t>
  </si>
  <si>
    <t>ZM20260822-A1</t>
  </si>
  <si>
    <t>NBE-15</t>
  </si>
  <si>
    <t>2027PET</t>
  </si>
  <si>
    <t>NBE-16</t>
  </si>
  <si>
    <t>0,22x1040x765 1.5/1.5 T3 with lamination</t>
  </si>
  <si>
    <t>ZM20260902-A</t>
  </si>
  <si>
    <t>0,22x960x712 1.5/1.5 T3 with lamination</t>
  </si>
  <si>
    <t>NBE-17</t>
  </si>
  <si>
    <t>0,20x972x815  1.5/1.5 T4 with lamination</t>
  </si>
  <si>
    <t>0,18x1040x765  1.5/1.5 T4 with lamination</t>
  </si>
  <si>
    <t>0,18x1040x826  1.5/1.5 T4 with lamination</t>
  </si>
  <si>
    <t>0,18x945x765  1.5/1.5 T4 with lamination</t>
  </si>
  <si>
    <t>0,18x945x838  1.5/1.5 T4 with lamination</t>
  </si>
  <si>
    <t>0,18x928x735  1.5/1.5 T4 with lamination</t>
  </si>
  <si>
    <t>INTW-27</t>
  </si>
  <si>
    <t>73mm #300 T4 0.19 EOE</t>
  </si>
  <si>
    <t>Batch by batch</t>
  </si>
  <si>
    <t>INTW-28</t>
  </si>
  <si>
    <t>99mm 0.20 #401 T4 SE*2</t>
  </si>
  <si>
    <t>INTW-30</t>
  </si>
  <si>
    <t>73mm #300 T5 0.20 EOE</t>
  </si>
  <si>
    <t>ZM20260911-A1</t>
  </si>
  <si>
    <t>INTW-33</t>
  </si>
  <si>
    <t>ZM202608226-A1</t>
  </si>
  <si>
    <t>TJTW-156</t>
  </si>
  <si>
    <t>ZM20260907-A1</t>
  </si>
  <si>
    <t>TJTW-157</t>
  </si>
  <si>
    <t>ZM20260918-A</t>
  </si>
  <si>
    <t>TJTW-158</t>
  </si>
  <si>
    <t>ZM20260929-A2</t>
  </si>
  <si>
    <t>LSXC-20260929006</t>
  </si>
  <si>
    <t>2025PET</t>
  </si>
  <si>
    <t>NBE-18</t>
  </si>
  <si>
    <t>0,25x914x758  2.0/2.0 T3 Plain</t>
  </si>
  <si>
    <t>ZM20260919-A</t>
  </si>
  <si>
    <t>NBE-19</t>
  </si>
  <si>
    <t>0,18x850x735 1.5/1.5 T4 plain</t>
  </si>
  <si>
    <t>LSXC-20260923006</t>
  </si>
  <si>
    <t>0,24x914x758 1.5/1.5 T3 plain</t>
  </si>
  <si>
    <t>0,23x1040x850 1.5/1.5 T3 plain</t>
  </si>
  <si>
    <t>0,22x972x712 1.5/1.5 T4 plain</t>
  </si>
  <si>
    <t>0,22x972x800 1.5/1.5 T4 plain</t>
  </si>
  <si>
    <t>0,20x882x712 1.5/1.5 T4 plain</t>
  </si>
  <si>
    <t>0,20x960x712 1.5/1.5 T4 plain</t>
  </si>
  <si>
    <t>0,30x850x735 1.5/1.5 T3 plain</t>
  </si>
  <si>
    <t>0,30x850x1100 1.5/1.5 T3 plain</t>
  </si>
  <si>
    <t>TJTW-159</t>
  </si>
  <si>
    <t>LSXC-20260924006</t>
  </si>
  <si>
    <t>TJTW-160</t>
  </si>
  <si>
    <t>0.30*790*855 2.0/2.0 TS 275 BA</t>
  </si>
  <si>
    <t>LSXC-20261009006</t>
  </si>
  <si>
    <t>TJTW-161</t>
  </si>
  <si>
    <t>EOE ETP diam.99mm 0.21 T4 2.8/2.8 CA Gold/Aluminium</t>
  </si>
  <si>
    <t>ZM20261007-A2</t>
  </si>
  <si>
    <t>No.</t>
  </si>
  <si>
    <t>直径diam</t>
  </si>
  <si>
    <t>厚度thickness</t>
  </si>
  <si>
    <t>规格specification</t>
  </si>
  <si>
    <t>磨刀费Sharpening fee</t>
  </si>
  <si>
    <t>Total</t>
  </si>
  <si>
    <t>TW-67</t>
  </si>
  <si>
    <t>TW-70</t>
  </si>
  <si>
    <t>TW-76</t>
  </si>
  <si>
    <t>0.18</t>
  </si>
  <si>
    <t>80.3 end</t>
  </si>
  <si>
    <t>862*782</t>
  </si>
  <si>
    <t>*</t>
  </si>
  <si>
    <t>Twist off</t>
  </si>
  <si>
    <t>868*872.4</t>
  </si>
  <si>
    <t>+</t>
  </si>
  <si>
    <t>99 end</t>
  </si>
  <si>
    <t>928*934.7</t>
  </si>
  <si>
    <t>2pcs can</t>
  </si>
  <si>
    <t>936*906.5</t>
  </si>
  <si>
    <t>0.16/0.20</t>
  </si>
  <si>
    <t>SKO</t>
  </si>
  <si>
    <t>892*808.4</t>
  </si>
  <si>
    <t>880*824</t>
  </si>
  <si>
    <t>83 end</t>
  </si>
  <si>
    <t>890*807.3</t>
  </si>
  <si>
    <t>TO 66mm</t>
  </si>
  <si>
    <t>890*917</t>
  </si>
  <si>
    <t>TOTAL</t>
  </si>
  <si>
    <t>OTHERS</t>
  </si>
  <si>
    <t>Customer</t>
  </si>
  <si>
    <t>10AN</t>
  </si>
  <si>
    <t>15AN</t>
  </si>
  <si>
    <t>8AN</t>
  </si>
  <si>
    <t>12AN</t>
  </si>
  <si>
    <t>20AN</t>
  </si>
  <si>
    <t>21AN</t>
  </si>
  <si>
    <t>22AN</t>
  </si>
  <si>
    <t>TPTW-5</t>
  </si>
  <si>
    <t>0.15/0.16</t>
  </si>
  <si>
    <t>CKO</t>
  </si>
  <si>
    <t>820*712</t>
  </si>
  <si>
    <t>SPEC</t>
  </si>
  <si>
    <t>751*710.7</t>
  </si>
  <si>
    <t>AMT #2</t>
  </si>
  <si>
    <t>822*764.2</t>
  </si>
  <si>
    <t>EXIM twist</t>
  </si>
  <si>
    <t>775*765</t>
  </si>
  <si>
    <t>KML#2</t>
  </si>
  <si>
    <t>818*913</t>
  </si>
  <si>
    <t>KLM EOE</t>
  </si>
  <si>
    <t>952*959</t>
  </si>
  <si>
    <t>963*837.5</t>
  </si>
  <si>
    <t>740*823</t>
  </si>
  <si>
    <t>0.17/0.18</t>
  </si>
  <si>
    <t>KML#3</t>
  </si>
  <si>
    <t>905*669.5/836.5</t>
  </si>
  <si>
    <t>zhongmin</t>
  </si>
  <si>
    <t>付款的客户
Payer</t>
  </si>
  <si>
    <r>
      <rPr>
        <sz val="11"/>
        <color theme="1"/>
        <rFont val="宋体"/>
        <charset val="204"/>
      </rPr>
      <t>发票号</t>
    </r>
    <r>
      <rPr>
        <sz val="11"/>
        <color theme="1"/>
        <rFont val="Calibri"/>
        <charset val="134"/>
      </rPr>
      <t xml:space="preserve">
invoice</t>
    </r>
  </si>
  <si>
    <t>规格
specifications</t>
  </si>
  <si>
    <t>数量
QTY</t>
  </si>
  <si>
    <t>单价
UNT</t>
  </si>
  <si>
    <t>总价
TOTAL</t>
  </si>
  <si>
    <t>国外已付
paid</t>
  </si>
  <si>
    <t>国外未付
Unpaid</t>
  </si>
  <si>
    <r>
      <rPr>
        <sz val="11"/>
        <color theme="1"/>
        <rFont val="宋体"/>
        <charset val="134"/>
      </rPr>
      <t>货好时间</t>
    </r>
    <r>
      <rPr>
        <sz val="11"/>
        <color theme="1"/>
        <rFont val="Calibri"/>
        <charset val="134"/>
      </rPr>
      <t xml:space="preserve">
Ready date</t>
    </r>
  </si>
  <si>
    <t>状态
Status</t>
  </si>
  <si>
    <t>供应商</t>
  </si>
  <si>
    <t>LF</t>
  </si>
  <si>
    <t>BOC</t>
  </si>
  <si>
    <t>VAT</t>
  </si>
  <si>
    <t>TRC</t>
  </si>
  <si>
    <t>ABC</t>
  </si>
  <si>
    <t>VTB</t>
  </si>
  <si>
    <t>总额</t>
  </si>
  <si>
    <t>EOE ALU 0.24 #401</t>
  </si>
  <si>
    <t>0.17*818*913 铝膏+有机 BPA free</t>
  </si>
  <si>
    <t>0.17*818*913 铝膏+黄 BPA free</t>
  </si>
  <si>
    <t>0.3*790*855 2.0/2.0 T3</t>
  </si>
  <si>
    <t>0.155*931.927 2.0/2.0  TH 620</t>
  </si>
  <si>
    <t>sample</t>
  </si>
  <si>
    <t>0.18*890*C</t>
  </si>
  <si>
    <t>0.2*893*808.4 2.8/2.8 T3</t>
  </si>
  <si>
    <t>NBE</t>
  </si>
  <si>
    <t>NBE-4-2</t>
  </si>
  <si>
    <t>0.18*712*826</t>
  </si>
  <si>
    <t>0,23x905x720 with lamination</t>
  </si>
  <si>
    <t>NBE-5-2</t>
  </si>
  <si>
    <r>
      <rPr>
        <sz val="11"/>
        <color theme="1"/>
        <rFont val="Calibri"/>
        <charset val="134"/>
      </rPr>
      <t>8065.77</t>
    </r>
    <r>
      <rPr>
        <sz val="11"/>
        <color theme="1"/>
        <rFont val="宋体"/>
        <charset val="204"/>
      </rPr>
      <t>处理成附加服务费</t>
    </r>
  </si>
  <si>
    <t>PT</t>
  </si>
  <si>
    <t>2025/7/8 + 2025/7/25</t>
  </si>
  <si>
    <t>PT-3-2</t>
  </si>
  <si>
    <t>IN</t>
  </si>
  <si>
    <t>0.23*905*720 1.5/1.5</t>
  </si>
  <si>
    <t>0.23*905*720 2.0/2.0</t>
  </si>
  <si>
    <t>1 - 15 / июня</t>
  </si>
  <si>
    <t>1 - 15 / июля</t>
  </si>
  <si>
    <t>1 - 15 / авг</t>
  </si>
  <si>
    <t>TJTW-74-7</t>
  </si>
  <si>
    <t>15 - 30 / июня</t>
  </si>
  <si>
    <t>15 - 30 / июля</t>
  </si>
  <si>
    <t>15 - 30 / авг</t>
  </si>
  <si>
    <t>TJTW-74-6</t>
  </si>
  <si>
    <t>TJTW-74-9</t>
  </si>
  <si>
    <r>
      <rPr>
        <sz val="11"/>
        <color theme="1"/>
        <rFont val="Calibri"/>
        <charset val="134"/>
      </rPr>
      <t>2025</t>
    </r>
    <r>
      <rPr>
        <sz val="11"/>
        <color theme="1"/>
        <rFont val="宋体"/>
        <charset val="134"/>
      </rPr>
      <t>年</t>
    </r>
    <r>
      <rPr>
        <sz val="11"/>
        <color theme="1"/>
        <rFont val="Calibri"/>
        <charset val="134"/>
      </rPr>
      <t>12</t>
    </r>
    <r>
      <rPr>
        <sz val="11"/>
        <color theme="1"/>
        <rFont val="宋体"/>
        <charset val="134"/>
      </rPr>
      <t>月发货</t>
    </r>
  </si>
  <si>
    <t>лакировка</t>
  </si>
  <si>
    <t>TJTW-74-10</t>
  </si>
  <si>
    <t>TJTW-74-8</t>
  </si>
  <si>
    <t>TJTW-74-4</t>
  </si>
  <si>
    <t>TJTW-74-5</t>
  </si>
  <si>
    <t>TJTW-74-3</t>
  </si>
  <si>
    <t>TJTW-74-2</t>
  </si>
  <si>
    <t>TJTW-75-3</t>
  </si>
  <si>
    <t>TJTW-75-2</t>
  </si>
  <si>
    <t>TJTW-75-4</t>
  </si>
  <si>
    <t>TJTW-75-10</t>
  </si>
  <si>
    <t>TJTW-75-5</t>
  </si>
  <si>
    <t>TJTW-75-6</t>
  </si>
  <si>
    <t>TJTW-75-7</t>
  </si>
  <si>
    <t>TJTW-75-8</t>
  </si>
  <si>
    <t>TJTW-75-9</t>
  </si>
  <si>
    <t>0.17*905*836.5 2.8/2.8 T4</t>
  </si>
  <si>
    <t>TJTW-75-11</t>
  </si>
  <si>
    <t>TJTW-75-12</t>
  </si>
  <si>
    <t>TJTW-76-2</t>
  </si>
  <si>
    <r>
      <rPr>
        <sz val="11"/>
        <color theme="1"/>
        <rFont val="宋体"/>
        <charset val="204"/>
      </rPr>
      <t>价格里加了</t>
    </r>
    <r>
      <rPr>
        <sz val="11"/>
        <color theme="1"/>
        <rFont val="Calibri"/>
        <charset val="134"/>
      </rPr>
      <t>6</t>
    </r>
    <r>
      <rPr>
        <sz val="11"/>
        <color theme="1"/>
        <rFont val="宋体"/>
        <charset val="204"/>
      </rPr>
      <t>个刷箱费</t>
    </r>
  </si>
  <si>
    <t>TJTW-76-3</t>
  </si>
  <si>
    <r>
      <rPr>
        <sz val="11"/>
        <color theme="1"/>
        <rFont val="Calibri"/>
        <charset val="134"/>
      </rPr>
      <t>76</t>
    </r>
    <r>
      <rPr>
        <sz val="11"/>
        <color theme="1"/>
        <rFont val="宋体"/>
        <charset val="204"/>
      </rPr>
      <t>发货里剩下的</t>
    </r>
  </si>
  <si>
    <r>
      <rPr>
        <sz val="11"/>
        <color theme="1"/>
        <rFont val="Calibri"/>
        <charset val="134"/>
      </rPr>
      <t>76-3</t>
    </r>
    <r>
      <rPr>
        <sz val="11"/>
        <color theme="1"/>
        <rFont val="宋体"/>
        <charset val="204"/>
      </rPr>
      <t>发货里剩下的</t>
    </r>
  </si>
  <si>
    <t>PT-4-1</t>
  </si>
  <si>
    <t>PT-4-2</t>
  </si>
  <si>
    <t>TJTW-78-2</t>
  </si>
  <si>
    <t>0.155*931*927 2.8/2.8 TH620</t>
  </si>
  <si>
    <t>0.155*963*960 2.8/2.8 TH620</t>
  </si>
  <si>
    <t>NBE-9-4</t>
  </si>
  <si>
    <t>0,18x928x735 1.5/1.5 T4</t>
  </si>
  <si>
    <t>0,18x945x712 1.5/1.5 T4</t>
  </si>
  <si>
    <t>NBE-9-3</t>
  </si>
  <si>
    <t>NBE-9-1</t>
  </si>
  <si>
    <r>
      <rPr>
        <sz val="11"/>
        <color theme="1"/>
        <rFont val="Calibri"/>
        <charset val="134"/>
      </rPr>
      <t>NBE-1</t>
    </r>
    <r>
      <rPr>
        <sz val="11"/>
        <color theme="1"/>
        <rFont val="宋体"/>
        <charset val="204"/>
      </rPr>
      <t>剩下的</t>
    </r>
  </si>
  <si>
    <t>0,18x1040x826 1.5/1.5 T4</t>
  </si>
  <si>
    <t>0,18x1040x765 1.5/1.5 T4</t>
  </si>
  <si>
    <t>NBE-9-2</t>
  </si>
  <si>
    <r>
      <rPr>
        <sz val="11"/>
        <color theme="1"/>
        <rFont val="Calibri"/>
        <charset val="134"/>
      </rPr>
      <t>NBE-2</t>
    </r>
    <r>
      <rPr>
        <sz val="11"/>
        <color theme="1"/>
        <rFont val="宋体"/>
        <charset val="204"/>
      </rPr>
      <t>剩下的</t>
    </r>
  </si>
  <si>
    <t>NBE-9-5</t>
  </si>
  <si>
    <t>0,20x972x815  1.5/1.5 T3</t>
  </si>
  <si>
    <t>TJTW-75-1</t>
  </si>
  <si>
    <t>TJTW-80-8</t>
  </si>
  <si>
    <t>0.18*905*836.5 2.8/2.8 T4</t>
  </si>
  <si>
    <r>
      <rPr>
        <sz val="11"/>
        <color theme="1"/>
        <rFont val="Calibri"/>
        <charset val="134"/>
      </rPr>
      <t>TJTW-80(6</t>
    </r>
    <r>
      <rPr>
        <sz val="11"/>
        <color theme="1"/>
        <rFont val="宋体"/>
        <charset val="134"/>
      </rPr>
      <t>月发</t>
    </r>
    <r>
      <rPr>
        <sz val="11"/>
        <color theme="1"/>
        <rFont val="Calibri"/>
        <charset val="134"/>
      </rPr>
      <t>)</t>
    </r>
  </si>
  <si>
    <t>TJTW-80-9</t>
  </si>
  <si>
    <t>TJTW-80-10</t>
  </si>
  <si>
    <t>TJTW-80-7</t>
  </si>
  <si>
    <t>TJTW-80-3</t>
  </si>
  <si>
    <t>0.18*905*669.5 2.8/2.8 T4</t>
  </si>
  <si>
    <t>TJTW-80-2</t>
  </si>
  <si>
    <t>TJTW-80-4</t>
  </si>
  <si>
    <t>TJTW-80-5</t>
  </si>
  <si>
    <t>TJTW-80-1</t>
  </si>
  <si>
    <t>PT-6-1</t>
  </si>
  <si>
    <t>PT-6-2</t>
  </si>
  <si>
    <r>
      <rPr>
        <sz val="11"/>
        <color theme="1"/>
        <rFont val="Calibri"/>
        <charset val="134"/>
      </rPr>
      <t>12.10</t>
    </r>
    <r>
      <rPr>
        <sz val="11"/>
        <color theme="1"/>
        <rFont val="宋体"/>
        <charset val="204"/>
      </rPr>
      <t>装</t>
    </r>
  </si>
  <si>
    <t>PT-6-3</t>
  </si>
  <si>
    <t>VARNISHED</t>
  </si>
  <si>
    <t>0.18*905*836.5 2.8/2.8 T4 BA 
Gold/Alum+Gold, BPA FREE</t>
  </si>
  <si>
    <t>0.18*905*836.5 2.8/2.8 T4 BA
Gold/Alum</t>
  </si>
  <si>
    <t>0.17*905*836.5 2.8/2.8 T4 BA
Gold/Alum</t>
  </si>
  <si>
    <t>0.17*818*913.6 2.8/2.8 T4 BA
Gold/Alum+Gold, BPA FREE</t>
  </si>
  <si>
    <t>0.18*905*836.5 2.8/2.8 T4 BA
Gold/Aluminium+Gold,BPA FREE</t>
  </si>
  <si>
    <t>0.17*905*836.5 2.8/2.8 T4 BA
Gold/Aluminium+Gold,BPA FREE</t>
  </si>
  <si>
    <t>0.17*818*913.6 2.8/2.8 T4 BA
Gold/Aluminium+Gold,BPA FREE</t>
  </si>
  <si>
    <t>0.18*900*712 2.8/2.8 T3 BA
Gold/Aluminium+Gold,BPA FREE</t>
  </si>
  <si>
    <t>0.17*857*730 2.8/2.8 T4 BA
Gold/Aluminium+Gold,BPA FREE</t>
  </si>
  <si>
    <t>TJTW-85-3</t>
  </si>
  <si>
    <t>TJTW-85-4-2</t>
  </si>
  <si>
    <t>TJTW-85-5</t>
  </si>
  <si>
    <t>TJTW-85-2</t>
  </si>
  <si>
    <t>TJTW-85-1</t>
  </si>
  <si>
    <t>TJTW-85-4-1</t>
  </si>
  <si>
    <t>TJTW-85-6</t>
  </si>
  <si>
    <r>
      <rPr>
        <sz val="11"/>
        <color theme="1"/>
        <rFont val="Calibri"/>
        <charset val="134"/>
      </rPr>
      <t>26</t>
    </r>
    <r>
      <rPr>
        <sz val="11"/>
        <color theme="1"/>
        <rFont val="宋体"/>
        <charset val="134"/>
      </rPr>
      <t>年</t>
    </r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月发</t>
    </r>
  </si>
  <si>
    <t>TJTW-90-2</t>
  </si>
  <si>
    <t>0.18*862*782 T5BA 2.8/2.8</t>
  </si>
  <si>
    <t>TJTW-90-3</t>
  </si>
  <si>
    <t>TJTW-90-1</t>
  </si>
  <si>
    <t>TJTW-90-4</t>
  </si>
  <si>
    <t>90-3里剩</t>
  </si>
  <si>
    <t>十二月未发</t>
  </si>
  <si>
    <t>Scroll knife</t>
  </si>
  <si>
    <t>TJTW-91-2</t>
  </si>
  <si>
    <t>0.25*748*953.5 2.0/2.0 T3</t>
  </si>
  <si>
    <t>TJTW-91-3</t>
  </si>
  <si>
    <r>
      <rPr>
        <sz val="11"/>
        <color theme="1"/>
        <rFont val="Calibri"/>
        <charset val="134"/>
      </rPr>
      <t>91-2</t>
    </r>
    <r>
      <rPr>
        <sz val="11"/>
        <color theme="1"/>
        <rFont val="宋体"/>
        <charset val="204"/>
      </rPr>
      <t>里剩下的</t>
    </r>
  </si>
  <si>
    <t>TJTW-93-5</t>
  </si>
  <si>
    <t>TJTW-93-4</t>
  </si>
  <si>
    <t>TJTW-93-3</t>
  </si>
  <si>
    <t>TJTW-93-1</t>
  </si>
  <si>
    <t>TJTW-93-2</t>
  </si>
  <si>
    <t>TJTW-93-6</t>
  </si>
  <si>
    <t>NBE-10-1-4</t>
  </si>
  <si>
    <t>NBE-10-1-1</t>
  </si>
  <si>
    <t>NBE-10-1-3</t>
  </si>
  <si>
    <r>
      <rPr>
        <sz val="11"/>
        <color theme="1"/>
        <rFont val="Calibri"/>
        <charset val="134"/>
      </rPr>
      <t>10-1-1</t>
    </r>
    <r>
      <rPr>
        <sz val="11"/>
        <color theme="1"/>
        <rFont val="宋体"/>
        <charset val="134"/>
      </rPr>
      <t>剩</t>
    </r>
  </si>
  <si>
    <t>NBE-10-1-2</t>
  </si>
  <si>
    <t>NBE-10-1-5(10-9)</t>
  </si>
  <si>
    <t>NBE-10-2-1</t>
  </si>
  <si>
    <t>NBE-10-16(10-2-2)</t>
  </si>
  <si>
    <r>
      <rPr>
        <sz val="11"/>
        <color theme="1"/>
        <rFont val="Calibri"/>
        <charset val="134"/>
      </rPr>
      <t>NBE-10-3-6</t>
    </r>
    <r>
      <rPr>
        <sz val="6"/>
        <color theme="1"/>
        <rFont val="Calibri"/>
        <charset val="134"/>
      </rPr>
      <t>(10-11 + 10-12)</t>
    </r>
  </si>
  <si>
    <t>NBE-10-3-4</t>
  </si>
  <si>
    <t>NBE-10-3-2-A</t>
  </si>
  <si>
    <t>NBE-10-3-1-B</t>
  </si>
  <si>
    <t>NBE-10-16(10-3-7)</t>
  </si>
  <si>
    <t>NBE-10-15(10-3-7)</t>
  </si>
  <si>
    <t>NBE-10-3-1-C</t>
  </si>
  <si>
    <t>NBE-10-3-3</t>
  </si>
  <si>
    <t>NBE-10-3-4(10-7)</t>
  </si>
  <si>
    <t>NBE-10-3-4-B</t>
  </si>
  <si>
    <t>NBE-10-4-3-C</t>
  </si>
  <si>
    <r>
      <rPr>
        <sz val="11"/>
        <color theme="1"/>
        <rFont val="Calibri"/>
        <charset val="134"/>
      </rPr>
      <t>10-3-1</t>
    </r>
    <r>
      <rPr>
        <sz val="11"/>
        <color theme="1"/>
        <rFont val="宋体"/>
        <charset val="134"/>
      </rPr>
      <t>剩</t>
    </r>
  </si>
  <si>
    <t>NBE-10-4-1-B</t>
  </si>
  <si>
    <t>NBE-10-4-1-C</t>
  </si>
  <si>
    <t>NBE-10-4-3(10-10)</t>
  </si>
  <si>
    <r>
      <rPr>
        <sz val="11"/>
        <color theme="1"/>
        <rFont val="Calibri"/>
        <charset val="134"/>
      </rPr>
      <t>10-4-1</t>
    </r>
    <r>
      <rPr>
        <sz val="11"/>
        <color theme="1"/>
        <rFont val="宋体"/>
        <charset val="134"/>
      </rPr>
      <t>剩</t>
    </r>
  </si>
  <si>
    <t>TJTW-85/2-1</t>
  </si>
  <si>
    <t>TJTW-85/2-2</t>
  </si>
  <si>
    <r>
      <rPr>
        <sz val="11"/>
        <color theme="1"/>
        <rFont val="Calibri"/>
        <charset val="134"/>
      </rPr>
      <t>TJTW-85/2-</t>
    </r>
    <r>
      <rPr>
        <sz val="11"/>
        <color theme="1"/>
        <rFont val="宋体"/>
        <charset val="134"/>
      </rPr>
      <t>？</t>
    </r>
  </si>
  <si>
    <r>
      <rPr>
        <sz val="11"/>
        <color theme="1"/>
        <rFont val="Calibri"/>
        <charset val="134"/>
      </rPr>
      <t>3</t>
    </r>
    <r>
      <rPr>
        <sz val="11"/>
        <color theme="1"/>
        <rFont val="宋体"/>
        <charset val="134"/>
      </rPr>
      <t>月单独发</t>
    </r>
  </si>
  <si>
    <t>TJTW-85/2-3</t>
  </si>
  <si>
    <t>TJTW-85/2-4</t>
  </si>
  <si>
    <r>
      <rPr>
        <sz val="11"/>
        <color theme="1"/>
        <rFont val="Calibri"/>
        <charset val="134"/>
      </rPr>
      <t>5</t>
    </r>
    <r>
      <rPr>
        <sz val="11"/>
        <color theme="1"/>
        <rFont val="宋体"/>
        <charset val="134"/>
      </rPr>
      <t>月与</t>
    </r>
    <r>
      <rPr>
        <sz val="11"/>
        <color theme="1"/>
        <rFont val="Calibri"/>
        <charset val="134"/>
      </rPr>
      <t>115-2</t>
    </r>
    <r>
      <rPr>
        <sz val="11"/>
        <color theme="1"/>
        <rFont val="宋体"/>
        <charset val="134"/>
      </rPr>
      <t>一起</t>
    </r>
  </si>
  <si>
    <t>TJTW-85/2-5</t>
  </si>
  <si>
    <r>
      <rPr>
        <sz val="11"/>
        <color theme="1"/>
        <rFont val="Calibri"/>
        <charset val="134"/>
      </rPr>
      <t>6</t>
    </r>
    <r>
      <rPr>
        <sz val="11"/>
        <color theme="1"/>
        <rFont val="宋体"/>
        <charset val="134"/>
      </rPr>
      <t>月与</t>
    </r>
    <r>
      <rPr>
        <sz val="11"/>
        <color theme="1"/>
        <rFont val="Calibri"/>
        <charset val="134"/>
      </rPr>
      <t>115-3</t>
    </r>
    <r>
      <rPr>
        <sz val="11"/>
        <color theme="1"/>
        <rFont val="宋体"/>
        <charset val="134"/>
      </rPr>
      <t>一起</t>
    </r>
  </si>
  <si>
    <t>TJTW-85/2-6</t>
  </si>
  <si>
    <t>TJTW-85/2-7</t>
  </si>
  <si>
    <t>TJTW-85/2-8</t>
  </si>
  <si>
    <t>TJTW-85/2-9</t>
  </si>
  <si>
    <t>TJTW-99-2</t>
  </si>
  <si>
    <t>第一批发货剩</t>
  </si>
  <si>
    <t>PT-7-1</t>
  </si>
  <si>
    <t>PT-7-2</t>
  </si>
  <si>
    <t>shipped by truck</t>
  </si>
  <si>
    <t>PT-7-2-2</t>
  </si>
  <si>
    <t>PT-7-2-3</t>
  </si>
  <si>
    <t>PT-7-2-4</t>
  </si>
  <si>
    <t>PT-7-5</t>
  </si>
  <si>
    <t>PT-7-3</t>
  </si>
  <si>
    <t>PT-7-3-2</t>
  </si>
  <si>
    <t>PT-7-9</t>
  </si>
  <si>
    <t>PT-7-4</t>
  </si>
  <si>
    <t>PT-7-6</t>
  </si>
  <si>
    <t>PT-7-7</t>
  </si>
  <si>
    <t>PT-7-8</t>
  </si>
  <si>
    <t>PT-7-10</t>
  </si>
  <si>
    <t>PT-7-11</t>
  </si>
  <si>
    <t>PT-7-12</t>
  </si>
  <si>
    <t>PT-7-14</t>
  </si>
  <si>
    <t>PT-7-16</t>
  </si>
  <si>
    <t>0.18*1013*931 DR8 СА</t>
  </si>
  <si>
    <t>PT-7-13</t>
  </si>
  <si>
    <t>PT-7-17</t>
  </si>
  <si>
    <t>PT-7-15</t>
  </si>
  <si>
    <t>TJTW-97-2</t>
  </si>
  <si>
    <t>TJTW-100-1</t>
  </si>
  <si>
    <t>TJTW-100-4</t>
  </si>
  <si>
    <t>TJTW-100-3</t>
  </si>
  <si>
    <t>TJTW-100-2</t>
  </si>
  <si>
    <t>TJTW-102-1</t>
  </si>
  <si>
    <t>TJTW-102-2</t>
  </si>
  <si>
    <t>TJTW-103-2</t>
  </si>
  <si>
    <t>TJTW-103-3</t>
  </si>
  <si>
    <t>TJTW-103-1</t>
  </si>
  <si>
    <t>0.24*1023*957  FF6716-5</t>
  </si>
  <si>
    <t>0.24*1023*957  MN7715-5</t>
  </si>
  <si>
    <t>0.24*1023*957  FF6719-5</t>
  </si>
  <si>
    <t>0.24*1023*957  FF6717-5</t>
  </si>
  <si>
    <t>TJTW-104-2</t>
  </si>
  <si>
    <t>TJTW-104-1</t>
  </si>
  <si>
    <t>TJTW-107-2</t>
  </si>
  <si>
    <t>TJTW-107-3</t>
  </si>
  <si>
    <t>TJTW-107-1</t>
  </si>
  <si>
    <t>NBE-11-2(10-8(10-3-5)</t>
  </si>
  <si>
    <t>NBE-11-3</t>
  </si>
  <si>
    <t>NBE-11-1</t>
  </si>
  <si>
    <t>NBE-11-2</t>
  </si>
  <si>
    <t>NBE-11-10</t>
  </si>
  <si>
    <t>NBE-11-14</t>
  </si>
  <si>
    <t>NBE-11-5</t>
  </si>
  <si>
    <t>NBE-11-4(11-8)</t>
  </si>
  <si>
    <t>на складе在库</t>
  </si>
  <si>
    <t>TJTW-115-1</t>
  </si>
  <si>
    <t>TJTW-115-2</t>
  </si>
  <si>
    <t>TJTW-115-3</t>
  </si>
  <si>
    <t>TJTW-115-4</t>
  </si>
  <si>
    <t>TJTW-116-1</t>
  </si>
  <si>
    <t>TJTW-117-2</t>
  </si>
  <si>
    <t>TJTW-117-1</t>
  </si>
  <si>
    <t>TJTW-119-2</t>
  </si>
  <si>
    <t>TJTW-119-3</t>
  </si>
  <si>
    <t>TJTW-121-5</t>
  </si>
  <si>
    <t>TJTW-121-3</t>
  </si>
  <si>
    <t>TJTW-121-1</t>
  </si>
  <si>
    <t>TJTW-80-6</t>
  </si>
  <si>
    <t>TJTW-121-6</t>
  </si>
  <si>
    <t>TJTW-121-4</t>
  </si>
  <si>
    <t>INTW-21-1</t>
  </si>
  <si>
    <t>INTW-21-2</t>
  </si>
  <si>
    <t>Zn-plate Bottom: diameter 268 mm</t>
  </si>
  <si>
    <t>TMBP Bottom: diameter 268 mm</t>
  </si>
  <si>
    <t>Zn-Plate Korona NBE-form: diameter 285mm</t>
  </si>
  <si>
    <t>TMBP Korona NBE-form: diameter 285mm</t>
  </si>
  <si>
    <t>TMBP Korona China-form: diameter 285mm</t>
  </si>
  <si>
    <t>PT-8-1</t>
  </si>
  <si>
    <t>0.16*892*Coil 2.0/2.0, T4</t>
  </si>
  <si>
    <t>TJTW-122-3</t>
  </si>
  <si>
    <t>TJTW-122-2</t>
  </si>
  <si>
    <t>TJTW-122-1</t>
  </si>
  <si>
    <t>0.17*807*Coil 2.0/2.0, DR 8.5</t>
  </si>
  <si>
    <t>TJTW-124-1</t>
  </si>
  <si>
    <t>TJTW-124-2</t>
  </si>
  <si>
    <t>TJTW-124-3</t>
  </si>
  <si>
    <t>TMBP Bottom diam. 268 mm Thikness: 0.35, Inside PET weiss /Outside PETtransparent Premium Packaging</t>
  </si>
  <si>
    <t>Zn-Plate Korona NBE-Form diam. 285 mm Thikness: 0.35,Inside blank/Outside PETwhite Standart Packaging</t>
  </si>
  <si>
    <t>Zn-Plate Korona NBE-Form diam. 285 mm Thikness: 0.35, Inside blank/Outside PET
white Premium Packaging</t>
  </si>
  <si>
    <t>TMBP Korona NBE-Form diam. 285 mm Thikness: 0.35, Inside PET weiss/Outside PET
transparent Standart Packaging</t>
  </si>
  <si>
    <t>TMBP Korona NBE-Form diam. 285 mm Thikness: 0.35, Inside PET weiss/Outside PET
transparent Premium Packaging</t>
  </si>
  <si>
    <t>TJTW-125-4</t>
  </si>
  <si>
    <t>TJTW-121-2</t>
  </si>
  <si>
    <t>TJTW-125-1</t>
  </si>
  <si>
    <t>TJTW-125-2</t>
  </si>
  <si>
    <t>TJTW-125-3</t>
  </si>
  <si>
    <t>TJTW-125-5</t>
  </si>
  <si>
    <t>Лента холоднокатаная оцинкованная 0,55 мм 22,0 м</t>
  </si>
  <si>
    <t>NBE-13-1</t>
  </si>
  <si>
    <t>NBE-13-2</t>
  </si>
  <si>
    <t>NBE-13-2(samples</t>
  </si>
  <si>
    <t>0.22*765*1040 2.0/2.0 T3 with lamination</t>
  </si>
  <si>
    <t>TJTW-126-1</t>
  </si>
  <si>
    <t>TJTW-126-2</t>
  </si>
  <si>
    <t>TJTW-127-1</t>
  </si>
  <si>
    <t>TJTW-127-4</t>
  </si>
  <si>
    <t>TJTW-127-2</t>
  </si>
  <si>
    <t>TJTW-127-3</t>
  </si>
  <si>
    <t>Seaming chuck</t>
  </si>
  <si>
    <t>Roller</t>
  </si>
  <si>
    <t>0.19* 850*790 Aluminum sheets</t>
  </si>
  <si>
    <t>EOE #401, 98.9 mm, 0.21, T4</t>
  </si>
  <si>
    <t>INTW-25-1</t>
  </si>
  <si>
    <t>INTW-25-2</t>
  </si>
  <si>
    <t>INTW-25-3</t>
  </si>
  <si>
    <t>INTW-25-4</t>
  </si>
  <si>
    <t>TJTW-135-1</t>
  </si>
  <si>
    <t>TJTW-136-2</t>
  </si>
  <si>
    <t>TJTW-136-1</t>
  </si>
  <si>
    <t>NBE-14-9</t>
  </si>
  <si>
    <t>NBE-14-5</t>
  </si>
  <si>
    <t>NBE-14-6</t>
  </si>
  <si>
    <t>NBE-14-12</t>
  </si>
  <si>
    <t>NBE-14-7</t>
  </si>
  <si>
    <t>NBE-14-8</t>
  </si>
  <si>
    <t>NBE-14-10</t>
  </si>
  <si>
    <t>NBE-14-14(18)</t>
  </si>
  <si>
    <t>NBE-14-11</t>
  </si>
  <si>
    <t>0.22*1040*765 1.5/1.5 T3 with lamination(sample)</t>
  </si>
  <si>
    <t>0.23*905*720 1.5/1.5 T3 with lamination(sample)</t>
  </si>
  <si>
    <t>NBE-14-13</t>
  </si>
  <si>
    <t>NBE-14-4</t>
  </si>
  <si>
    <t>NBE-14-2</t>
  </si>
  <si>
    <t>NBE-14-3</t>
  </si>
  <si>
    <t>NBE-14-1</t>
  </si>
  <si>
    <t>0.24*914*758 1.5/1.5 T2.5 with lamination</t>
  </si>
  <si>
    <r>
      <rPr>
        <sz val="11"/>
        <color theme="1"/>
        <rFont val="Calibri"/>
        <charset val="134"/>
      </rPr>
      <t>TJTW-75-9</t>
    </r>
    <r>
      <rPr>
        <sz val="11"/>
        <color theme="1"/>
        <rFont val="宋体"/>
        <charset val="134"/>
      </rPr>
      <t>（</t>
    </r>
    <r>
      <rPr>
        <sz val="11"/>
        <color theme="1"/>
        <rFont val="Calibri"/>
        <charset val="134"/>
      </rPr>
      <t>new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</si>
  <si>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Calibri"/>
        <charset val="134"/>
      </rPr>
      <t>TJTW-75-10</t>
    </r>
    <r>
      <rPr>
        <sz val="11"/>
        <color theme="1"/>
        <rFont val="宋体"/>
        <charset val="134"/>
      </rPr>
      <t>（</t>
    </r>
    <r>
      <rPr>
        <sz val="11"/>
        <color theme="1"/>
        <rFont val="Calibri"/>
        <charset val="134"/>
      </rPr>
      <t>new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</si>
  <si>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Calibri"/>
        <charset val="134"/>
      </rPr>
      <t>TJTW-80-7</t>
    </r>
    <r>
      <rPr>
        <sz val="11"/>
        <color theme="1"/>
        <rFont val="宋体"/>
        <charset val="134"/>
      </rPr>
      <t>（</t>
    </r>
    <r>
      <rPr>
        <sz val="11"/>
        <color theme="1"/>
        <rFont val="Calibri"/>
        <charset val="134"/>
      </rPr>
      <t>new</t>
    </r>
    <r>
      <rPr>
        <sz val="11"/>
        <color theme="1"/>
        <rFont val="宋体"/>
        <charset val="134"/>
      </rPr>
      <t>）</t>
    </r>
  </si>
  <si>
    <t>TJTW-75-11(NEW)</t>
  </si>
  <si>
    <r>
      <rPr>
        <sz val="11"/>
        <color theme="1"/>
        <rFont val="Calibri"/>
        <charset val="134"/>
      </rPr>
      <t>TJTW-80-8</t>
    </r>
    <r>
      <rPr>
        <sz val="11"/>
        <color theme="1"/>
        <rFont val="宋体"/>
        <charset val="134"/>
      </rPr>
      <t>（NEW）</t>
    </r>
  </si>
  <si>
    <t>TJTW-80-6(new)</t>
  </si>
  <si>
    <t>TJTW-121-4(NEW)</t>
  </si>
  <si>
    <r>
      <rPr>
        <sz val="11"/>
        <color theme="1"/>
        <rFont val="Calibri"/>
        <charset val="134"/>
      </rPr>
      <t>TJTW-121-2</t>
    </r>
    <r>
      <rPr>
        <sz val="11"/>
        <color theme="1"/>
        <rFont val="宋体"/>
        <charset val="134"/>
      </rPr>
      <t>（</t>
    </r>
    <r>
      <rPr>
        <sz val="11"/>
        <color theme="1"/>
        <rFont val="Calibri"/>
        <charset val="134"/>
      </rPr>
      <t>new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</si>
  <si>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Calibri"/>
        <charset val="134"/>
      </rPr>
      <t>TJTW-121-3</t>
    </r>
    <r>
      <rPr>
        <sz val="11"/>
        <color theme="1"/>
        <rFont val="宋体"/>
        <charset val="134"/>
      </rPr>
      <t>（</t>
    </r>
    <r>
      <rPr>
        <sz val="11"/>
        <color theme="1"/>
        <rFont val="Calibri"/>
        <charset val="134"/>
      </rPr>
      <t>new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</si>
  <si>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Calibri"/>
        <charset val="134"/>
      </rPr>
      <t>TJTW-125-1</t>
    </r>
    <r>
      <rPr>
        <sz val="11"/>
        <color theme="1"/>
        <rFont val="宋体"/>
        <charset val="134"/>
      </rPr>
      <t>（</t>
    </r>
    <r>
      <rPr>
        <sz val="11"/>
        <color theme="1"/>
        <rFont val="Calibri"/>
        <charset val="134"/>
      </rPr>
      <t>new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</si>
  <si>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Calibri"/>
        <charset val="134"/>
      </rPr>
      <t>TJTW-125-2</t>
    </r>
    <r>
      <rPr>
        <sz val="11"/>
        <color theme="1"/>
        <rFont val="宋体"/>
        <charset val="134"/>
      </rPr>
      <t>（</t>
    </r>
    <r>
      <rPr>
        <sz val="11"/>
        <color theme="1"/>
        <rFont val="Calibri"/>
        <charset val="134"/>
      </rPr>
      <t>new</t>
    </r>
    <r>
      <rPr>
        <sz val="11"/>
        <color theme="1"/>
        <rFont val="宋体"/>
        <charset val="134"/>
      </rPr>
      <t>）</t>
    </r>
  </si>
  <si>
    <t>TJTW-125-3(NEW)</t>
  </si>
  <si>
    <t>TJTW-137-1</t>
  </si>
  <si>
    <t>TJTW-137-2</t>
  </si>
  <si>
    <t>0.18*836*906 Scroll Sheets Т3 2.8/2.8 Stone, BA</t>
  </si>
  <si>
    <t>TJTW-138-1</t>
  </si>
  <si>
    <t>TJTW-138-2</t>
  </si>
  <si>
    <t>TJTW-140-1</t>
  </si>
  <si>
    <t>TJTW-140-2</t>
  </si>
  <si>
    <t>TJTW-140-4</t>
  </si>
  <si>
    <t>TJTW-140-3</t>
  </si>
  <si>
    <t>TJTW-140-5</t>
  </si>
  <si>
    <t>张总，天津付</t>
  </si>
  <si>
    <t>TJTW-142-2</t>
  </si>
  <si>
    <t>张总，UAB付</t>
  </si>
  <si>
    <t>TJTW-142-1</t>
  </si>
  <si>
    <t>TJTW-144-2</t>
  </si>
  <si>
    <t>TJTW-144-5</t>
  </si>
  <si>
    <t>TJTW-144-4</t>
  </si>
  <si>
    <t>TJTW-144-1</t>
  </si>
  <si>
    <t>TJTW-144-3</t>
  </si>
  <si>
    <t>TJTW-145-1</t>
  </si>
  <si>
    <t>TJTW-145-2</t>
  </si>
  <si>
    <t>EOE #401, 99.8 mm, 0.21, T4, ETP</t>
  </si>
  <si>
    <t>TJTW-149-1</t>
  </si>
  <si>
    <t>TJTW-152-2</t>
  </si>
  <si>
    <t>TJTW-152-1</t>
  </si>
  <si>
    <t>INTW-27-1</t>
  </si>
  <si>
    <t>73mm #300 0.19</t>
  </si>
  <si>
    <t>INTW-27-2</t>
  </si>
  <si>
    <t>INTW-27-3</t>
  </si>
  <si>
    <t>INTW-27-4</t>
  </si>
  <si>
    <t>INTW-28-1</t>
  </si>
  <si>
    <t>99mm 0.20 #401 SE*2</t>
  </si>
  <si>
    <t>INTW-28-2</t>
  </si>
  <si>
    <t>INTW-28-3</t>
  </si>
  <si>
    <t>INTW-28-4</t>
  </si>
  <si>
    <t>73mm #300 0.20 T5</t>
  </si>
  <si>
    <t>0.17*730*857 T4 2.8/2.8  VARNISHED</t>
  </si>
  <si>
    <t xml:space="preserve"> shipments</t>
  </si>
  <si>
    <t>Preparation date 
货好日期</t>
  </si>
  <si>
    <t xml:space="preserve">Received ADV
已收到预付款 </t>
  </si>
  <si>
    <t>Preparation date
货好时间</t>
  </si>
  <si>
    <t xml:space="preserve"> #401 ETP BPA FREE</t>
  </si>
  <si>
    <t xml:space="preserve"> #401 TFS BPA FREE</t>
  </si>
  <si>
    <t xml:space="preserve"> #401 TFS</t>
  </si>
  <si>
    <t xml:space="preserve">0.16X875xC </t>
  </si>
  <si>
    <t xml:space="preserve">BJHS-XWST-241022-01  </t>
  </si>
  <si>
    <t xml:space="preserve">BZJY202411-18 </t>
  </si>
  <si>
    <t>0.17*818*913</t>
  </si>
  <si>
    <t>7739,44 списали с инвойса 40-5</t>
  </si>
  <si>
    <t>0.17*905*836.5 VARNISH BPA FREE</t>
  </si>
  <si>
    <t xml:space="preserve">0.18*905*836.5 VARNISH alum  BPA </t>
  </si>
  <si>
    <t xml:space="preserve">GOD. INV  18-9 ( Final 2 244,26) INV -49 ( Final 26 928,93) INV-50-2 ( Final 226 899,56) INV-50-3 ( Final 139 131,54) INV 50-4 ( Final 177 832,39) INV-55 ( Final 286 795,92) INV-55-2 ( Final 15 459,18) </t>
  </si>
  <si>
    <r>
      <rPr>
        <sz val="11"/>
        <color theme="1"/>
        <rFont val="Calibri"/>
        <charset val="134"/>
      </rPr>
      <t xml:space="preserve">0.18*905*836.5 VARNISH </t>
    </r>
    <r>
      <rPr>
        <sz val="11"/>
        <color theme="1"/>
        <rFont val="宋体"/>
        <charset val="204"/>
      </rPr>
      <t>gold</t>
    </r>
    <r>
      <rPr>
        <sz val="11"/>
        <color theme="1"/>
        <rFont val="Calibri"/>
        <charset val="134"/>
      </rPr>
      <t>+</t>
    </r>
    <r>
      <rPr>
        <sz val="11"/>
        <color theme="1"/>
        <rFont val="宋体"/>
        <charset val="204"/>
      </rPr>
      <t>alum</t>
    </r>
    <r>
      <rPr>
        <sz val="11"/>
        <color theme="1"/>
        <rFont val="Calibri"/>
        <charset val="134"/>
      </rPr>
      <t xml:space="preserve"> BPA </t>
    </r>
  </si>
  <si>
    <r>
      <rPr>
        <sz val="11"/>
        <color theme="1"/>
        <rFont val="Calibri"/>
        <charset val="134"/>
      </rPr>
      <t>0.18*905*836.5 VARNISH gold+</t>
    </r>
    <r>
      <rPr>
        <sz val="11"/>
        <color theme="1"/>
        <rFont val="宋体"/>
        <charset val="204"/>
      </rPr>
      <t>alum</t>
    </r>
    <r>
      <rPr>
        <sz val="11"/>
        <color theme="1"/>
        <rFont val="Calibri"/>
        <charset val="134"/>
      </rPr>
      <t xml:space="preserve"> BPA FREE</t>
    </r>
  </si>
  <si>
    <r>
      <rPr>
        <sz val="11"/>
        <color theme="1"/>
        <rFont val="Calibri"/>
        <charset val="134"/>
      </rPr>
      <t xml:space="preserve">0.18*905*836.5 VARNISH </t>
    </r>
    <r>
      <rPr>
        <sz val="11"/>
        <color theme="1"/>
        <rFont val="宋体"/>
        <charset val="204"/>
      </rPr>
      <t xml:space="preserve">alum </t>
    </r>
    <r>
      <rPr>
        <sz val="11"/>
        <color theme="1"/>
        <rFont val="Calibri"/>
        <charset val="134"/>
      </rPr>
      <t xml:space="preserve"> BPA FREE</t>
    </r>
  </si>
  <si>
    <t>0.17*818*913 VARNISH BPA FREE</t>
  </si>
  <si>
    <t xml:space="preserve">0.17*730*857 T4 2.8/2.8 </t>
  </si>
  <si>
    <t xml:space="preserve">0.17*818*913 T4 2.8/2.8 </t>
  </si>
  <si>
    <t xml:space="preserve">0.18*900*712 T3 2.8/2.8 </t>
  </si>
  <si>
    <t xml:space="preserve">0.18*905*836.5 T4 2.8/2.8 </t>
  </si>
  <si>
    <t>INDKS</t>
  </si>
  <si>
    <t>NF USD</t>
  </si>
  <si>
    <t>NF CNY 7,1</t>
  </si>
  <si>
    <t>Client payments</t>
  </si>
  <si>
    <t>Balance</t>
  </si>
  <si>
    <t>Before</t>
  </si>
  <si>
    <t>June 1-7</t>
  </si>
  <si>
    <t>June 8-15</t>
  </si>
  <si>
    <t>June 16-23</t>
  </si>
  <si>
    <t>June 24-30</t>
  </si>
  <si>
    <t>July 1-7</t>
  </si>
  <si>
    <t>July 8-15</t>
  </si>
  <si>
    <t>July 16-23</t>
  </si>
  <si>
    <t>July 24-31</t>
  </si>
  <si>
    <t>August 1-7</t>
  </si>
  <si>
    <t>August 8-15</t>
  </si>
  <si>
    <t>August 16-23</t>
  </si>
  <si>
    <t>August 24-31</t>
  </si>
  <si>
    <t>September 1-7</t>
  </si>
  <si>
    <t>September 8-15</t>
  </si>
  <si>
    <t>September 16-23</t>
  </si>
  <si>
    <t>September 24-30</t>
  </si>
  <si>
    <t>October 1-7</t>
  </si>
  <si>
    <t>October 8-15</t>
  </si>
  <si>
    <t>October 16-23</t>
  </si>
  <si>
    <t>October 24-31</t>
  </si>
  <si>
    <t>November 1-7</t>
  </si>
  <si>
    <t>November 8-15</t>
  </si>
  <si>
    <t>November 16-23</t>
  </si>
  <si>
    <t>November 24-30</t>
  </si>
  <si>
    <t>December 1-7</t>
  </si>
  <si>
    <t>December 8-15</t>
  </si>
  <si>
    <t>December 16-23</t>
  </si>
  <si>
    <t>December 24-31</t>
  </si>
  <si>
    <t>January 1-7</t>
  </si>
  <si>
    <t>January 8-15</t>
  </si>
  <si>
    <t>January 16-23</t>
  </si>
  <si>
    <t>January 24-31</t>
  </si>
  <si>
    <t>February 1-7</t>
  </si>
  <si>
    <t>February 8-15</t>
  </si>
  <si>
    <t>February 16-23</t>
  </si>
  <si>
    <t>February 24-31</t>
  </si>
  <si>
    <t>March 1-7</t>
  </si>
  <si>
    <t>March 8-15</t>
  </si>
  <si>
    <t>March 16-23</t>
  </si>
  <si>
    <t>March 24-31</t>
  </si>
  <si>
    <t>April 1-7</t>
  </si>
  <si>
    <t>April 8-15</t>
  </si>
  <si>
    <t>April 16-23</t>
  </si>
  <si>
    <t>April 24-31</t>
  </si>
  <si>
    <t>May 1-7</t>
  </si>
  <si>
    <t>May 8-15</t>
  </si>
  <si>
    <t>May 16-23</t>
  </si>
  <si>
    <t>May 24-31</t>
  </si>
  <si>
    <r>
      <rPr>
        <sz val="12"/>
        <color rgb="FF000000"/>
        <rFont val="宋体"/>
        <charset val="134"/>
      </rPr>
      <t>发票号</t>
    </r>
    <r>
      <rPr>
        <sz val="12"/>
        <color rgb="FF000000"/>
        <rFont val="Times New Roman"/>
        <charset val="134"/>
      </rPr>
      <t xml:space="preserve">
Инвойс</t>
    </r>
  </si>
  <si>
    <r>
      <rPr>
        <sz val="12"/>
        <color rgb="FF000000"/>
        <rFont val="宋体"/>
        <charset val="134"/>
      </rPr>
      <t>规格</t>
    </r>
    <r>
      <rPr>
        <sz val="12"/>
        <color rgb="FF000000"/>
        <rFont val="Times New Roman"/>
        <charset val="134"/>
      </rPr>
      <t xml:space="preserve">
Спецификация</t>
    </r>
  </si>
  <si>
    <r>
      <rPr>
        <sz val="12"/>
        <color rgb="FF000000"/>
        <rFont val="宋体"/>
        <charset val="134"/>
      </rPr>
      <t>净重</t>
    </r>
    <r>
      <rPr>
        <sz val="12"/>
        <color rgb="FF000000"/>
        <rFont val="Times New Roman"/>
        <charset val="134"/>
      </rPr>
      <t xml:space="preserve">
Вес нетто / Тонн</t>
    </r>
  </si>
  <si>
    <r>
      <rPr>
        <sz val="12"/>
        <color rgb="FF000000"/>
        <rFont val="宋体"/>
        <charset val="134"/>
      </rPr>
      <t>单价</t>
    </r>
    <r>
      <rPr>
        <sz val="12"/>
        <color rgb="FF000000"/>
        <rFont val="Times New Roman"/>
        <charset val="134"/>
      </rPr>
      <t>(CNY)
Цена</t>
    </r>
  </si>
  <si>
    <r>
      <rPr>
        <sz val="12"/>
        <color rgb="FF000000"/>
        <rFont val="宋体"/>
        <charset val="134"/>
      </rPr>
      <t>报关金额</t>
    </r>
    <r>
      <rPr>
        <sz val="12"/>
        <color rgb="FF000000"/>
        <rFont val="Times New Roman"/>
        <charset val="134"/>
      </rPr>
      <t xml:space="preserve">
Сумма экспорта</t>
    </r>
  </si>
  <si>
    <r>
      <rPr>
        <sz val="12"/>
        <color rgb="FF000000"/>
        <rFont val="宋体"/>
        <charset val="134"/>
      </rPr>
      <t>已付</t>
    </r>
    <r>
      <rPr>
        <sz val="12"/>
        <color rgb="FF000000"/>
        <rFont val="Times New Roman"/>
        <charset val="134"/>
      </rPr>
      <t xml:space="preserve">
Оплачено</t>
    </r>
  </si>
  <si>
    <r>
      <rPr>
        <sz val="12"/>
        <color rgb="FF000000"/>
        <rFont val="宋体"/>
        <charset val="134"/>
      </rPr>
      <t>未付</t>
    </r>
    <r>
      <rPr>
        <sz val="12"/>
        <color rgb="FF000000"/>
        <rFont val="Times New Roman"/>
        <charset val="134"/>
      </rPr>
      <t xml:space="preserve">
Неоплачено</t>
    </r>
  </si>
  <si>
    <r>
      <rPr>
        <sz val="12"/>
        <color rgb="FF000000"/>
        <rFont val="宋体"/>
        <charset val="134"/>
      </rPr>
      <t>货到港口日期</t>
    </r>
    <r>
      <rPr>
        <sz val="12"/>
        <color rgb="FF000000"/>
        <rFont val="Times New Roman"/>
        <charset val="134"/>
      </rPr>
      <t xml:space="preserve">
Дата прибытия</t>
    </r>
  </si>
  <si>
    <r>
      <rPr>
        <sz val="12"/>
        <color rgb="FF000000"/>
        <rFont val="宋体"/>
        <charset val="134"/>
      </rPr>
      <t>付款日期</t>
    </r>
    <r>
      <rPr>
        <sz val="12"/>
        <color rgb="FF000000"/>
        <rFont val="Times New Roman"/>
        <charset val="134"/>
      </rPr>
      <t xml:space="preserve">
Дата оплаты</t>
    </r>
  </si>
  <si>
    <r>
      <rPr>
        <sz val="12"/>
        <color rgb="FF000000"/>
        <rFont val="宋体"/>
        <charset val="134"/>
      </rPr>
      <t>备注</t>
    </r>
    <r>
      <rPr>
        <sz val="12"/>
        <color rgb="FF000000"/>
        <rFont val="Times New Roman"/>
        <charset val="134"/>
      </rPr>
      <t xml:space="preserve">
Примечание</t>
    </r>
  </si>
  <si>
    <t>TW-1</t>
  </si>
  <si>
    <t>OPPER GRANULES &lt;99%</t>
  </si>
  <si>
    <t>TW-218</t>
  </si>
  <si>
    <t>TW-296</t>
  </si>
  <si>
    <t>RECYCLING MATERIALS FOR COPPER(RCu-1C)</t>
  </si>
  <si>
    <t>RECYCLING MATERIALS FOR COPPER(RCu-2B)</t>
  </si>
  <si>
    <t>TW-297</t>
  </si>
  <si>
    <r>
      <rPr>
        <sz val="12"/>
        <color rgb="FF000000"/>
        <rFont val="宋体"/>
        <charset val="134"/>
      </rPr>
      <t>退运</t>
    </r>
    <r>
      <rPr>
        <sz val="12"/>
        <color rgb="FF000000"/>
        <rFont val="Times New Roman"/>
        <charset val="134"/>
      </rPr>
      <t xml:space="preserve">
Возврат</t>
    </r>
  </si>
  <si>
    <t>TW-298</t>
  </si>
  <si>
    <t>TW-307</t>
  </si>
  <si>
    <t>TW-355</t>
  </si>
  <si>
    <t>Copper recycled material（Rcu-1B）</t>
  </si>
  <si>
    <t>Copper recycled material（Rcu-2B）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</si>
</sst>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3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_ "/>
    <numFmt numFmtId="178" formatCode="yyyy\-mm\-dd;@"/>
    <numFmt numFmtId="179" formatCode="yyyy/m/d;@"/>
    <numFmt numFmtId="180" formatCode="_(* #,##0.00_);_(* \(#,##0.00\);_(* &quot;-&quot;??_);_(@_)"/>
    <numFmt numFmtId="181" formatCode="0.0000_ "/>
    <numFmt numFmtId="182" formatCode="#,##0.000_ "/>
    <numFmt numFmtId="183" formatCode="#,##0.000"/>
    <numFmt numFmtId="184" formatCode="#,##0.00_ "/>
    <numFmt numFmtId="185" formatCode="[$-409]yyyy\-mm\-dd;@"/>
    <numFmt numFmtId="186" formatCode="_(* #,##0_);_(* \(#,##0\);_(* &quot;-&quot;??_);_(@_)"/>
    <numFmt numFmtId="187" formatCode="_ * #,##0_ ;_ * \-#,##0_ ;_ * &quot;-&quot;??_ ;_ @_ "/>
    <numFmt numFmtId="188" formatCode="#,##0.00000_ "/>
    <numFmt numFmtId="189" formatCode="_-* #,##0.00\ _₽_-;\-* #,##0.00\ _₽_-;_-* &quot;-&quot;??\ _₽_-;_-@_-"/>
    <numFmt numFmtId="190" formatCode="_(* #,##0.00_);_(* \(#,##0.00\);_(* &quot;-&quot;??.00_);_(@_)"/>
    <numFmt numFmtId="191" formatCode="dd/mm/yyyy;@"/>
    <numFmt numFmtId="192" formatCode="#,##0.0000"/>
    <numFmt numFmtId="193" formatCode="#,##0_ "/>
    <numFmt numFmtId="194" formatCode="#,##0.0000_ "/>
    <numFmt numFmtId="195" formatCode="0.00_);[Red]\(0.00\)"/>
    <numFmt numFmtId="196" formatCode="\$#,##0.00;\-\$#,##0.00"/>
    <numFmt numFmtId="197" formatCode="0.00000_ "/>
    <numFmt numFmtId="198" formatCode="0_);[Red]\(0\)"/>
    <numFmt numFmtId="199" formatCode="0.000"/>
    <numFmt numFmtId="200" formatCode="0_ "/>
    <numFmt numFmtId="201" formatCode="#,##0.00000"/>
    <numFmt numFmtId="202" formatCode="_-* #,##0.00\ _€_-;\-* #,##0.00\ _€_-;_-* &quot;-&quot;??\ _€_-;_-@_-"/>
  </numFmts>
  <fonts count="52">
    <font>
      <sz val="11"/>
      <color theme="1"/>
      <name val="宋体"/>
      <charset val="134"/>
      <scheme val="minor"/>
    </font>
    <font>
      <sz val="12"/>
      <color rgb="FF000000"/>
      <name val="Times New Roman"/>
      <charset val="134"/>
    </font>
    <font>
      <sz val="12"/>
      <name val="Times New Roman"/>
      <charset val="134"/>
    </font>
    <font>
      <strike/>
      <sz val="12"/>
      <color rgb="FF000000"/>
      <name val="Times New Roman"/>
      <charset val="134"/>
    </font>
    <font>
      <strike/>
      <sz val="12"/>
      <name val="Times New Roman"/>
      <charset val="134"/>
    </font>
    <font>
      <sz val="12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16"/>
      <color theme="1"/>
      <name val="Calibri"/>
      <charset val="134"/>
    </font>
    <font>
      <b/>
      <sz val="11"/>
      <color rgb="FFFF0000"/>
      <name val="Calibri"/>
      <charset val="134"/>
    </font>
    <font>
      <sz val="11"/>
      <color theme="1"/>
      <name val="宋体"/>
      <charset val="134"/>
    </font>
    <font>
      <sz val="11"/>
      <color theme="1"/>
      <name val="宋体"/>
      <charset val="204"/>
    </font>
    <font>
      <sz val="11"/>
      <name val="Calibri"/>
      <charset val="134"/>
    </font>
    <font>
      <sz val="11"/>
      <color rgb="FFFF0000"/>
      <name val="Calibri"/>
      <charset val="134"/>
    </font>
    <font>
      <sz val="11"/>
      <color rgb="FFFF0000"/>
      <name val="宋体"/>
      <charset val="134"/>
      <scheme val="minor"/>
    </font>
    <font>
      <sz val="11"/>
      <color rgb="FF000000"/>
      <name val="Calibri"/>
      <charset val="134"/>
    </font>
    <font>
      <sz val="11"/>
      <color rgb="FF0070C0"/>
      <name val="Calibri"/>
      <charset val="134"/>
    </font>
    <font>
      <b/>
      <sz val="11"/>
      <color rgb="FF000000"/>
      <name val="Calibri"/>
      <charset val="134"/>
    </font>
    <font>
      <b/>
      <sz val="11"/>
      <color theme="1"/>
      <name val="宋体"/>
      <charset val="134"/>
    </font>
    <font>
      <b/>
      <sz val="10"/>
      <color rgb="FF000000"/>
      <name val="Calibri"/>
      <charset val="134"/>
    </font>
    <font>
      <b/>
      <sz val="11"/>
      <name val="Calibri"/>
      <charset val="134"/>
    </font>
    <font>
      <b/>
      <sz val="11"/>
      <color theme="1"/>
      <name val="宋体"/>
      <charset val="204"/>
    </font>
    <font>
      <sz val="10"/>
      <color theme="1"/>
      <name val="Calibri"/>
      <charset val="134"/>
    </font>
    <font>
      <sz val="11.05"/>
      <color rgb="FF000000"/>
      <name val="Calibri"/>
      <charset val="134"/>
    </font>
    <font>
      <sz val="12"/>
      <name val="宋体"/>
      <charset val="134"/>
    </font>
    <font>
      <strike/>
      <sz val="11"/>
      <color theme="1"/>
      <name val="Calibri"/>
      <charset val="134"/>
    </font>
    <font>
      <sz val="9"/>
      <color theme="1"/>
      <name val="Calibri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6"/>
      <color theme="1"/>
      <name val="Calibri"/>
      <charset val="134"/>
    </font>
    <font>
      <sz val="10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48">
    <fill>
      <patternFill patternType="none"/>
    </fill>
    <fill>
      <patternFill patternType="gray125"/>
    </fill>
    <fill>
      <patternFill patternType="solid">
        <fgColor rgb="FFF9CBAA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340800195319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7" tint="0.7993408001953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66719565416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3966490676595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17" borderId="57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58" applyNumberFormat="0" applyFill="0" applyAlignment="0" applyProtection="0">
      <alignment vertical="center"/>
    </xf>
    <xf numFmtId="0" fontId="35" fillId="0" borderId="58" applyNumberFormat="0" applyFill="0" applyAlignment="0" applyProtection="0">
      <alignment vertical="center"/>
    </xf>
    <xf numFmtId="0" fontId="36" fillId="0" borderId="59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18" borderId="60" applyNumberFormat="0" applyAlignment="0" applyProtection="0">
      <alignment vertical="center"/>
    </xf>
    <xf numFmtId="0" fontId="38" fillId="19" borderId="61" applyNumberFormat="0" applyAlignment="0" applyProtection="0">
      <alignment vertical="center"/>
    </xf>
    <xf numFmtId="0" fontId="39" fillId="19" borderId="60" applyNumberFormat="0" applyAlignment="0" applyProtection="0">
      <alignment vertical="center"/>
    </xf>
    <xf numFmtId="0" fontId="40" fillId="20" borderId="62"/>
    <xf numFmtId="0" fontId="41" fillId="0" borderId="63" applyNumberFormat="0" applyFill="0" applyAlignment="0" applyProtection="0">
      <alignment vertical="center"/>
    </xf>
    <xf numFmtId="0" fontId="42" fillId="0" borderId="64" applyNumberFormat="0" applyFill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6" fillId="43" borderId="0" applyNumberFormat="0" applyBorder="0" applyAlignment="0" applyProtection="0">
      <alignment vertical="center"/>
    </xf>
    <xf numFmtId="0" fontId="46" fillId="44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6" fillId="47" borderId="0" applyNumberFormat="0" applyBorder="0" applyAlignment="0" applyProtection="0">
      <alignment vertical="center"/>
    </xf>
    <xf numFmtId="43" fontId="0" fillId="0" borderId="0"/>
    <xf numFmtId="0" fontId="0" fillId="0" borderId="0"/>
  </cellStyleXfs>
  <cellXfs count="76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177" fontId="1" fillId="3" borderId="1" xfId="0" applyNumberFormat="1" applyFont="1" applyFill="1" applyBorder="1" applyAlignment="1">
      <alignment horizontal="center" vertical="center"/>
    </xf>
    <xf numFmtId="178" fontId="2" fillId="3" borderId="1" xfId="0" applyNumberFormat="1" applyFont="1" applyFill="1" applyBorder="1" applyAlignment="1">
      <alignment horizontal="center"/>
    </xf>
    <xf numFmtId="179" fontId="1" fillId="3" borderId="1" xfId="0" applyNumberFormat="1" applyFont="1" applyFill="1" applyBorder="1" applyAlignment="1">
      <alignment horizontal="center" vertical="center"/>
    </xf>
    <xf numFmtId="180" fontId="1" fillId="3" borderId="1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/>
    </xf>
    <xf numFmtId="179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81" fontId="1" fillId="0" borderId="1" xfId="0" applyNumberFormat="1" applyFont="1" applyBorder="1" applyAlignment="1">
      <alignment horizontal="center" vertical="center"/>
    </xf>
    <xf numFmtId="177" fontId="1" fillId="0" borderId="2" xfId="0" applyNumberFormat="1" applyFont="1" applyBorder="1" applyAlignment="1">
      <alignment horizontal="center" vertical="center"/>
    </xf>
    <xf numFmtId="177" fontId="1" fillId="0" borderId="3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79" fontId="1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9" fontId="1" fillId="0" borderId="3" xfId="0" applyNumberFormat="1" applyFont="1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6" fillId="0" borderId="0" xfId="0" applyFont="1">
      <alignment vertical="center"/>
    </xf>
    <xf numFmtId="4" fontId="0" fillId="0" borderId="0" xfId="0" applyNumberFormat="1">
      <alignment vertical="center"/>
    </xf>
    <xf numFmtId="4" fontId="0" fillId="0" borderId="0" xfId="0" applyNumberFormat="1" applyAlignment="1">
      <alignment horizontal="center" vertical="center"/>
    </xf>
    <xf numFmtId="0" fontId="6" fillId="0" borderId="4" xfId="0" applyFont="1" applyBorder="1">
      <alignment vertical="center"/>
    </xf>
    <xf numFmtId="4" fontId="6" fillId="0" borderId="5" xfId="0" applyNumberFormat="1" applyFont="1" applyBorder="1" applyAlignment="1">
      <alignment horizontal="center" vertical="center"/>
    </xf>
    <xf numFmtId="4" fontId="6" fillId="0" borderId="0" xfId="0" applyNumberFormat="1" applyFont="1">
      <alignment vertical="center"/>
    </xf>
    <xf numFmtId="4" fontId="6" fillId="0" borderId="4" xfId="0" applyNumberFormat="1" applyFont="1" applyBorder="1" applyAlignment="1">
      <alignment horizontal="center" vertical="center"/>
    </xf>
    <xf numFmtId="4" fontId="6" fillId="0" borderId="6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4" xfId="0" applyBorder="1">
      <alignment vertical="center"/>
    </xf>
    <xf numFmtId="4" fontId="0" fillId="0" borderId="5" xfId="0" applyNumberFormat="1" applyBorder="1">
      <alignment vertical="center"/>
    </xf>
    <xf numFmtId="4" fontId="0" fillId="0" borderId="4" xfId="0" applyNumberFormat="1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4" fontId="0" fillId="0" borderId="5" xfId="0" applyNumberFormat="1" applyBorder="1" applyAlignment="1">
      <alignment horizontal="center" vertical="center"/>
    </xf>
    <xf numFmtId="0" fontId="0" fillId="0" borderId="7" xfId="0" applyBorder="1">
      <alignment vertical="center"/>
    </xf>
    <xf numFmtId="4" fontId="0" fillId="0" borderId="8" xfId="0" applyNumberFormat="1" applyBorder="1">
      <alignment vertical="center"/>
    </xf>
    <xf numFmtId="4" fontId="0" fillId="0" borderId="7" xfId="0" applyNumberFormat="1" applyBorder="1" applyAlignment="1">
      <alignment horizontal="center" vertical="center"/>
    </xf>
    <xf numFmtId="4" fontId="0" fillId="0" borderId="9" xfId="0" applyNumberFormat="1" applyBorder="1" applyAlignment="1">
      <alignment horizontal="center" vertical="center"/>
    </xf>
    <xf numFmtId="4" fontId="0" fillId="0" borderId="8" xfId="0" applyNumberFormat="1" applyBorder="1" applyAlignment="1">
      <alignment horizontal="center" vertical="center"/>
    </xf>
    <xf numFmtId="0" fontId="0" fillId="0" borderId="10" xfId="0" applyBorder="1">
      <alignment vertical="center"/>
    </xf>
    <xf numFmtId="4" fontId="0" fillId="0" borderId="11" xfId="0" applyNumberFormat="1" applyBorder="1">
      <alignment vertical="center"/>
    </xf>
    <xf numFmtId="4" fontId="0" fillId="0" borderId="10" xfId="0" applyNumberFormat="1" applyBorder="1" applyAlignment="1">
      <alignment horizontal="center" vertical="center"/>
    </xf>
    <xf numFmtId="4" fontId="0" fillId="0" borderId="12" xfId="0" applyNumberFormat="1" applyBorder="1" applyAlignment="1">
      <alignment horizontal="center" vertical="center"/>
    </xf>
    <xf numFmtId="4" fontId="0" fillId="0" borderId="11" xfId="0" applyNumberFormat="1" applyBorder="1" applyAlignment="1">
      <alignment horizontal="center" vertical="center"/>
    </xf>
    <xf numFmtId="0" fontId="0" fillId="0" borderId="13" xfId="0" applyBorder="1">
      <alignment vertical="center"/>
    </xf>
    <xf numFmtId="4" fontId="0" fillId="0" borderId="14" xfId="0" applyNumberFormat="1" applyBorder="1">
      <alignment vertical="center"/>
    </xf>
    <xf numFmtId="4" fontId="0" fillId="0" borderId="13" xfId="0" applyNumberFormat="1" applyBorder="1" applyAlignment="1">
      <alignment horizontal="center" vertical="center"/>
    </xf>
    <xf numFmtId="4" fontId="0" fillId="0" borderId="15" xfId="0" applyNumberFormat="1" applyBorder="1" applyAlignment="1">
      <alignment horizontal="center" vertical="center"/>
    </xf>
    <xf numFmtId="4" fontId="0" fillId="0" borderId="14" xfId="0" applyNumberFormat="1" applyBorder="1" applyAlignment="1">
      <alignment horizontal="center" vertical="center"/>
    </xf>
    <xf numFmtId="0" fontId="0" fillId="0" borderId="16" xfId="0" applyBorder="1">
      <alignment vertical="center"/>
    </xf>
    <xf numFmtId="4" fontId="0" fillId="0" borderId="17" xfId="0" applyNumberFormat="1" applyBorder="1">
      <alignment vertical="center"/>
    </xf>
    <xf numFmtId="4" fontId="0" fillId="0" borderId="12" xfId="0" applyNumberFormat="1" applyBorder="1">
      <alignment vertical="center"/>
    </xf>
    <xf numFmtId="4" fontId="0" fillId="0" borderId="18" xfId="0" applyNumberFormat="1" applyBorder="1" applyAlignment="1">
      <alignment horizontal="center" vertical="center"/>
    </xf>
    <xf numFmtId="4" fontId="0" fillId="0" borderId="19" xfId="0" applyNumberFormat="1" applyBorder="1" applyAlignment="1">
      <alignment horizontal="center" vertical="center"/>
    </xf>
    <xf numFmtId="0" fontId="0" fillId="0" borderId="20" xfId="0" applyBorder="1">
      <alignment vertical="center"/>
    </xf>
    <xf numFmtId="4" fontId="0" fillId="0" borderId="21" xfId="0" applyNumberFormat="1" applyBorder="1">
      <alignment vertical="center"/>
    </xf>
    <xf numFmtId="4" fontId="0" fillId="0" borderId="22" xfId="0" applyNumberFormat="1" applyBorder="1" applyAlignment="1">
      <alignment horizontal="center" vertical="center"/>
    </xf>
    <xf numFmtId="4" fontId="0" fillId="0" borderId="23" xfId="0" applyNumberFormat="1" applyBorder="1" applyAlignment="1">
      <alignment horizontal="center" vertical="center"/>
    </xf>
    <xf numFmtId="0" fontId="0" fillId="0" borderId="24" xfId="0" applyBorder="1">
      <alignment vertical="center"/>
    </xf>
    <xf numFmtId="4" fontId="0" fillId="0" borderId="25" xfId="0" applyNumberFormat="1" applyBorder="1">
      <alignment vertical="center"/>
    </xf>
    <xf numFmtId="4" fontId="0" fillId="0" borderId="26" xfId="0" applyNumberFormat="1" applyBorder="1" applyAlignment="1">
      <alignment horizontal="center" vertical="center"/>
    </xf>
    <xf numFmtId="4" fontId="6" fillId="0" borderId="0" xfId="0" applyNumberFormat="1" applyFont="1" applyAlignment="1">
      <alignment horizontal="center" vertical="center"/>
    </xf>
    <xf numFmtId="0" fontId="7" fillId="4" borderId="0" xfId="50" applyFont="1" applyFill="1" applyAlignment="1">
      <alignment horizontal="center" vertical="center"/>
    </xf>
    <xf numFmtId="0" fontId="8" fillId="4" borderId="1" xfId="50" applyFont="1" applyFill="1" applyBorder="1" applyAlignment="1">
      <alignment horizontal="center" vertical="center"/>
    </xf>
    <xf numFmtId="0" fontId="8" fillId="0" borderId="1" xfId="50" applyFont="1" applyBorder="1" applyAlignment="1">
      <alignment horizontal="center" vertical="center"/>
    </xf>
    <xf numFmtId="0" fontId="7" fillId="0" borderId="1" xfId="50" applyFont="1" applyBorder="1" applyAlignment="1">
      <alignment horizontal="center" vertical="center"/>
    </xf>
    <xf numFmtId="0" fontId="7" fillId="0" borderId="3" xfId="50" applyFont="1" applyBorder="1" applyAlignment="1">
      <alignment horizontal="center" vertical="center"/>
    </xf>
    <xf numFmtId="0" fontId="7" fillId="0" borderId="27" xfId="50" applyFont="1" applyBorder="1" applyAlignment="1">
      <alignment horizontal="center" vertical="center"/>
    </xf>
    <xf numFmtId="0" fontId="7" fillId="5" borderId="1" xfId="50" applyFont="1" applyFill="1" applyBorder="1" applyAlignment="1">
      <alignment horizontal="center" vertical="center"/>
    </xf>
    <xf numFmtId="0" fontId="7" fillId="5" borderId="0" xfId="50" applyFont="1" applyFill="1" applyAlignment="1">
      <alignment horizontal="center" vertical="center"/>
    </xf>
    <xf numFmtId="0" fontId="7" fillId="0" borderId="28" xfId="50" applyFont="1" applyBorder="1" applyAlignment="1">
      <alignment horizontal="center" vertical="center"/>
    </xf>
    <xf numFmtId="0" fontId="7" fillId="5" borderId="29" xfId="50" applyFont="1" applyFill="1" applyBorder="1" applyAlignment="1">
      <alignment horizontal="center" vertical="center"/>
    </xf>
    <xf numFmtId="0" fontId="7" fillId="5" borderId="2" xfId="50" applyFont="1" applyFill="1" applyBorder="1" applyAlignment="1">
      <alignment horizontal="center" vertical="center"/>
    </xf>
    <xf numFmtId="0" fontId="7" fillId="0" borderId="0" xfId="50" applyFont="1" applyAlignment="1">
      <alignment horizontal="center" vertical="center"/>
    </xf>
    <xf numFmtId="14" fontId="7" fillId="0" borderId="0" xfId="50" applyNumberFormat="1" applyFont="1" applyAlignment="1">
      <alignment horizontal="center" vertical="center"/>
    </xf>
    <xf numFmtId="4" fontId="7" fillId="0" borderId="0" xfId="50" applyNumberFormat="1" applyFont="1" applyAlignment="1">
      <alignment horizontal="center" vertical="center"/>
    </xf>
    <xf numFmtId="179" fontId="7" fillId="0" borderId="0" xfId="50" applyNumberFormat="1" applyFont="1" applyAlignment="1">
      <alignment horizontal="center" vertical="center"/>
    </xf>
    <xf numFmtId="182" fontId="7" fillId="0" borderId="0" xfId="50" applyNumberFormat="1" applyFont="1" applyAlignment="1">
      <alignment horizontal="center" vertical="center"/>
    </xf>
    <xf numFmtId="0" fontId="7" fillId="4" borderId="30" xfId="50" applyFont="1" applyFill="1" applyBorder="1" applyAlignment="1">
      <alignment horizontal="center" vertical="center"/>
    </xf>
    <xf numFmtId="183" fontId="7" fillId="0" borderId="0" xfId="50" applyNumberFormat="1" applyFont="1" applyAlignment="1">
      <alignment horizontal="center" vertical="center"/>
    </xf>
    <xf numFmtId="0" fontId="7" fillId="4" borderId="1" xfId="50" applyFont="1" applyFill="1" applyBorder="1" applyAlignment="1">
      <alignment horizontal="center" vertical="center"/>
    </xf>
    <xf numFmtId="184" fontId="7" fillId="0" borderId="0" xfId="50" applyNumberFormat="1" applyFont="1" applyAlignment="1">
      <alignment horizontal="center" vertical="center"/>
    </xf>
    <xf numFmtId="0" fontId="8" fillId="0" borderId="0" xfId="50" applyFont="1" applyAlignment="1">
      <alignment horizontal="center" vertical="center"/>
    </xf>
    <xf numFmtId="185" fontId="9" fillId="4" borderId="31" xfId="50" applyNumberFormat="1" applyFont="1" applyFill="1" applyBorder="1" applyAlignment="1">
      <alignment horizontal="center" vertical="center"/>
    </xf>
    <xf numFmtId="0" fontId="0" fillId="0" borderId="31" xfId="0" applyBorder="1" applyAlignment="1"/>
    <xf numFmtId="185" fontId="9" fillId="4" borderId="32" xfId="50" applyNumberFormat="1" applyFont="1" applyFill="1" applyBorder="1" applyAlignment="1">
      <alignment horizontal="center" vertical="center"/>
    </xf>
    <xf numFmtId="179" fontId="9" fillId="4" borderId="32" xfId="50" applyNumberFormat="1" applyFont="1" applyFill="1" applyBorder="1" applyAlignment="1">
      <alignment horizontal="center" vertical="center"/>
    </xf>
    <xf numFmtId="0" fontId="9" fillId="4" borderId="32" xfId="50" applyFont="1" applyFill="1" applyBorder="1" applyAlignment="1">
      <alignment horizontal="center" vertical="center"/>
    </xf>
    <xf numFmtId="182" fontId="9" fillId="4" borderId="32" xfId="50" applyNumberFormat="1" applyFont="1" applyFill="1" applyBorder="1" applyAlignment="1">
      <alignment horizontal="center" vertical="center"/>
    </xf>
    <xf numFmtId="0" fontId="9" fillId="4" borderId="33" xfId="50" applyFont="1" applyFill="1" applyBorder="1" applyAlignment="1">
      <alignment horizontal="center" vertical="center"/>
    </xf>
    <xf numFmtId="0" fontId="0" fillId="0" borderId="33" xfId="0" applyBorder="1" applyAlignment="1"/>
    <xf numFmtId="0" fontId="7" fillId="4" borderId="2" xfId="50" applyFont="1" applyFill="1" applyBorder="1" applyAlignment="1">
      <alignment horizontal="center" vertical="center"/>
    </xf>
    <xf numFmtId="182" fontId="9" fillId="4" borderId="34" xfId="50" applyNumberFormat="1" applyFont="1" applyFill="1" applyBorder="1" applyAlignment="1">
      <alignment horizontal="center" vertical="center"/>
    </xf>
    <xf numFmtId="14" fontId="8" fillId="4" borderId="1" xfId="50" applyNumberFormat="1" applyFont="1" applyFill="1" applyBorder="1" applyAlignment="1">
      <alignment horizontal="center" vertical="center"/>
    </xf>
    <xf numFmtId="0" fontId="8" fillId="4" borderId="1" xfId="50" applyFont="1" applyFill="1" applyBorder="1" applyAlignment="1">
      <alignment horizontal="center" vertical="center" wrapText="1"/>
    </xf>
    <xf numFmtId="0" fontId="8" fillId="4" borderId="35" xfId="50" applyFont="1" applyFill="1" applyBorder="1" applyAlignment="1">
      <alignment horizontal="center" vertical="center" wrapText="1"/>
    </xf>
    <xf numFmtId="4" fontId="8" fillId="4" borderId="1" xfId="50" applyNumberFormat="1" applyFont="1" applyFill="1" applyBorder="1" applyAlignment="1">
      <alignment horizontal="center" vertical="center" wrapText="1"/>
    </xf>
    <xf numFmtId="179" fontId="8" fillId="4" borderId="1" xfId="50" applyNumberFormat="1" applyFont="1" applyFill="1" applyBorder="1" applyAlignment="1">
      <alignment horizontal="center" vertical="center" wrapText="1"/>
    </xf>
    <xf numFmtId="182" fontId="8" fillId="4" borderId="1" xfId="50" applyNumberFormat="1" applyFont="1" applyFill="1" applyBorder="1" applyAlignment="1">
      <alignment horizontal="center" vertical="center" wrapText="1"/>
    </xf>
    <xf numFmtId="183" fontId="8" fillId="4" borderId="1" xfId="50" applyNumberFormat="1" applyFont="1" applyFill="1" applyBorder="1" applyAlignment="1">
      <alignment horizontal="center" vertical="center" wrapText="1"/>
    </xf>
    <xf numFmtId="184" fontId="8" fillId="4" borderId="1" xfId="50" applyNumberFormat="1" applyFont="1" applyFill="1" applyBorder="1" applyAlignment="1">
      <alignment horizontal="center" vertical="center" wrapText="1"/>
    </xf>
    <xf numFmtId="14" fontId="7" fillId="0" borderId="1" xfId="50" applyNumberFormat="1" applyFont="1" applyBorder="1" applyAlignment="1">
      <alignment horizontal="center" vertical="center"/>
    </xf>
    <xf numFmtId="0" fontId="7" fillId="0" borderId="1" xfId="50" applyFont="1" applyBorder="1" applyAlignment="1">
      <alignment horizontal="center" vertical="center" wrapText="1"/>
    </xf>
    <xf numFmtId="4" fontId="7" fillId="0" borderId="1" xfId="50" applyNumberFormat="1" applyFont="1" applyBorder="1" applyAlignment="1">
      <alignment horizontal="center" vertical="center"/>
    </xf>
    <xf numFmtId="0" fontId="8" fillId="0" borderId="1" xfId="50" applyFont="1" applyBorder="1" applyAlignment="1">
      <alignment horizontal="center" vertical="center" wrapText="1"/>
    </xf>
    <xf numFmtId="0" fontId="7" fillId="5" borderId="1" xfId="50" applyFont="1" applyFill="1" applyBorder="1" applyAlignment="1">
      <alignment horizontal="center" vertical="center" wrapText="1"/>
    </xf>
    <xf numFmtId="182" fontId="8" fillId="0" borderId="1" xfId="50" applyNumberFormat="1" applyFont="1" applyBorder="1" applyAlignment="1">
      <alignment horizontal="center" vertical="center" wrapText="1"/>
    </xf>
    <xf numFmtId="179" fontId="8" fillId="0" borderId="1" xfId="50" applyNumberFormat="1" applyFont="1" applyBorder="1" applyAlignment="1">
      <alignment horizontal="center" vertical="center" wrapText="1"/>
    </xf>
    <xf numFmtId="4" fontId="8" fillId="0" borderId="1" xfId="50" applyNumberFormat="1" applyFont="1" applyBorder="1" applyAlignment="1">
      <alignment horizontal="center" vertical="center" wrapText="1"/>
    </xf>
    <xf numFmtId="183" fontId="8" fillId="0" borderId="1" xfId="50" applyNumberFormat="1" applyFont="1" applyBorder="1" applyAlignment="1">
      <alignment horizontal="center" vertical="center" wrapText="1"/>
    </xf>
    <xf numFmtId="4" fontId="8" fillId="0" borderId="36" xfId="50" applyNumberFormat="1" applyFont="1" applyBorder="1" applyAlignment="1">
      <alignment horizontal="center" vertical="center" wrapText="1"/>
    </xf>
    <xf numFmtId="0" fontId="8" fillId="0" borderId="37" xfId="50" applyFont="1" applyBorder="1" applyAlignment="1">
      <alignment horizontal="center" vertical="center"/>
    </xf>
    <xf numFmtId="182" fontId="7" fillId="0" borderId="37" xfId="50" applyNumberFormat="1" applyFont="1" applyBorder="1" applyAlignment="1">
      <alignment horizontal="center" vertical="center" wrapText="1"/>
    </xf>
    <xf numFmtId="4" fontId="7" fillId="0" borderId="1" xfId="50" applyNumberFormat="1" applyFont="1" applyBorder="1" applyAlignment="1">
      <alignment horizontal="center" vertical="center" wrapText="1"/>
    </xf>
    <xf numFmtId="184" fontId="7" fillId="0" borderId="1" xfId="50" applyNumberFormat="1" applyFont="1" applyBorder="1" applyAlignment="1">
      <alignment horizontal="center" vertical="center" wrapText="1"/>
    </xf>
    <xf numFmtId="0" fontId="8" fillId="0" borderId="36" xfId="50" applyFont="1" applyBorder="1" applyAlignment="1">
      <alignment horizontal="center" vertical="center" wrapText="1"/>
    </xf>
    <xf numFmtId="184" fontId="7" fillId="0" borderId="1" xfId="50" applyNumberFormat="1" applyFont="1" applyBorder="1" applyAlignment="1">
      <alignment horizontal="center" vertical="center"/>
    </xf>
    <xf numFmtId="0" fontId="8" fillId="0" borderId="37" xfId="50" applyFont="1" applyBorder="1" applyAlignment="1">
      <alignment horizontal="center" vertical="center" wrapText="1"/>
    </xf>
    <xf numFmtId="182" fontId="7" fillId="0" borderId="1" xfId="50" applyNumberFormat="1" applyFont="1" applyBorder="1" applyAlignment="1">
      <alignment horizontal="center" vertical="center"/>
    </xf>
    <xf numFmtId="182" fontId="7" fillId="0" borderId="1" xfId="49" applyNumberFormat="1" applyFont="1" applyBorder="1" applyAlignment="1">
      <alignment horizontal="center" vertical="center"/>
    </xf>
    <xf numFmtId="186" fontId="7" fillId="0" borderId="1" xfId="49" applyNumberFormat="1" applyFont="1" applyBorder="1" applyAlignment="1">
      <alignment horizontal="center" vertical="center"/>
    </xf>
    <xf numFmtId="186" fontId="7" fillId="0" borderId="1" xfId="50" applyNumberFormat="1" applyFont="1" applyBorder="1" applyAlignment="1">
      <alignment horizontal="center" vertical="center"/>
    </xf>
    <xf numFmtId="179" fontId="7" fillId="0" borderId="1" xfId="50" applyNumberFormat="1" applyFont="1" applyBorder="1" applyAlignment="1">
      <alignment horizontal="center" vertical="center"/>
    </xf>
    <xf numFmtId="4" fontId="7" fillId="0" borderId="1" xfId="49" applyNumberFormat="1" applyFont="1" applyBorder="1" applyAlignment="1">
      <alignment horizontal="center" vertical="center"/>
    </xf>
    <xf numFmtId="183" fontId="7" fillId="0" borderId="1" xfId="49" applyNumberFormat="1" applyFont="1" applyBorder="1" applyAlignment="1">
      <alignment horizontal="center" vertical="center"/>
    </xf>
    <xf numFmtId="4" fontId="7" fillId="0" borderId="36" xfId="49" applyNumberFormat="1" applyFont="1" applyBorder="1" applyAlignment="1">
      <alignment horizontal="center" vertical="center"/>
    </xf>
    <xf numFmtId="0" fontId="7" fillId="0" borderId="37" xfId="50" applyFont="1" applyBorder="1" applyAlignment="1">
      <alignment horizontal="center" vertical="center"/>
    </xf>
    <xf numFmtId="43" fontId="7" fillId="0" borderId="1" xfId="50" applyNumberFormat="1" applyFont="1" applyBorder="1" applyAlignment="1">
      <alignment horizontal="center" vertical="center"/>
    </xf>
    <xf numFmtId="187" fontId="7" fillId="0" borderId="36" xfId="50" applyNumberFormat="1" applyFont="1" applyBorder="1" applyAlignment="1">
      <alignment horizontal="center" vertical="center"/>
    </xf>
    <xf numFmtId="183" fontId="7" fillId="0" borderId="1" xfId="50" applyNumberFormat="1" applyFont="1" applyBorder="1" applyAlignment="1">
      <alignment horizontal="center" vertical="center"/>
    </xf>
    <xf numFmtId="4" fontId="7" fillId="0" borderId="36" xfId="50" applyNumberFormat="1" applyFont="1" applyBorder="1" applyAlignment="1">
      <alignment horizontal="center" vertical="center"/>
    </xf>
    <xf numFmtId="182" fontId="7" fillId="0" borderId="37" xfId="50" applyNumberFormat="1" applyFont="1" applyBorder="1" applyAlignment="1">
      <alignment horizontal="center" vertical="center"/>
    </xf>
    <xf numFmtId="188" fontId="7" fillId="0" borderId="1" xfId="50" applyNumberFormat="1" applyFont="1" applyBorder="1" applyAlignment="1">
      <alignment horizontal="center" vertical="center"/>
    </xf>
    <xf numFmtId="0" fontId="7" fillId="0" borderId="36" xfId="50" applyFont="1" applyBorder="1" applyAlignment="1">
      <alignment horizontal="center" vertical="center"/>
    </xf>
    <xf numFmtId="14" fontId="7" fillId="0" borderId="1" xfId="50" applyNumberFormat="1" applyFont="1" applyBorder="1" applyAlignment="1">
      <alignment vertical="center"/>
    </xf>
    <xf numFmtId="182" fontId="7" fillId="0" borderId="1" xfId="50" applyNumberFormat="1" applyFont="1" applyBorder="1" applyAlignment="1">
      <alignment vertical="center"/>
    </xf>
    <xf numFmtId="182" fontId="7" fillId="0" borderId="1" xfId="49" applyNumberFormat="1" applyFont="1" applyBorder="1" applyAlignment="1">
      <alignment vertical="center"/>
    </xf>
    <xf numFmtId="0" fontId="7" fillId="0" borderId="1" xfId="50" applyFont="1" applyBorder="1" applyAlignment="1">
      <alignment vertical="center"/>
    </xf>
    <xf numFmtId="0" fontId="10" fillId="0" borderId="1" xfId="50" applyFont="1" applyBorder="1" applyAlignment="1">
      <alignment horizontal="center" vertical="center"/>
    </xf>
    <xf numFmtId="184" fontId="7" fillId="5" borderId="1" xfId="50" applyNumberFormat="1" applyFont="1" applyFill="1" applyBorder="1" applyAlignment="1">
      <alignment horizontal="center" vertical="center"/>
    </xf>
    <xf numFmtId="0" fontId="8" fillId="5" borderId="1" xfId="50" applyFont="1" applyFill="1" applyBorder="1" applyAlignment="1">
      <alignment horizontal="center" vertical="center"/>
    </xf>
    <xf numFmtId="4" fontId="7" fillId="0" borderId="1" xfId="19" applyNumberFormat="1" applyFont="1" applyFill="1" applyBorder="1"/>
    <xf numFmtId="186" fontId="7" fillId="0" borderId="36" xfId="50" applyNumberFormat="1" applyFont="1" applyBorder="1" applyAlignment="1">
      <alignment horizontal="center" vertical="center"/>
    </xf>
    <xf numFmtId="14" fontId="7" fillId="0" borderId="3" xfId="50" applyNumberFormat="1" applyFont="1" applyBorder="1" applyAlignment="1">
      <alignment horizontal="center" vertical="center"/>
    </xf>
    <xf numFmtId="4" fontId="7" fillId="0" borderId="3" xfId="50" applyNumberFormat="1" applyFont="1" applyBorder="1" applyAlignment="1">
      <alignment horizontal="center" vertical="center"/>
    </xf>
    <xf numFmtId="14" fontId="7" fillId="0" borderId="3" xfId="50" applyNumberFormat="1" applyFont="1" applyBorder="1" applyAlignment="1">
      <alignment vertical="center"/>
    </xf>
    <xf numFmtId="182" fontId="7" fillId="0" borderId="3" xfId="50" applyNumberFormat="1" applyFont="1" applyBorder="1" applyAlignment="1">
      <alignment horizontal="center" vertical="center"/>
    </xf>
    <xf numFmtId="186" fontId="7" fillId="0" borderId="3" xfId="49" applyNumberFormat="1" applyFont="1" applyBorder="1" applyAlignment="1">
      <alignment horizontal="center" vertical="center"/>
    </xf>
    <xf numFmtId="186" fontId="7" fillId="0" borderId="3" xfId="50" applyNumberFormat="1" applyFont="1" applyBorder="1" applyAlignment="1">
      <alignment horizontal="center" vertical="center"/>
    </xf>
    <xf numFmtId="0" fontId="7" fillId="4" borderId="3" xfId="50" applyFont="1" applyFill="1" applyBorder="1" applyAlignment="1">
      <alignment horizontal="center" vertical="center"/>
    </xf>
    <xf numFmtId="179" fontId="7" fillId="0" borderId="3" xfId="50" applyNumberFormat="1" applyFont="1" applyBorder="1" applyAlignment="1">
      <alignment horizontal="center" vertical="center"/>
    </xf>
    <xf numFmtId="4" fontId="7" fillId="0" borderId="3" xfId="49" applyNumberFormat="1" applyFont="1" applyBorder="1" applyAlignment="1">
      <alignment horizontal="center" vertical="center"/>
    </xf>
    <xf numFmtId="183" fontId="7" fillId="0" borderId="3" xfId="50" applyNumberFormat="1" applyFont="1" applyBorder="1" applyAlignment="1">
      <alignment horizontal="center" vertical="center"/>
    </xf>
    <xf numFmtId="4" fontId="7" fillId="0" borderId="34" xfId="50" applyNumberFormat="1" applyFont="1" applyBorder="1" applyAlignment="1">
      <alignment horizontal="center" vertical="center"/>
    </xf>
    <xf numFmtId="0" fontId="7" fillId="0" borderId="33" xfId="50" applyFont="1" applyBorder="1" applyAlignment="1">
      <alignment horizontal="center" vertical="center"/>
    </xf>
    <xf numFmtId="0" fontId="7" fillId="0" borderId="34" xfId="50" applyFont="1" applyBorder="1" applyAlignment="1">
      <alignment horizontal="center" vertical="center"/>
    </xf>
    <xf numFmtId="182" fontId="7" fillId="0" borderId="33" xfId="50" applyNumberFormat="1" applyFont="1" applyBorder="1" applyAlignment="1">
      <alignment horizontal="center" vertical="center"/>
    </xf>
    <xf numFmtId="184" fontId="7" fillId="0" borderId="3" xfId="50" applyNumberFormat="1" applyFont="1" applyBorder="1" applyAlignment="1">
      <alignment horizontal="center" vertical="center"/>
    </xf>
    <xf numFmtId="0" fontId="8" fillId="0" borderId="3" xfId="50" applyFont="1" applyBorder="1" applyAlignment="1">
      <alignment horizontal="center" vertical="center"/>
    </xf>
    <xf numFmtId="189" fontId="7" fillId="0" borderId="36" xfId="50" applyNumberFormat="1" applyFont="1" applyBorder="1" applyAlignment="1">
      <alignment horizontal="center" vertical="center"/>
    </xf>
    <xf numFmtId="190" fontId="7" fillId="0" borderId="1" xfId="49" applyNumberFormat="1" applyFont="1" applyBorder="1" applyAlignment="1">
      <alignment horizontal="center" vertical="center"/>
    </xf>
    <xf numFmtId="14" fontId="7" fillId="0" borderId="27" xfId="50" applyNumberFormat="1" applyFont="1" applyBorder="1" applyAlignment="1">
      <alignment horizontal="center" vertical="center"/>
    </xf>
    <xf numFmtId="4" fontId="7" fillId="0" borderId="27" xfId="50" applyNumberFormat="1" applyFont="1" applyBorder="1" applyAlignment="1">
      <alignment horizontal="center" vertical="center"/>
    </xf>
    <xf numFmtId="182" fontId="7" fillId="0" borderId="27" xfId="50" applyNumberFormat="1" applyFont="1" applyBorder="1" applyAlignment="1">
      <alignment horizontal="center" vertical="center"/>
    </xf>
    <xf numFmtId="0" fontId="7" fillId="4" borderId="27" xfId="50" applyFont="1" applyFill="1" applyBorder="1" applyAlignment="1">
      <alignment horizontal="center" vertical="center"/>
    </xf>
    <xf numFmtId="179" fontId="7" fillId="0" borderId="27" xfId="50" applyNumberFormat="1" applyFont="1" applyBorder="1" applyAlignment="1">
      <alignment horizontal="center" vertical="center"/>
    </xf>
    <xf numFmtId="186" fontId="7" fillId="0" borderId="27" xfId="49" applyNumberFormat="1" applyFont="1" applyBorder="1" applyAlignment="1">
      <alignment horizontal="center" vertical="center"/>
    </xf>
    <xf numFmtId="183" fontId="7" fillId="0" borderId="27" xfId="50" applyNumberFormat="1" applyFont="1" applyBorder="1" applyAlignment="1">
      <alignment horizontal="center" vertical="center"/>
    </xf>
    <xf numFmtId="4" fontId="7" fillId="0" borderId="38" xfId="50" applyNumberFormat="1" applyFont="1" applyBorder="1" applyAlignment="1">
      <alignment horizontal="center" vertical="center"/>
    </xf>
    <xf numFmtId="0" fontId="7" fillId="0" borderId="39" xfId="50" applyFont="1" applyBorder="1" applyAlignment="1">
      <alignment horizontal="center" vertical="center"/>
    </xf>
    <xf numFmtId="182" fontId="7" fillId="0" borderId="40" xfId="50" applyNumberFormat="1" applyFont="1" applyBorder="1" applyAlignment="1">
      <alignment horizontal="center" vertical="center"/>
    </xf>
    <xf numFmtId="189" fontId="7" fillId="0" borderId="38" xfId="50" applyNumberFormat="1" applyFont="1" applyBorder="1" applyAlignment="1">
      <alignment horizontal="center" vertical="center"/>
    </xf>
    <xf numFmtId="190" fontId="7" fillId="0" borderId="27" xfId="49" applyNumberFormat="1" applyFont="1" applyBorder="1" applyAlignment="1">
      <alignment horizontal="center" vertical="center"/>
    </xf>
    <xf numFmtId="184" fontId="7" fillId="0" borderId="27" xfId="50" applyNumberFormat="1" applyFont="1" applyBorder="1" applyAlignment="1">
      <alignment horizontal="center" vertical="center"/>
    </xf>
    <xf numFmtId="0" fontId="10" fillId="0" borderId="27" xfId="50" applyFont="1" applyBorder="1" applyAlignment="1">
      <alignment horizontal="center" vertical="center"/>
    </xf>
    <xf numFmtId="190" fontId="7" fillId="0" borderId="3" xfId="50" applyNumberFormat="1" applyFont="1" applyBorder="1" applyAlignment="1">
      <alignment horizontal="center" vertical="center"/>
    </xf>
    <xf numFmtId="0" fontId="7" fillId="0" borderId="38" xfId="50" applyFont="1" applyBorder="1" applyAlignment="1">
      <alignment horizontal="center" vertical="center"/>
    </xf>
    <xf numFmtId="0" fontId="10" fillId="0" borderId="3" xfId="50" applyFont="1" applyBorder="1" applyAlignment="1">
      <alignment horizontal="center" vertical="center"/>
    </xf>
    <xf numFmtId="0" fontId="11" fillId="0" borderId="1" xfId="5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7" fillId="5" borderId="1" xfId="50" applyNumberFormat="1" applyFont="1" applyFill="1" applyBorder="1" applyAlignment="1">
      <alignment horizontal="center" vertical="center"/>
    </xf>
    <xf numFmtId="4" fontId="7" fillId="5" borderId="1" xfId="50" applyNumberFormat="1" applyFont="1" applyFill="1" applyBorder="1" applyAlignment="1">
      <alignment horizontal="center" vertical="center"/>
    </xf>
    <xf numFmtId="179" fontId="7" fillId="5" borderId="1" xfId="50" applyNumberFormat="1" applyFont="1" applyFill="1" applyBorder="1" applyAlignment="1">
      <alignment horizontal="center" vertical="center"/>
    </xf>
    <xf numFmtId="182" fontId="7" fillId="5" borderId="1" xfId="50" applyNumberFormat="1" applyFont="1" applyFill="1" applyBorder="1" applyAlignment="1">
      <alignment horizontal="center" vertical="center"/>
    </xf>
    <xf numFmtId="0" fontId="11" fillId="5" borderId="1" xfId="50" applyFont="1" applyFill="1" applyBorder="1" applyAlignment="1">
      <alignment horizontal="center" vertical="center"/>
    </xf>
    <xf numFmtId="183" fontId="7" fillId="5" borderId="1" xfId="50" applyNumberFormat="1" applyFont="1" applyFill="1" applyBorder="1" applyAlignment="1">
      <alignment horizontal="center" vertical="center"/>
    </xf>
    <xf numFmtId="183" fontId="7" fillId="0" borderId="1" xfId="50" applyNumberFormat="1" applyFont="1" applyBorder="1" applyAlignment="1">
      <alignment horizontal="left" vertical="center"/>
    </xf>
    <xf numFmtId="4" fontId="7" fillId="0" borderId="1" xfId="50" applyNumberFormat="1" applyFont="1" applyBorder="1" applyAlignment="1">
      <alignment horizontal="left" vertical="center"/>
    </xf>
    <xf numFmtId="177" fontId="7" fillId="0" borderId="1" xfId="50" applyNumberFormat="1" applyFont="1" applyBorder="1" applyAlignment="1">
      <alignment horizontal="center" vertical="center"/>
    </xf>
    <xf numFmtId="14" fontId="7" fillId="5" borderId="0" xfId="50" applyNumberFormat="1" applyFont="1" applyFill="1" applyAlignment="1">
      <alignment horizontal="center" vertical="center"/>
    </xf>
    <xf numFmtId="0" fontId="7" fillId="5" borderId="30" xfId="50" applyFont="1" applyFill="1" applyBorder="1" applyAlignment="1">
      <alignment horizontal="center" vertical="center"/>
    </xf>
    <xf numFmtId="0" fontId="11" fillId="5" borderId="0" xfId="50" applyFont="1" applyFill="1" applyAlignment="1">
      <alignment horizontal="center" vertical="center"/>
    </xf>
    <xf numFmtId="179" fontId="7" fillId="5" borderId="0" xfId="50" applyNumberFormat="1" applyFont="1" applyFill="1" applyAlignment="1">
      <alignment horizontal="center" vertical="center"/>
    </xf>
    <xf numFmtId="4" fontId="7" fillId="5" borderId="0" xfId="50" applyNumberFormat="1" applyFont="1" applyFill="1" applyAlignment="1">
      <alignment horizontal="center" vertical="center"/>
    </xf>
    <xf numFmtId="183" fontId="7" fillId="5" borderId="0" xfId="50" applyNumberFormat="1" applyFont="1" applyFill="1" applyAlignment="1">
      <alignment horizontal="center" vertical="center"/>
    </xf>
    <xf numFmtId="182" fontId="7" fillId="5" borderId="0" xfId="50" applyNumberFormat="1" applyFont="1" applyFill="1" applyAlignment="1">
      <alignment horizontal="center" vertical="center"/>
    </xf>
    <xf numFmtId="184" fontId="7" fillId="5" borderId="0" xfId="50" applyNumberFormat="1" applyFont="1" applyFill="1" applyAlignment="1">
      <alignment horizontal="center" vertical="center"/>
    </xf>
    <xf numFmtId="14" fontId="7" fillId="0" borderId="28" xfId="50" applyNumberFormat="1" applyFont="1" applyBorder="1" applyAlignment="1">
      <alignment horizontal="center" vertical="center"/>
    </xf>
    <xf numFmtId="0" fontId="7" fillId="4" borderId="28" xfId="50" applyFont="1" applyFill="1" applyBorder="1" applyAlignment="1">
      <alignment horizontal="center" vertical="center"/>
    </xf>
    <xf numFmtId="179" fontId="7" fillId="0" borderId="28" xfId="50" applyNumberFormat="1" applyFont="1" applyBorder="1" applyAlignment="1">
      <alignment horizontal="center" vertical="center"/>
    </xf>
    <xf numFmtId="4" fontId="7" fillId="0" borderId="28" xfId="50" applyNumberFormat="1" applyFont="1" applyBorder="1" applyAlignment="1">
      <alignment horizontal="center" vertical="center"/>
    </xf>
    <xf numFmtId="183" fontId="7" fillId="0" borderId="28" xfId="50" applyNumberFormat="1" applyFont="1" applyBorder="1" applyAlignment="1">
      <alignment horizontal="center" vertical="center"/>
    </xf>
    <xf numFmtId="182" fontId="7" fillId="0" borderId="28" xfId="50" applyNumberFormat="1" applyFont="1" applyBorder="1" applyAlignment="1">
      <alignment horizontal="center" vertical="center"/>
    </xf>
    <xf numFmtId="184" fontId="7" fillId="0" borderId="28" xfId="50" applyNumberFormat="1" applyFont="1" applyBorder="1" applyAlignment="1">
      <alignment horizontal="center" vertical="center"/>
    </xf>
    <xf numFmtId="0" fontId="7" fillId="0" borderId="28" xfId="50" applyFont="1" applyBorder="1" applyAlignment="1">
      <alignment horizontal="center" vertical="center" wrapText="1"/>
    </xf>
    <xf numFmtId="14" fontId="7" fillId="5" borderId="29" xfId="50" applyNumberFormat="1" applyFont="1" applyFill="1" applyBorder="1" applyAlignment="1">
      <alignment horizontal="center" vertical="center"/>
    </xf>
    <xf numFmtId="179" fontId="7" fillId="5" borderId="29" xfId="50" applyNumberFormat="1" applyFont="1" applyFill="1" applyBorder="1" applyAlignment="1">
      <alignment horizontal="center" vertical="center"/>
    </xf>
    <xf numFmtId="4" fontId="7" fillId="5" borderId="29" xfId="50" applyNumberFormat="1" applyFont="1" applyFill="1" applyBorder="1" applyAlignment="1">
      <alignment horizontal="center" vertical="center"/>
    </xf>
    <xf numFmtId="4" fontId="7" fillId="5" borderId="2" xfId="50" applyNumberFormat="1" applyFont="1" applyFill="1" applyBorder="1" applyAlignment="1">
      <alignment horizontal="center" vertical="center"/>
    </xf>
    <xf numFmtId="183" fontId="7" fillId="5" borderId="29" xfId="50" applyNumberFormat="1" applyFont="1" applyFill="1" applyBorder="1" applyAlignment="1">
      <alignment horizontal="center" vertical="center"/>
    </xf>
    <xf numFmtId="182" fontId="7" fillId="5" borderId="29" xfId="50" applyNumberFormat="1" applyFont="1" applyFill="1" applyBorder="1" applyAlignment="1">
      <alignment horizontal="center" vertical="center"/>
    </xf>
    <xf numFmtId="184" fontId="7" fillId="5" borderId="29" xfId="50" applyNumberFormat="1" applyFont="1" applyFill="1" applyBorder="1" applyAlignment="1">
      <alignment horizontal="center" vertical="center"/>
    </xf>
    <xf numFmtId="0" fontId="7" fillId="4" borderId="37" xfId="50" applyFont="1" applyFill="1" applyBorder="1" applyAlignment="1">
      <alignment horizontal="center" vertical="center"/>
    </xf>
    <xf numFmtId="0" fontId="7" fillId="0" borderId="2" xfId="50" applyFont="1" applyBorder="1" applyAlignment="1">
      <alignment horizontal="center" vertical="center"/>
    </xf>
    <xf numFmtId="0" fontId="7" fillId="5" borderId="37" xfId="50" applyFont="1" applyFill="1" applyBorder="1" applyAlignment="1">
      <alignment horizontal="center" vertical="center"/>
    </xf>
    <xf numFmtId="177" fontId="7" fillId="5" borderId="1" xfId="50" applyNumberFormat="1" applyFont="1" applyFill="1" applyBorder="1" applyAlignment="1">
      <alignment horizontal="center" vertical="center"/>
    </xf>
    <xf numFmtId="4" fontId="7" fillId="5" borderId="36" xfId="50" applyNumberFormat="1" applyFont="1" applyFill="1" applyBorder="1" applyAlignment="1">
      <alignment horizontal="center" vertical="center"/>
    </xf>
    <xf numFmtId="0" fontId="7" fillId="4" borderId="41" xfId="50" applyFont="1" applyFill="1" applyBorder="1" applyAlignment="1">
      <alignment horizontal="center" vertical="center"/>
    </xf>
    <xf numFmtId="0" fontId="7" fillId="5" borderId="41" xfId="50" applyFont="1" applyFill="1" applyBorder="1" applyAlignment="1">
      <alignment horizontal="center" vertical="center"/>
    </xf>
    <xf numFmtId="177" fontId="7" fillId="5" borderId="0" xfId="50" applyNumberFormat="1" applyFont="1" applyFill="1" applyAlignment="1">
      <alignment horizontal="center" vertical="center"/>
    </xf>
    <xf numFmtId="14" fontId="7" fillId="5" borderId="2" xfId="50" applyNumberFormat="1" applyFont="1" applyFill="1" applyBorder="1" applyAlignment="1">
      <alignment horizontal="center" vertical="center"/>
    </xf>
    <xf numFmtId="179" fontId="7" fillId="5" borderId="2" xfId="50" applyNumberFormat="1" applyFont="1" applyFill="1" applyBorder="1" applyAlignment="1">
      <alignment horizontal="center" vertical="center"/>
    </xf>
    <xf numFmtId="177" fontId="7" fillId="5" borderId="2" xfId="50" applyNumberFormat="1" applyFont="1" applyFill="1" applyBorder="1" applyAlignment="1">
      <alignment horizontal="center" vertical="center"/>
    </xf>
    <xf numFmtId="183" fontId="7" fillId="5" borderId="2" xfId="50" applyNumberFormat="1" applyFont="1" applyFill="1" applyBorder="1" applyAlignment="1">
      <alignment horizontal="center" vertical="center"/>
    </xf>
    <xf numFmtId="182" fontId="7" fillId="5" borderId="2" xfId="50" applyNumberFormat="1" applyFont="1" applyFill="1" applyBorder="1" applyAlignment="1">
      <alignment horizontal="center" vertical="center"/>
    </xf>
    <xf numFmtId="184" fontId="7" fillId="5" borderId="2" xfId="5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4" fontId="7" fillId="0" borderId="0" xfId="0" applyNumberFormat="1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7" fillId="0" borderId="0" xfId="0" applyFont="1">
      <alignment vertical="center"/>
    </xf>
    <xf numFmtId="3" fontId="7" fillId="0" borderId="0" xfId="0" applyNumberFormat="1" applyFont="1">
      <alignment vertical="center"/>
    </xf>
    <xf numFmtId="0" fontId="7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4" fontId="7" fillId="4" borderId="1" xfId="0" applyNumberFormat="1" applyFont="1" applyFill="1" applyBorder="1" applyAlignment="1">
      <alignment horizontal="center" vertical="center" wrapText="1"/>
    </xf>
    <xf numFmtId="14" fontId="11" fillId="4" borderId="1" xfId="0" applyNumberFormat="1" applyFont="1" applyFill="1" applyBorder="1" applyAlignment="1">
      <alignment horizontal="center" vertical="center" wrapText="1"/>
    </xf>
    <xf numFmtId="191" fontId="7" fillId="4" borderId="36" xfId="0" applyNumberFormat="1" applyFont="1" applyFill="1" applyBorder="1" applyAlignment="1">
      <alignment horizontal="center" vertical="center" wrapText="1"/>
    </xf>
    <xf numFmtId="191" fontId="11" fillId="4" borderId="36" xfId="0" applyNumberFormat="1" applyFont="1" applyFill="1" applyBorder="1" applyAlignment="1">
      <alignment horizontal="center" vertical="center" wrapText="1"/>
    </xf>
    <xf numFmtId="191" fontId="11" fillId="4" borderId="1" xfId="0" applyNumberFormat="1" applyFont="1" applyFill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/>
    </xf>
    <xf numFmtId="3" fontId="7" fillId="0" borderId="5" xfId="0" applyNumberFormat="1" applyFont="1" applyBorder="1" applyAlignment="1">
      <alignment horizontal="center" vertical="center"/>
    </xf>
    <xf numFmtId="3" fontId="13" fillId="0" borderId="5" xfId="0" applyNumberFormat="1" applyFont="1" applyBorder="1" applyAlignment="1">
      <alignment horizontal="center" vertical="center"/>
    </xf>
    <xf numFmtId="4" fontId="10" fillId="0" borderId="42" xfId="0" applyNumberFormat="1" applyFont="1" applyBorder="1" applyAlignment="1">
      <alignment horizontal="center" vertical="center"/>
    </xf>
    <xf numFmtId="4" fontId="7" fillId="0" borderId="1" xfId="0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191" fontId="7" fillId="0" borderId="36" xfId="0" applyNumberFormat="1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12" fillId="0" borderId="0" xfId="0" applyFont="1">
      <alignment vertical="center"/>
    </xf>
    <xf numFmtId="4" fontId="7" fillId="6" borderId="1" xfId="0" applyNumberFormat="1" applyFont="1" applyFill="1" applyBorder="1" applyAlignment="1">
      <alignment horizontal="center" vertical="center"/>
    </xf>
    <xf numFmtId="181" fontId="7" fillId="0" borderId="1" xfId="50" applyNumberFormat="1" applyFont="1" applyBorder="1" applyAlignment="1">
      <alignment horizontal="center" vertical="center"/>
    </xf>
    <xf numFmtId="4" fontId="7" fillId="6" borderId="1" xfId="50" applyNumberFormat="1" applyFont="1" applyFill="1" applyBorder="1" applyAlignment="1">
      <alignment horizontal="center" vertical="center"/>
    </xf>
    <xf numFmtId="0" fontId="0" fillId="0" borderId="30" xfId="0" applyBorder="1" applyAlignment="1"/>
    <xf numFmtId="0" fontId="0" fillId="0" borderId="3" xfId="0" applyBorder="1" applyAlignment="1"/>
    <xf numFmtId="192" fontId="7" fillId="0" borderId="1" xfId="50" applyNumberFormat="1" applyFont="1" applyBorder="1" applyAlignment="1">
      <alignment horizontal="center" vertical="center"/>
    </xf>
    <xf numFmtId="193" fontId="7" fillId="0" borderId="1" xfId="5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" fontId="7" fillId="0" borderId="3" xfId="0" applyNumberFormat="1" applyFont="1" applyBorder="1" applyAlignment="1">
      <alignment horizontal="center" vertical="center"/>
    </xf>
    <xf numFmtId="4" fontId="7" fillId="0" borderId="0" xfId="0" applyNumberFormat="1" applyFont="1">
      <alignment vertical="center"/>
    </xf>
    <xf numFmtId="9" fontId="7" fillId="0" borderId="0" xfId="0" applyNumberFormat="1" applyFont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14" fontId="7" fillId="0" borderId="36" xfId="0" applyNumberFormat="1" applyFont="1" applyBorder="1" applyAlignment="1">
      <alignment horizontal="center" vertical="center"/>
    </xf>
    <xf numFmtId="180" fontId="7" fillId="0" borderId="0" xfId="0" applyNumberFormat="1" applyFont="1">
      <alignment vertical="center"/>
    </xf>
    <xf numFmtId="4" fontId="14" fillId="4" borderId="3" xfId="0" applyNumberFormat="1" applyFont="1" applyFill="1" applyBorder="1" applyAlignment="1">
      <alignment horizontal="center" vertical="center"/>
    </xf>
    <xf numFmtId="4" fontId="7" fillId="4" borderId="3" xfId="0" applyNumberFormat="1" applyFont="1" applyFill="1" applyBorder="1" applyAlignment="1">
      <alignment horizontal="center" vertical="center"/>
    </xf>
    <xf numFmtId="14" fontId="7" fillId="4" borderId="0" xfId="0" applyNumberFormat="1" applyFont="1" applyFill="1" applyAlignment="1">
      <alignment horizontal="center" vertical="center"/>
    </xf>
    <xf numFmtId="4" fontId="7" fillId="0" borderId="2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50" applyFont="1" applyBorder="1" applyAlignment="1">
      <alignment horizontal="center" vertical="center" wrapText="1"/>
    </xf>
    <xf numFmtId="4" fontId="14" fillId="0" borderId="1" xfId="50" applyNumberFormat="1" applyFont="1" applyBorder="1" applyAlignment="1">
      <alignment horizontal="center" vertical="center"/>
    </xf>
    <xf numFmtId="4" fontId="7" fillId="0" borderId="36" xfId="0" applyNumberFormat="1" applyFont="1" applyBorder="1" applyAlignment="1">
      <alignment horizontal="center" vertical="center"/>
    </xf>
    <xf numFmtId="14" fontId="7" fillId="0" borderId="37" xfId="0" applyNumberFormat="1" applyFont="1" applyBorder="1" applyAlignment="1">
      <alignment horizontal="center" vertical="center"/>
    </xf>
    <xf numFmtId="0" fontId="14" fillId="0" borderId="1" xfId="50" applyFont="1" applyBorder="1" applyAlignment="1">
      <alignment horizontal="center" vertical="center"/>
    </xf>
    <xf numFmtId="177" fontId="14" fillId="0" borderId="1" xfId="50" applyNumberFormat="1" applyFont="1" applyBorder="1" applyAlignment="1">
      <alignment horizontal="center" vertical="center"/>
    </xf>
    <xf numFmtId="4" fontId="14" fillId="4" borderId="36" xfId="0" applyNumberFormat="1" applyFont="1" applyFill="1" applyBorder="1" applyAlignment="1">
      <alignment horizontal="center" vertical="center"/>
    </xf>
    <xf numFmtId="4" fontId="7" fillId="4" borderId="2" xfId="0" applyNumberFormat="1" applyFont="1" applyFill="1" applyBorder="1" applyAlignment="1">
      <alignment horizontal="center" vertical="center"/>
    </xf>
    <xf numFmtId="14" fontId="7" fillId="4" borderId="37" xfId="0" applyNumberFormat="1" applyFont="1" applyFill="1" applyBorder="1" applyAlignment="1">
      <alignment horizontal="center" vertical="center"/>
    </xf>
    <xf numFmtId="0" fontId="15" fillId="0" borderId="3" xfId="0" applyFont="1" applyBorder="1" applyAlignment="1"/>
    <xf numFmtId="4" fontId="7" fillId="0" borderId="43" xfId="0" applyNumberFormat="1" applyFont="1" applyBorder="1" applyAlignment="1">
      <alignment horizontal="center" vertical="center"/>
    </xf>
    <xf numFmtId="4" fontId="7" fillId="0" borderId="28" xfId="0" applyNumberFormat="1" applyFont="1" applyBorder="1" applyAlignment="1">
      <alignment horizontal="center" vertical="center"/>
    </xf>
    <xf numFmtId="183" fontId="7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4" fontId="16" fillId="0" borderId="1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5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4" fontId="7" fillId="0" borderId="29" xfId="0" applyNumberFormat="1" applyFont="1" applyBorder="1" applyAlignment="1">
      <alignment horizontal="center" vertical="center"/>
    </xf>
    <xf numFmtId="14" fontId="7" fillId="0" borderId="29" xfId="0" applyNumberFormat="1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4" fontId="7" fillId="0" borderId="45" xfId="0" applyNumberFormat="1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0" fillId="0" borderId="34" xfId="0" applyBorder="1" applyAlignment="1"/>
    <xf numFmtId="176" fontId="7" fillId="0" borderId="1" xfId="0" applyNumberFormat="1" applyFont="1" applyBorder="1" applyAlignment="1">
      <alignment horizontal="center" vertical="center"/>
    </xf>
    <xf numFmtId="0" fontId="0" fillId="0" borderId="1" xfId="0" applyBorder="1" applyAlignment="1"/>
    <xf numFmtId="4" fontId="7" fillId="0" borderId="47" xfId="0" applyNumberFormat="1" applyFont="1" applyBorder="1" applyAlignment="1">
      <alignment horizontal="center" vertical="center"/>
    </xf>
    <xf numFmtId="4" fontId="7" fillId="0" borderId="2" xfId="0" applyNumberFormat="1" applyFont="1" applyBorder="1" applyAlignment="1">
      <alignment horizontal="center" vertical="center" wrapText="1"/>
    </xf>
    <xf numFmtId="14" fontId="7" fillId="0" borderId="2" xfId="0" applyNumberFormat="1" applyFont="1" applyBorder="1" applyAlignment="1">
      <alignment horizontal="center" vertical="center"/>
    </xf>
    <xf numFmtId="191" fontId="7" fillId="0" borderId="46" xfId="0" applyNumberFormat="1" applyFont="1" applyBorder="1" applyAlignment="1">
      <alignment horizontal="center" vertical="center"/>
    </xf>
    <xf numFmtId="14" fontId="7" fillId="0" borderId="46" xfId="0" applyNumberFormat="1" applyFont="1" applyBorder="1" applyAlignment="1">
      <alignment horizontal="center" vertical="center"/>
    </xf>
    <xf numFmtId="0" fontId="7" fillId="0" borderId="29" xfId="50" applyFont="1" applyBorder="1" applyAlignment="1">
      <alignment horizontal="center" vertical="center"/>
    </xf>
    <xf numFmtId="14" fontId="7" fillId="0" borderId="28" xfId="0" applyNumberFormat="1" applyFont="1" applyBorder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14" fontId="7" fillId="0" borderId="0" xfId="0" applyNumberFormat="1" applyFont="1" applyAlignment="1">
      <alignment horizontal="right" vertical="center"/>
    </xf>
    <xf numFmtId="43" fontId="7" fillId="0" borderId="0" xfId="0" applyNumberFormat="1" applyFont="1">
      <alignment vertical="center"/>
    </xf>
    <xf numFmtId="4" fontId="7" fillId="7" borderId="28" xfId="0" applyNumberFormat="1" applyFont="1" applyFill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4" fontId="17" fillId="6" borderId="28" xfId="0" applyNumberFormat="1" applyFont="1" applyFill="1" applyBorder="1" applyAlignment="1">
      <alignment horizontal="center" vertical="center"/>
    </xf>
    <xf numFmtId="4" fontId="7" fillId="0" borderId="48" xfId="0" applyNumberFormat="1" applyFont="1" applyBorder="1" applyAlignment="1">
      <alignment horizontal="center" vertical="center"/>
    </xf>
    <xf numFmtId="3" fontId="7" fillId="0" borderId="48" xfId="0" applyNumberFormat="1" applyFont="1" applyBorder="1" applyAlignment="1">
      <alignment horizontal="center" vertical="center"/>
    </xf>
    <xf numFmtId="191" fontId="7" fillId="0" borderId="48" xfId="0" applyNumberFormat="1" applyFont="1" applyBorder="1" applyAlignment="1">
      <alignment horizontal="center" vertical="center"/>
    </xf>
    <xf numFmtId="3" fontId="7" fillId="0" borderId="48" xfId="0" applyNumberFormat="1" applyFont="1" applyBorder="1">
      <alignment vertical="center"/>
    </xf>
    <xf numFmtId="0" fontId="7" fillId="0" borderId="48" xfId="0" applyFont="1" applyBorder="1">
      <alignment vertical="center"/>
    </xf>
    <xf numFmtId="191" fontId="7" fillId="0" borderId="0" xfId="0" applyNumberFormat="1" applyFont="1" applyAlignment="1">
      <alignment horizontal="center" vertical="center"/>
    </xf>
    <xf numFmtId="4" fontId="7" fillId="8" borderId="28" xfId="0" applyNumberFormat="1" applyFont="1" applyFill="1" applyBorder="1" applyAlignment="1">
      <alignment horizontal="center" vertical="center"/>
    </xf>
    <xf numFmtId="182" fontId="14" fillId="0" borderId="28" xfId="50" applyNumberFormat="1" applyFont="1" applyBorder="1" applyAlignment="1">
      <alignment horizontal="center" vertical="center"/>
    </xf>
    <xf numFmtId="182" fontId="13" fillId="0" borderId="28" xfId="50" applyNumberFormat="1" applyFont="1" applyBorder="1" applyAlignment="1">
      <alignment horizontal="center" vertical="center"/>
    </xf>
    <xf numFmtId="182" fontId="7" fillId="0" borderId="29" xfId="50" applyNumberFormat="1" applyFont="1" applyBorder="1" applyAlignment="1">
      <alignment horizontal="center" vertical="center"/>
    </xf>
    <xf numFmtId="3" fontId="7" fillId="0" borderId="28" xfId="50" applyNumberFormat="1" applyFont="1" applyBorder="1" applyAlignment="1">
      <alignment horizontal="center" vertical="center"/>
    </xf>
    <xf numFmtId="0" fontId="7" fillId="0" borderId="46" xfId="0" applyFont="1" applyBorder="1">
      <alignment vertical="center"/>
    </xf>
    <xf numFmtId="0" fontId="7" fillId="0" borderId="29" xfId="0" applyFont="1" applyBorder="1">
      <alignment vertical="center"/>
    </xf>
    <xf numFmtId="0" fontId="7" fillId="0" borderId="2" xfId="0" applyFont="1" applyBorder="1">
      <alignment vertical="center"/>
    </xf>
    <xf numFmtId="0" fontId="7" fillId="0" borderId="1" xfId="0" applyFont="1" applyBorder="1">
      <alignment vertical="center"/>
    </xf>
    <xf numFmtId="0" fontId="14" fillId="0" borderId="28" xfId="50" applyFont="1" applyBorder="1" applyAlignment="1">
      <alignment horizontal="center" vertical="center"/>
    </xf>
    <xf numFmtId="0" fontId="7" fillId="0" borderId="2" xfId="50" applyFont="1" applyBorder="1" applyAlignment="1">
      <alignment horizontal="center" vertical="center" wrapText="1"/>
    </xf>
    <xf numFmtId="182" fontId="14" fillId="0" borderId="2" xfId="50" applyNumberFormat="1" applyFont="1" applyBorder="1" applyAlignment="1">
      <alignment horizontal="center" vertical="center"/>
    </xf>
    <xf numFmtId="182" fontId="7" fillId="0" borderId="2" xfId="50" applyNumberFormat="1" applyFont="1" applyBorder="1" applyAlignment="1">
      <alignment horizontal="center" vertical="center"/>
    </xf>
    <xf numFmtId="0" fontId="7" fillId="0" borderId="3" xfId="50" applyFont="1" applyBorder="1" applyAlignment="1">
      <alignment horizontal="center" vertical="center" wrapText="1"/>
    </xf>
    <xf numFmtId="182" fontId="14" fillId="0" borderId="3" xfId="50" applyNumberFormat="1" applyFont="1" applyBorder="1" applyAlignment="1">
      <alignment horizontal="center" vertical="center"/>
    </xf>
    <xf numFmtId="182" fontId="7" fillId="0" borderId="45" xfId="50" applyNumberFormat="1" applyFont="1" applyBorder="1" applyAlignment="1">
      <alignment horizontal="center" vertical="center"/>
    </xf>
    <xf numFmtId="0" fontId="7" fillId="0" borderId="28" xfId="0" applyFont="1" applyBorder="1">
      <alignment vertical="center"/>
    </xf>
    <xf numFmtId="0" fontId="7" fillId="0" borderId="49" xfId="0" applyFont="1" applyBorder="1" applyAlignment="1">
      <alignment horizontal="center" vertical="center"/>
    </xf>
    <xf numFmtId="182" fontId="14" fillId="0" borderId="29" xfId="50" applyNumberFormat="1" applyFont="1" applyBorder="1" applyAlignment="1">
      <alignment horizontal="center" vertical="center"/>
    </xf>
    <xf numFmtId="4" fontId="7" fillId="0" borderId="44" xfId="0" applyNumberFormat="1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182" fontId="7" fillId="0" borderId="47" xfId="50" applyNumberFormat="1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50" xfId="0" applyFont="1" applyBorder="1">
      <alignment vertical="center"/>
    </xf>
    <xf numFmtId="0" fontId="7" fillId="0" borderId="39" xfId="0" applyFont="1" applyBorder="1">
      <alignment vertical="center"/>
    </xf>
    <xf numFmtId="184" fontId="7" fillId="0" borderId="2" xfId="5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4" fontId="13" fillId="0" borderId="28" xfId="0" applyNumberFormat="1" applyFont="1" applyBorder="1" applyAlignment="1">
      <alignment horizontal="center" vertical="center"/>
    </xf>
    <xf numFmtId="0" fontId="7" fillId="0" borderId="45" xfId="0" applyFont="1" applyBorder="1">
      <alignment vertical="center"/>
    </xf>
    <xf numFmtId="0" fontId="7" fillId="0" borderId="45" xfId="5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" xfId="0" applyFont="1" applyBorder="1">
      <alignment vertical="center"/>
    </xf>
    <xf numFmtId="4" fontId="7" fillId="7" borderId="45" xfId="0" applyNumberFormat="1" applyFont="1" applyFill="1" applyBorder="1" applyAlignment="1">
      <alignment horizontal="center" vertical="center"/>
    </xf>
    <xf numFmtId="14" fontId="7" fillId="0" borderId="43" xfId="0" applyNumberFormat="1" applyFont="1" applyBorder="1" applyAlignment="1">
      <alignment horizontal="center" vertical="center"/>
    </xf>
    <xf numFmtId="4" fontId="17" fillId="6" borderId="45" xfId="0" applyNumberFormat="1" applyFont="1" applyFill="1" applyBorder="1" applyAlignment="1">
      <alignment horizontal="center" vertical="center"/>
    </xf>
    <xf numFmtId="0" fontId="7" fillId="0" borderId="47" xfId="50" applyFont="1" applyBorder="1" applyAlignment="1">
      <alignment horizontal="center" vertical="center"/>
    </xf>
    <xf numFmtId="14" fontId="7" fillId="0" borderId="44" xfId="0" applyNumberFormat="1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4" fontId="17" fillId="6" borderId="1" xfId="0" applyNumberFormat="1" applyFont="1" applyFill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43" xfId="0" applyFont="1" applyBorder="1">
      <alignment vertical="center"/>
    </xf>
    <xf numFmtId="0" fontId="7" fillId="0" borderId="36" xfId="0" applyFont="1" applyBorder="1">
      <alignment vertical="center"/>
    </xf>
    <xf numFmtId="182" fontId="14" fillId="0" borderId="1" xfId="50" applyNumberFormat="1" applyFont="1" applyBorder="1" applyAlignment="1">
      <alignment horizontal="center" vertical="center"/>
    </xf>
    <xf numFmtId="4" fontId="13" fillId="0" borderId="1" xfId="0" applyNumberFormat="1" applyFont="1" applyBorder="1" applyAlignment="1">
      <alignment horizontal="center" vertical="center"/>
    </xf>
    <xf numFmtId="4" fontId="14" fillId="7" borderId="1" xfId="0" applyNumberFormat="1" applyFont="1" applyFill="1" applyBorder="1" applyAlignment="1">
      <alignment horizontal="center" vertical="center"/>
    </xf>
    <xf numFmtId="14" fontId="7" fillId="0" borderId="47" xfId="0" applyNumberFormat="1" applyFont="1" applyBorder="1" applyAlignment="1">
      <alignment horizontal="center" vertical="center"/>
    </xf>
    <xf numFmtId="0" fontId="7" fillId="0" borderId="47" xfId="0" applyFont="1" applyBorder="1">
      <alignment vertical="center"/>
    </xf>
    <xf numFmtId="194" fontId="7" fillId="0" borderId="1" xfId="50" applyNumberFormat="1" applyFont="1" applyBorder="1" applyAlignment="1">
      <alignment horizontal="center" vertical="center"/>
    </xf>
    <xf numFmtId="193" fontId="7" fillId="0" borderId="2" xfId="50" applyNumberFormat="1" applyFont="1" applyBorder="1" applyAlignment="1">
      <alignment horizontal="center" vertical="center"/>
    </xf>
    <xf numFmtId="194" fontId="7" fillId="0" borderId="2" xfId="50" applyNumberFormat="1" applyFont="1" applyBorder="1" applyAlignment="1">
      <alignment horizontal="center" vertical="center"/>
    </xf>
    <xf numFmtId="4" fontId="7" fillId="9" borderId="29" xfId="0" applyNumberFormat="1" applyFont="1" applyFill="1" applyBorder="1" applyAlignment="1">
      <alignment horizontal="center" vertical="center"/>
    </xf>
    <xf numFmtId="0" fontId="11" fillId="0" borderId="0" xfId="0" applyFont="1">
      <alignment vertical="center"/>
    </xf>
    <xf numFmtId="4" fontId="7" fillId="9" borderId="1" xfId="0" applyNumberFormat="1" applyFont="1" applyFill="1" applyBorder="1" applyAlignment="1">
      <alignment horizontal="center" vertical="center"/>
    </xf>
    <xf numFmtId="182" fontId="13" fillId="0" borderId="2" xfId="50" applyNumberFormat="1" applyFont="1" applyBorder="1" applyAlignment="1">
      <alignment horizontal="center" vertical="center"/>
    </xf>
    <xf numFmtId="195" fontId="7" fillId="0" borderId="2" xfId="0" applyNumberFormat="1" applyFont="1" applyBorder="1" applyAlignment="1">
      <alignment horizontal="center" vertical="center"/>
    </xf>
    <xf numFmtId="4" fontId="7" fillId="7" borderId="1" xfId="0" applyNumberFormat="1" applyFont="1" applyFill="1" applyBorder="1" applyAlignment="1">
      <alignment horizontal="center" vertical="center"/>
    </xf>
    <xf numFmtId="0" fontId="7" fillId="0" borderId="2" xfId="50" applyFont="1" applyBorder="1" applyAlignment="1">
      <alignment horizontal="left" vertical="center"/>
    </xf>
    <xf numFmtId="4" fontId="7" fillId="0" borderId="2" xfId="50" applyNumberFormat="1" applyFont="1" applyBorder="1" applyAlignment="1">
      <alignment horizontal="center" vertical="center"/>
    </xf>
    <xf numFmtId="4" fontId="17" fillId="6" borderId="2" xfId="0" applyNumberFormat="1" applyFont="1" applyFill="1" applyBorder="1" applyAlignment="1">
      <alignment horizontal="center" vertical="center"/>
    </xf>
    <xf numFmtId="191" fontId="7" fillId="0" borderId="2" xfId="50" applyNumberFormat="1" applyFont="1" applyBorder="1" applyAlignment="1">
      <alignment horizontal="center" vertical="center"/>
    </xf>
    <xf numFmtId="0" fontId="7" fillId="0" borderId="1" xfId="50" applyFont="1" applyBorder="1" applyAlignment="1">
      <alignment horizontal="left" vertical="center"/>
    </xf>
    <xf numFmtId="191" fontId="7" fillId="0" borderId="1" xfId="50" applyNumberFormat="1" applyFont="1" applyBorder="1" applyAlignment="1">
      <alignment horizontal="center" vertical="center"/>
    </xf>
    <xf numFmtId="182" fontId="13" fillId="0" borderId="1" xfId="50" applyNumberFormat="1" applyFont="1" applyBorder="1" applyAlignment="1">
      <alignment horizontal="center" vertical="center"/>
    </xf>
    <xf numFmtId="14" fontId="14" fillId="0" borderId="1" xfId="0" applyNumberFormat="1" applyFont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184" fontId="13" fillId="0" borderId="1" xfId="50" applyNumberFormat="1" applyFont="1" applyBorder="1" applyAlignment="1">
      <alignment horizontal="center" vertical="center"/>
    </xf>
    <xf numFmtId="4" fontId="7" fillId="8" borderId="1" xfId="0" applyNumberFormat="1" applyFont="1" applyFill="1" applyBorder="1" applyAlignment="1">
      <alignment horizontal="center" vertical="center"/>
    </xf>
    <xf numFmtId="196" fontId="7" fillId="0" borderId="1" xfId="50" applyNumberFormat="1" applyFont="1" applyBorder="1" applyAlignment="1">
      <alignment horizontal="center" vertical="center"/>
    </xf>
    <xf numFmtId="196" fontId="7" fillId="0" borderId="1" xfId="0" applyNumberFormat="1" applyFon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4" fontId="17" fillId="0" borderId="1" xfId="5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4" fontId="7" fillId="0" borderId="0" xfId="0" applyNumberFormat="1" applyFont="1">
      <alignment vertical="center"/>
    </xf>
    <xf numFmtId="191" fontId="7" fillId="0" borderId="1" xfId="0" applyNumberFormat="1" applyFont="1" applyBorder="1" applyAlignment="1">
      <alignment horizontal="center" vertical="center"/>
    </xf>
    <xf numFmtId="0" fontId="7" fillId="0" borderId="43" xfId="50" applyFont="1" applyBorder="1" applyAlignment="1">
      <alignment horizontal="center" vertical="center"/>
    </xf>
    <xf numFmtId="197" fontId="7" fillId="0" borderId="1" xfId="0" applyNumberFormat="1" applyFont="1" applyBorder="1" applyAlignment="1">
      <alignment horizontal="center" vertical="center"/>
    </xf>
    <xf numFmtId="176" fontId="7" fillId="0" borderId="1" xfId="50" applyNumberFormat="1" applyFont="1" applyBorder="1" applyAlignment="1">
      <alignment horizontal="center" vertical="center"/>
    </xf>
    <xf numFmtId="176" fontId="7" fillId="0" borderId="3" xfId="0" applyNumberFormat="1" applyFont="1" applyBorder="1" applyAlignment="1">
      <alignment horizontal="center" vertical="center"/>
    </xf>
    <xf numFmtId="176" fontId="7" fillId="0" borderId="3" xfId="50" applyNumberFormat="1" applyFont="1" applyBorder="1" applyAlignment="1">
      <alignment horizontal="center" vertical="center"/>
    </xf>
    <xf numFmtId="195" fontId="7" fillId="0" borderId="1" xfId="0" applyNumberFormat="1" applyFont="1" applyBorder="1" applyAlignment="1">
      <alignment horizontal="center" vertical="center"/>
    </xf>
    <xf numFmtId="4" fontId="7" fillId="0" borderId="37" xfId="50" applyNumberFormat="1" applyFont="1" applyBorder="1" applyAlignment="1">
      <alignment horizontal="center" vertical="center"/>
    </xf>
    <xf numFmtId="182" fontId="7" fillId="0" borderId="1" xfId="0" applyNumberFormat="1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6" fillId="0" borderId="53" xfId="0" applyFont="1" applyBorder="1" applyAlignment="1">
      <alignment horizontal="center" vertical="center"/>
    </xf>
    <xf numFmtId="186" fontId="6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5" fillId="0" borderId="53" xfId="0" applyFon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8" fillId="10" borderId="1" xfId="50" applyFont="1" applyFill="1" applyBorder="1" applyAlignment="1">
      <alignment horizontal="center" vertical="center"/>
    </xf>
    <xf numFmtId="0" fontId="7" fillId="5" borderId="27" xfId="50" applyFont="1" applyFill="1" applyBorder="1" applyAlignment="1">
      <alignment horizontal="center" vertical="center"/>
    </xf>
    <xf numFmtId="0" fontId="7" fillId="5" borderId="3" xfId="50" applyFont="1" applyFill="1" applyBorder="1" applyAlignment="1">
      <alignment horizontal="center" vertical="center"/>
    </xf>
    <xf numFmtId="0" fontId="7" fillId="11" borderId="28" xfId="50" applyFont="1" applyFill="1" applyBorder="1" applyAlignment="1">
      <alignment horizontal="center" vertical="center"/>
    </xf>
    <xf numFmtId="0" fontId="7" fillId="5" borderId="54" xfId="50" applyFont="1" applyFill="1" applyBorder="1" applyAlignment="1">
      <alignment horizontal="center" vertical="center"/>
    </xf>
    <xf numFmtId="0" fontId="7" fillId="0" borderId="54" xfId="50" applyFont="1" applyBorder="1" applyAlignment="1">
      <alignment horizontal="center" vertical="center"/>
    </xf>
    <xf numFmtId="0" fontId="7" fillId="5" borderId="28" xfId="5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91" fontId="7" fillId="0" borderId="0" xfId="50" applyNumberFormat="1" applyFont="1" applyAlignment="1">
      <alignment horizontal="center" vertical="center"/>
    </xf>
    <xf numFmtId="198" fontId="7" fillId="0" borderId="0" xfId="50" applyNumberFormat="1" applyFont="1" applyAlignment="1">
      <alignment horizontal="center" vertical="center"/>
    </xf>
    <xf numFmtId="0" fontId="0" fillId="4" borderId="32" xfId="0" applyFill="1" applyBorder="1" applyAlignment="1"/>
    <xf numFmtId="191" fontId="9" fillId="4" borderId="46" xfId="50" applyNumberFormat="1" applyFont="1" applyFill="1" applyBorder="1" applyAlignment="1">
      <alignment vertical="center"/>
    </xf>
    <xf numFmtId="191" fontId="9" fillId="4" borderId="32" xfId="50" applyNumberFormat="1" applyFont="1" applyFill="1" applyBorder="1" applyAlignment="1">
      <alignment vertical="center"/>
    </xf>
    <xf numFmtId="198" fontId="9" fillId="4" borderId="32" xfId="50" applyNumberFormat="1" applyFont="1" applyFill="1" applyBorder="1" applyAlignment="1">
      <alignment vertical="center"/>
    </xf>
    <xf numFmtId="191" fontId="9" fillId="4" borderId="39" xfId="50" applyNumberFormat="1" applyFont="1" applyFill="1" applyBorder="1" applyAlignment="1">
      <alignment vertical="center"/>
    </xf>
    <xf numFmtId="0" fontId="9" fillId="4" borderId="0" xfId="50" applyFont="1" applyFill="1" applyAlignment="1">
      <alignment horizontal="center" vertical="center"/>
    </xf>
    <xf numFmtId="183" fontId="9" fillId="4" borderId="0" xfId="50" applyNumberFormat="1" applyFont="1" applyFill="1" applyAlignment="1">
      <alignment horizontal="center" vertical="center"/>
    </xf>
    <xf numFmtId="4" fontId="9" fillId="4" borderId="0" xfId="50" applyNumberFormat="1" applyFont="1" applyFill="1" applyAlignment="1">
      <alignment horizontal="center" vertical="center"/>
    </xf>
    <xf numFmtId="191" fontId="9" fillId="4" borderId="0" xfId="50" applyNumberFormat="1" applyFont="1" applyFill="1" applyAlignment="1">
      <alignment horizontal="center" vertical="center"/>
    </xf>
    <xf numFmtId="182" fontId="9" fillId="4" borderId="0" xfId="50" applyNumberFormat="1" applyFont="1" applyFill="1" applyAlignment="1">
      <alignment horizontal="center" vertical="center"/>
    </xf>
    <xf numFmtId="191" fontId="8" fillId="4" borderId="1" xfId="50" applyNumberFormat="1" applyFont="1" applyFill="1" applyBorder="1" applyAlignment="1">
      <alignment horizontal="center" vertical="center"/>
    </xf>
    <xf numFmtId="198" fontId="8" fillId="4" borderId="1" xfId="50" applyNumberFormat="1" applyFont="1" applyFill="1" applyBorder="1" applyAlignment="1">
      <alignment horizontal="center" vertical="center" wrapText="1"/>
    </xf>
    <xf numFmtId="191" fontId="8" fillId="4" borderId="1" xfId="50" applyNumberFormat="1" applyFont="1" applyFill="1" applyBorder="1" applyAlignment="1">
      <alignment horizontal="center" vertical="center" wrapText="1"/>
    </xf>
    <xf numFmtId="191" fontId="18" fillId="4" borderId="1" xfId="50" applyNumberFormat="1" applyFont="1" applyFill="1" applyBorder="1" applyAlignment="1">
      <alignment horizontal="center" vertical="center" wrapText="1"/>
    </xf>
    <xf numFmtId="179" fontId="19" fillId="4" borderId="1" xfId="50" applyNumberFormat="1" applyFont="1" applyFill="1" applyBorder="1" applyAlignment="1">
      <alignment horizontal="center" vertical="center" wrapText="1"/>
    </xf>
    <xf numFmtId="191" fontId="20" fillId="4" borderId="1" xfId="50" applyNumberFormat="1" applyFont="1" applyFill="1" applyBorder="1" applyAlignment="1">
      <alignment horizontal="center" vertical="center" wrapText="1"/>
    </xf>
    <xf numFmtId="0" fontId="19" fillId="4" borderId="1" xfId="50" applyFont="1" applyFill="1" applyBorder="1" applyAlignment="1">
      <alignment horizontal="center" vertical="center"/>
    </xf>
    <xf numFmtId="186" fontId="7" fillId="0" borderId="0" xfId="49" applyNumberFormat="1" applyFont="1" applyAlignment="1">
      <alignment horizontal="center" vertical="center"/>
    </xf>
    <xf numFmtId="186" fontId="7" fillId="0" borderId="0" xfId="50" applyNumberFormat="1" applyFont="1" applyAlignment="1">
      <alignment horizontal="center" vertical="center"/>
    </xf>
    <xf numFmtId="4" fontId="7" fillId="0" borderId="0" xfId="49" applyNumberFormat="1" applyFont="1" applyAlignment="1">
      <alignment horizontal="center" vertical="center"/>
    </xf>
    <xf numFmtId="183" fontId="7" fillId="0" borderId="0" xfId="49" applyNumberFormat="1" applyFont="1" applyAlignment="1">
      <alignment horizontal="center" vertical="center"/>
    </xf>
    <xf numFmtId="0" fontId="8" fillId="4" borderId="3" xfId="50" applyFont="1" applyFill="1" applyBorder="1" applyAlignment="1">
      <alignment horizontal="center" vertical="center"/>
    </xf>
    <xf numFmtId="0" fontId="8" fillId="0" borderId="0" xfId="50" applyFont="1" applyAlignment="1">
      <alignment horizontal="center" vertical="center" wrapText="1"/>
    </xf>
    <xf numFmtId="4" fontId="8" fillId="0" borderId="0" xfId="50" applyNumberFormat="1" applyFont="1" applyAlignment="1">
      <alignment horizontal="center" vertical="center" wrapText="1"/>
    </xf>
    <xf numFmtId="182" fontId="8" fillId="0" borderId="0" xfId="50" applyNumberFormat="1" applyFont="1" applyAlignment="1">
      <alignment horizontal="center" vertical="center" wrapText="1"/>
    </xf>
    <xf numFmtId="184" fontId="8" fillId="0" borderId="0" xfId="50" applyNumberFormat="1" applyFont="1" applyAlignment="1">
      <alignment horizontal="center" vertical="center" wrapText="1"/>
    </xf>
    <xf numFmtId="14" fontId="8" fillId="0" borderId="0" xfId="50" applyNumberFormat="1" applyFont="1" applyAlignment="1">
      <alignment horizontal="center" vertical="center" wrapText="1"/>
    </xf>
    <xf numFmtId="0" fontId="8" fillId="4" borderId="0" xfId="50" applyFont="1" applyFill="1" applyAlignment="1">
      <alignment horizontal="center" vertical="center"/>
    </xf>
    <xf numFmtId="0" fontId="7" fillId="0" borderId="31" xfId="50" applyFont="1" applyBorder="1" applyAlignment="1">
      <alignment horizontal="center" vertical="center"/>
    </xf>
    <xf numFmtId="191" fontId="7" fillId="0" borderId="31" xfId="50" applyNumberFormat="1" applyFont="1" applyBorder="1" applyAlignment="1">
      <alignment horizontal="center" vertical="center"/>
    </xf>
    <xf numFmtId="14" fontId="7" fillId="0" borderId="31" xfId="50" applyNumberFormat="1" applyFont="1" applyBorder="1" applyAlignment="1">
      <alignment horizontal="center" vertical="center"/>
    </xf>
    <xf numFmtId="4" fontId="7" fillId="0" borderId="31" xfId="49" applyNumberFormat="1" applyFont="1" applyBorder="1" applyAlignment="1">
      <alignment horizontal="center" vertical="center"/>
    </xf>
    <xf numFmtId="4" fontId="7" fillId="0" borderId="31" xfId="50" applyNumberFormat="1" applyFont="1" applyBorder="1" applyAlignment="1">
      <alignment horizontal="center" vertical="center"/>
    </xf>
    <xf numFmtId="183" fontId="7" fillId="0" borderId="31" xfId="49" applyNumberFormat="1" applyFont="1" applyBorder="1" applyAlignment="1">
      <alignment horizontal="center" vertical="center"/>
    </xf>
    <xf numFmtId="199" fontId="7" fillId="0" borderId="0" xfId="50" applyNumberFormat="1" applyFont="1" applyAlignment="1">
      <alignment horizontal="center" vertical="center"/>
    </xf>
    <xf numFmtId="191" fontId="7" fillId="5" borderId="1" xfId="50" applyNumberFormat="1" applyFont="1" applyFill="1" applyBorder="1" applyAlignment="1">
      <alignment horizontal="center" vertical="center"/>
    </xf>
    <xf numFmtId="0" fontId="8" fillId="5" borderId="1" xfId="50" applyFont="1" applyFill="1" applyBorder="1" applyAlignment="1">
      <alignment horizontal="center" vertical="center" wrapText="1"/>
    </xf>
    <xf numFmtId="198" fontId="7" fillId="5" borderId="1" xfId="50" applyNumberFormat="1" applyFont="1" applyFill="1" applyBorder="1" applyAlignment="1">
      <alignment horizontal="center" vertical="center" wrapText="1"/>
    </xf>
    <xf numFmtId="182" fontId="8" fillId="5" borderId="1" xfId="50" applyNumberFormat="1" applyFont="1" applyFill="1" applyBorder="1" applyAlignment="1">
      <alignment horizontal="center" vertical="center" wrapText="1"/>
    </xf>
    <xf numFmtId="191" fontId="8" fillId="5" borderId="1" xfId="50" applyNumberFormat="1" applyFont="1" applyFill="1" applyBorder="1" applyAlignment="1">
      <alignment horizontal="center" vertical="center" wrapText="1"/>
    </xf>
    <xf numFmtId="179" fontId="8" fillId="5" borderId="1" xfId="50" applyNumberFormat="1" applyFont="1" applyFill="1" applyBorder="1" applyAlignment="1">
      <alignment horizontal="center" vertical="center" wrapText="1"/>
    </xf>
    <xf numFmtId="4" fontId="8" fillId="5" borderId="1" xfId="50" applyNumberFormat="1" applyFont="1" applyFill="1" applyBorder="1" applyAlignment="1">
      <alignment horizontal="center" vertical="center" wrapText="1"/>
    </xf>
    <xf numFmtId="183" fontId="8" fillId="5" borderId="1" xfId="50" applyNumberFormat="1" applyFont="1" applyFill="1" applyBorder="1" applyAlignment="1">
      <alignment horizontal="center" vertical="center" wrapText="1"/>
    </xf>
    <xf numFmtId="4" fontId="8" fillId="5" borderId="36" xfId="50" applyNumberFormat="1" applyFont="1" applyFill="1" applyBorder="1" applyAlignment="1">
      <alignment horizontal="center" vertical="center" wrapText="1"/>
    </xf>
    <xf numFmtId="0" fontId="8" fillId="5" borderId="37" xfId="50" applyFont="1" applyFill="1" applyBorder="1" applyAlignment="1">
      <alignment horizontal="center" vertical="center"/>
    </xf>
    <xf numFmtId="0" fontId="8" fillId="5" borderId="37" xfId="50" applyFont="1" applyFill="1" applyBorder="1" applyAlignment="1">
      <alignment horizontal="center" vertical="center" wrapText="1"/>
    </xf>
    <xf numFmtId="0" fontId="8" fillId="5" borderId="36" xfId="50" applyFont="1" applyFill="1" applyBorder="1" applyAlignment="1">
      <alignment horizontal="center" vertical="center" wrapText="1"/>
    </xf>
    <xf numFmtId="191" fontId="8" fillId="5" borderId="37" xfId="50" applyNumberFormat="1" applyFont="1" applyFill="1" applyBorder="1" applyAlignment="1">
      <alignment horizontal="center" vertical="center" wrapText="1"/>
    </xf>
    <xf numFmtId="182" fontId="8" fillId="5" borderId="37" xfId="50" applyNumberFormat="1" applyFont="1" applyFill="1" applyBorder="1" applyAlignment="1">
      <alignment horizontal="center" vertical="center" wrapText="1"/>
    </xf>
    <xf numFmtId="184" fontId="8" fillId="5" borderId="1" xfId="50" applyNumberFormat="1" applyFont="1" applyFill="1" applyBorder="1" applyAlignment="1">
      <alignment horizontal="center" vertical="center" wrapText="1"/>
    </xf>
    <xf numFmtId="0" fontId="21" fillId="5" borderId="1" xfId="50" applyFont="1" applyFill="1" applyBorder="1" applyAlignment="1">
      <alignment horizontal="center" vertical="center"/>
    </xf>
    <xf numFmtId="198" fontId="7" fillId="0" borderId="1" xfId="50" applyNumberFormat="1" applyFont="1" applyBorder="1" applyAlignment="1">
      <alignment horizontal="center" vertical="center"/>
    </xf>
    <xf numFmtId="183" fontId="7" fillId="0" borderId="1" xfId="0" applyNumberFormat="1" applyFont="1" applyBorder="1">
      <alignment vertical="center"/>
    </xf>
    <xf numFmtId="200" fontId="7" fillId="0" borderId="1" xfId="50" applyNumberFormat="1" applyFont="1" applyBorder="1" applyAlignment="1">
      <alignment horizontal="center" vertical="center"/>
    </xf>
    <xf numFmtId="191" fontId="7" fillId="0" borderId="37" xfId="50" applyNumberFormat="1" applyFont="1" applyBorder="1" applyAlignment="1">
      <alignment horizontal="center" vertical="center"/>
    </xf>
    <xf numFmtId="182" fontId="7" fillId="0" borderId="1" xfId="50" applyNumberFormat="1" applyFont="1" applyBorder="1" applyAlignment="1">
      <alignment horizontal="center" vertical="center" wrapText="1"/>
    </xf>
    <xf numFmtId="0" fontId="7" fillId="4" borderId="10" xfId="50" applyFont="1" applyFill="1" applyBorder="1" applyAlignment="1">
      <alignment horizontal="center" vertical="center"/>
    </xf>
    <xf numFmtId="0" fontId="7" fillId="0" borderId="12" xfId="50" applyFont="1" applyBorder="1" applyAlignment="1">
      <alignment horizontal="center" vertical="center"/>
    </xf>
    <xf numFmtId="198" fontId="7" fillId="5" borderId="1" xfId="50" applyNumberFormat="1" applyFont="1" applyFill="1" applyBorder="1" applyAlignment="1">
      <alignment horizontal="center" vertical="center"/>
    </xf>
    <xf numFmtId="182" fontId="7" fillId="5" borderId="1" xfId="50" applyNumberFormat="1" applyFont="1" applyFill="1" applyBorder="1" applyAlignment="1">
      <alignment vertical="center"/>
    </xf>
    <xf numFmtId="182" fontId="7" fillId="5" borderId="1" xfId="49" applyNumberFormat="1" applyFont="1" applyFill="1" applyBorder="1" applyAlignment="1">
      <alignment vertical="center"/>
    </xf>
    <xf numFmtId="0" fontId="7" fillId="5" borderId="1" xfId="50" applyFont="1" applyFill="1" applyBorder="1" applyAlignment="1">
      <alignment vertical="center"/>
    </xf>
    <xf numFmtId="0" fontId="7" fillId="5" borderId="36" xfId="50" applyFont="1" applyFill="1" applyBorder="1" applyAlignment="1">
      <alignment horizontal="center" vertical="center"/>
    </xf>
    <xf numFmtId="191" fontId="7" fillId="5" borderId="37" xfId="50" applyNumberFormat="1" applyFont="1" applyFill="1" applyBorder="1" applyAlignment="1">
      <alignment horizontal="center" vertical="center"/>
    </xf>
    <xf numFmtId="182" fontId="7" fillId="5" borderId="37" xfId="50" applyNumberFormat="1" applyFont="1" applyFill="1" applyBorder="1" applyAlignment="1">
      <alignment horizontal="center" vertical="center"/>
    </xf>
    <xf numFmtId="184" fontId="13" fillId="5" borderId="1" xfId="50" applyNumberFormat="1" applyFont="1" applyFill="1" applyBorder="1" applyAlignment="1">
      <alignment horizontal="center" vertical="center"/>
    </xf>
    <xf numFmtId="0" fontId="10" fillId="5" borderId="1" xfId="50" applyFont="1" applyFill="1" applyBorder="1" applyAlignment="1">
      <alignment horizontal="center" vertical="center"/>
    </xf>
    <xf numFmtId="4" fontId="8" fillId="0" borderId="1" xfId="50" applyNumberFormat="1" applyFont="1" applyBorder="1" applyAlignment="1">
      <alignment horizontal="center" vertical="center"/>
    </xf>
    <xf numFmtId="191" fontId="8" fillId="0" borderId="1" xfId="50" applyNumberFormat="1" applyFont="1" applyBorder="1" applyAlignment="1">
      <alignment horizontal="center" vertical="center" wrapText="1"/>
    </xf>
    <xf numFmtId="191" fontId="8" fillId="0" borderId="37" xfId="50" applyNumberFormat="1" applyFont="1" applyBorder="1" applyAlignment="1">
      <alignment horizontal="center" vertical="center" wrapText="1"/>
    </xf>
    <xf numFmtId="4" fontId="8" fillId="5" borderId="1" xfId="50" applyNumberFormat="1" applyFont="1" applyFill="1" applyBorder="1" applyAlignment="1">
      <alignment horizontal="center" vertical="center"/>
    </xf>
    <xf numFmtId="182" fontId="7" fillId="5" borderId="37" xfId="50" applyNumberFormat="1" applyFont="1" applyFill="1" applyBorder="1" applyAlignment="1">
      <alignment horizontal="center" vertical="center" wrapText="1"/>
    </xf>
    <xf numFmtId="182" fontId="7" fillId="5" borderId="1" xfId="50" applyNumberFormat="1" applyFont="1" applyFill="1" applyBorder="1" applyAlignment="1">
      <alignment horizontal="center" vertical="center" wrapText="1"/>
    </xf>
    <xf numFmtId="0" fontId="22" fillId="0" borderId="1" xfId="50" applyFont="1" applyBorder="1" applyAlignment="1">
      <alignment horizontal="center" vertical="center" wrapText="1"/>
    </xf>
    <xf numFmtId="0" fontId="7" fillId="10" borderId="1" xfId="50" applyFont="1" applyFill="1" applyBorder="1" applyAlignment="1">
      <alignment horizontal="center" vertical="center"/>
    </xf>
    <xf numFmtId="0" fontId="7" fillId="10" borderId="1" xfId="50" applyFont="1" applyFill="1" applyBorder="1" applyAlignment="1">
      <alignment horizontal="center" vertical="center" wrapText="1"/>
    </xf>
    <xf numFmtId="198" fontId="7" fillId="10" borderId="1" xfId="50" applyNumberFormat="1" applyFont="1" applyFill="1" applyBorder="1" applyAlignment="1">
      <alignment horizontal="center" vertical="center"/>
    </xf>
    <xf numFmtId="182" fontId="8" fillId="10" borderId="1" xfId="50" applyNumberFormat="1" applyFont="1" applyFill="1" applyBorder="1" applyAlignment="1">
      <alignment horizontal="center" vertical="center" wrapText="1"/>
    </xf>
    <xf numFmtId="0" fontId="8" fillId="10" borderId="1" xfId="50" applyFont="1" applyFill="1" applyBorder="1" applyAlignment="1">
      <alignment horizontal="center" vertical="center" wrapText="1"/>
    </xf>
    <xf numFmtId="191" fontId="8" fillId="10" borderId="1" xfId="50" applyNumberFormat="1" applyFont="1" applyFill="1" applyBorder="1" applyAlignment="1">
      <alignment horizontal="center" vertical="center" wrapText="1"/>
    </xf>
    <xf numFmtId="179" fontId="8" fillId="10" borderId="1" xfId="50" applyNumberFormat="1" applyFont="1" applyFill="1" applyBorder="1" applyAlignment="1">
      <alignment horizontal="center" vertical="center" wrapText="1"/>
    </xf>
    <xf numFmtId="4" fontId="8" fillId="10" borderId="1" xfId="50" applyNumberFormat="1" applyFont="1" applyFill="1" applyBorder="1" applyAlignment="1">
      <alignment horizontal="center" vertical="center" wrapText="1"/>
    </xf>
    <xf numFmtId="183" fontId="8" fillId="10" borderId="1" xfId="50" applyNumberFormat="1" applyFont="1" applyFill="1" applyBorder="1" applyAlignment="1">
      <alignment horizontal="center" vertical="center" wrapText="1"/>
    </xf>
    <xf numFmtId="4" fontId="8" fillId="10" borderId="36" xfId="50" applyNumberFormat="1" applyFont="1" applyFill="1" applyBorder="1" applyAlignment="1">
      <alignment horizontal="center" vertical="center" wrapText="1"/>
    </xf>
    <xf numFmtId="0" fontId="8" fillId="10" borderId="37" xfId="50" applyFont="1" applyFill="1" applyBorder="1" applyAlignment="1">
      <alignment horizontal="center" vertical="center" wrapText="1"/>
    </xf>
    <xf numFmtId="0" fontId="8" fillId="10" borderId="36" xfId="50" applyFont="1" applyFill="1" applyBorder="1" applyAlignment="1">
      <alignment horizontal="center" vertical="center" wrapText="1"/>
    </xf>
    <xf numFmtId="191" fontId="8" fillId="10" borderId="37" xfId="50" applyNumberFormat="1" applyFont="1" applyFill="1" applyBorder="1" applyAlignment="1">
      <alignment horizontal="center" vertical="center" wrapText="1"/>
    </xf>
    <xf numFmtId="182" fontId="7" fillId="10" borderId="37" xfId="50" applyNumberFormat="1" applyFont="1" applyFill="1" applyBorder="1" applyAlignment="1">
      <alignment horizontal="center" vertical="center" wrapText="1"/>
    </xf>
    <xf numFmtId="182" fontId="7" fillId="10" borderId="1" xfId="50" applyNumberFormat="1" applyFont="1" applyFill="1" applyBorder="1" applyAlignment="1">
      <alignment horizontal="center" vertical="center" wrapText="1"/>
    </xf>
    <xf numFmtId="191" fontId="7" fillId="10" borderId="1" xfId="50" applyNumberFormat="1" applyFont="1" applyFill="1" applyBorder="1" applyAlignment="1">
      <alignment horizontal="center" vertical="center"/>
    </xf>
    <xf numFmtId="184" fontId="10" fillId="0" borderId="1" xfId="50" applyNumberFormat="1" applyFont="1" applyBorder="1" applyAlignment="1">
      <alignment horizontal="center" vertical="center" wrapText="1"/>
    </xf>
    <xf numFmtId="184" fontId="7" fillId="5" borderId="37" xfId="50" applyNumberFormat="1" applyFont="1" applyFill="1" applyBorder="1" applyAlignment="1">
      <alignment horizontal="center" vertical="center" wrapText="1"/>
    </xf>
    <xf numFmtId="4" fontId="7" fillId="5" borderId="1" xfId="50" applyNumberFormat="1" applyFont="1" applyFill="1" applyBorder="1" applyAlignment="1">
      <alignment horizontal="center" vertical="center" wrapText="1"/>
    </xf>
    <xf numFmtId="184" fontId="7" fillId="5" borderId="1" xfId="50" applyNumberFormat="1" applyFont="1" applyFill="1" applyBorder="1" applyAlignment="1">
      <alignment horizontal="center" vertical="center" wrapText="1"/>
    </xf>
    <xf numFmtId="184" fontId="8" fillId="0" borderId="1" xfId="50" applyNumberFormat="1" applyFont="1" applyBorder="1" applyAlignment="1">
      <alignment horizontal="center" vertical="center" wrapText="1"/>
    </xf>
    <xf numFmtId="192" fontId="7" fillId="0" borderId="1" xfId="50" applyNumberFormat="1" applyFont="1" applyBorder="1" applyAlignment="1">
      <alignment horizontal="center" vertical="center" wrapText="1"/>
    </xf>
    <xf numFmtId="3" fontId="8" fillId="5" borderId="1" xfId="50" applyNumberFormat="1" applyFont="1" applyFill="1" applyBorder="1" applyAlignment="1">
      <alignment horizontal="center" vertical="center" wrapText="1"/>
    </xf>
    <xf numFmtId="193" fontId="7" fillId="0" borderId="37" xfId="50" applyNumberFormat="1" applyFont="1" applyBorder="1" applyAlignment="1">
      <alignment horizontal="center" vertical="center" wrapText="1"/>
    </xf>
    <xf numFmtId="201" fontId="7" fillId="0" borderId="1" xfId="50" applyNumberFormat="1" applyFont="1" applyBorder="1" applyAlignment="1">
      <alignment horizontal="center" vertical="center" wrapText="1"/>
    </xf>
    <xf numFmtId="182" fontId="8" fillId="5" borderId="1" xfId="50" applyNumberFormat="1" applyFont="1" applyFill="1" applyBorder="1" applyAlignment="1">
      <alignment horizontal="center" vertical="center"/>
    </xf>
    <xf numFmtId="182" fontId="7" fillId="5" borderId="1" xfId="49" applyNumberFormat="1" applyFont="1" applyFill="1" applyBorder="1" applyAlignment="1">
      <alignment horizontal="center" vertical="center"/>
    </xf>
    <xf numFmtId="186" fontId="7" fillId="5" borderId="1" xfId="49" applyNumberFormat="1" applyFont="1" applyFill="1" applyBorder="1" applyAlignment="1">
      <alignment horizontal="center" vertical="center"/>
    </xf>
    <xf numFmtId="186" fontId="7" fillId="5" borderId="1" xfId="50" applyNumberFormat="1" applyFont="1" applyFill="1" applyBorder="1" applyAlignment="1">
      <alignment horizontal="center" vertical="center"/>
    </xf>
    <xf numFmtId="4" fontId="7" fillId="5" borderId="1" xfId="49" applyNumberFormat="1" applyFont="1" applyFill="1" applyBorder="1" applyAlignment="1">
      <alignment horizontal="center" vertical="center"/>
    </xf>
    <xf numFmtId="4" fontId="7" fillId="5" borderId="36" xfId="49" applyNumberFormat="1" applyFont="1" applyFill="1" applyBorder="1" applyAlignment="1">
      <alignment horizontal="center" vertical="center"/>
    </xf>
    <xf numFmtId="43" fontId="7" fillId="5" borderId="1" xfId="50" applyNumberFormat="1" applyFont="1" applyFill="1" applyBorder="1" applyAlignment="1">
      <alignment horizontal="center" vertical="center"/>
    </xf>
    <xf numFmtId="187" fontId="7" fillId="5" borderId="36" xfId="50" applyNumberFormat="1" applyFont="1" applyFill="1" applyBorder="1" applyAlignment="1">
      <alignment horizontal="center" vertical="center"/>
    </xf>
    <xf numFmtId="183" fontId="7" fillId="5" borderId="1" xfId="49" applyNumberFormat="1" applyFont="1" applyFill="1" applyBorder="1" applyAlignment="1">
      <alignment horizontal="center" vertical="center"/>
    </xf>
    <xf numFmtId="184" fontId="7" fillId="5" borderId="37" xfId="50" applyNumberFormat="1" applyFont="1" applyFill="1" applyBorder="1" applyAlignment="1">
      <alignment horizontal="center" vertical="center"/>
    </xf>
    <xf numFmtId="181" fontId="7" fillId="0" borderId="1" xfId="50" applyNumberFormat="1" applyFont="1" applyBorder="1" applyAlignment="1">
      <alignment horizontal="center" vertical="center" wrapText="1"/>
    </xf>
    <xf numFmtId="197" fontId="7" fillId="0" borderId="1" xfId="50" applyNumberFormat="1" applyFont="1" applyBorder="1" applyAlignment="1">
      <alignment horizontal="center" vertical="center" wrapText="1"/>
    </xf>
    <xf numFmtId="198" fontId="7" fillId="12" borderId="1" xfId="50" applyNumberFormat="1" applyFont="1" applyFill="1" applyBorder="1" applyAlignment="1">
      <alignment horizontal="center" vertical="center"/>
    </xf>
    <xf numFmtId="184" fontId="7" fillId="0" borderId="37" xfId="50" applyNumberFormat="1" applyFont="1" applyBorder="1" applyAlignment="1">
      <alignment horizontal="center" vertical="center"/>
    </xf>
    <xf numFmtId="4" fontId="7" fillId="4" borderId="1" xfId="50" applyNumberFormat="1" applyFont="1" applyFill="1" applyBorder="1" applyAlignment="1">
      <alignment horizontal="center" vertical="center"/>
    </xf>
    <xf numFmtId="184" fontId="10" fillId="0" borderId="1" xfId="50" applyNumberFormat="1" applyFont="1" applyBorder="1" applyAlignment="1">
      <alignment horizontal="center" vertical="center"/>
    </xf>
    <xf numFmtId="199" fontId="7" fillId="0" borderId="1" xfId="50" applyNumberFormat="1" applyFont="1" applyBorder="1" applyAlignment="1">
      <alignment horizontal="center" vertical="center"/>
    </xf>
    <xf numFmtId="186" fontId="7" fillId="5" borderId="1" xfId="49" applyNumberFormat="1" applyFont="1" applyFill="1" applyBorder="1" applyAlignment="1">
      <alignment vertical="center"/>
    </xf>
    <xf numFmtId="186" fontId="7" fillId="0" borderId="1" xfId="49" applyNumberFormat="1" applyFont="1" applyBorder="1" applyAlignment="1">
      <alignment vertical="center"/>
    </xf>
    <xf numFmtId="2" fontId="7" fillId="0" borderId="1" xfId="50" applyNumberFormat="1" applyFont="1" applyBorder="1" applyAlignment="1">
      <alignment vertical="center"/>
    </xf>
    <xf numFmtId="186" fontId="7" fillId="5" borderId="36" xfId="50" applyNumberFormat="1" applyFont="1" applyFill="1" applyBorder="1" applyAlignment="1">
      <alignment horizontal="center" vertical="center"/>
    </xf>
    <xf numFmtId="199" fontId="7" fillId="5" borderId="37" xfId="5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93" fontId="7" fillId="0" borderId="1" xfId="50" applyNumberFormat="1" applyFont="1" applyBorder="1" applyAlignment="1">
      <alignment vertical="center"/>
    </xf>
    <xf numFmtId="199" fontId="7" fillId="0" borderId="37" xfId="50" applyNumberFormat="1" applyFont="1" applyBorder="1" applyAlignment="1">
      <alignment horizontal="center" vertical="center"/>
    </xf>
    <xf numFmtId="4" fontId="7" fillId="0" borderId="1" xfId="19" applyNumberFormat="1" applyFont="1" applyFill="1" applyBorder="1" applyAlignment="1">
      <alignment horizontal="center" vertical="center"/>
    </xf>
    <xf numFmtId="191" fontId="7" fillId="5" borderId="27" xfId="50" applyNumberFormat="1" applyFont="1" applyFill="1" applyBorder="1" applyAlignment="1">
      <alignment horizontal="center" vertical="center"/>
    </xf>
    <xf numFmtId="198" fontId="7" fillId="5" borderId="27" xfId="50" applyNumberFormat="1" applyFont="1" applyFill="1" applyBorder="1" applyAlignment="1">
      <alignment horizontal="center" vertical="center"/>
    </xf>
    <xf numFmtId="182" fontId="7" fillId="5" borderId="27" xfId="50" applyNumberFormat="1" applyFont="1" applyFill="1" applyBorder="1" applyAlignment="1">
      <alignment horizontal="center" vertical="center"/>
    </xf>
    <xf numFmtId="182" fontId="7" fillId="5" borderId="27" xfId="50" applyNumberFormat="1" applyFont="1" applyFill="1" applyBorder="1" applyAlignment="1">
      <alignment vertical="center"/>
    </xf>
    <xf numFmtId="0" fontId="7" fillId="5" borderId="27" xfId="50" applyFont="1" applyFill="1" applyBorder="1" applyAlignment="1">
      <alignment vertical="center"/>
    </xf>
    <xf numFmtId="179" fontId="7" fillId="5" borderId="27" xfId="50" applyNumberFormat="1" applyFont="1" applyFill="1" applyBorder="1" applyAlignment="1">
      <alignment horizontal="center" vertical="center"/>
    </xf>
    <xf numFmtId="4" fontId="7" fillId="5" borderId="27" xfId="50" applyNumberFormat="1" applyFont="1" applyFill="1" applyBorder="1" applyAlignment="1">
      <alignment horizontal="center" vertical="center"/>
    </xf>
    <xf numFmtId="183" fontId="7" fillId="5" borderId="27" xfId="50" applyNumberFormat="1" applyFont="1" applyFill="1" applyBorder="1" applyAlignment="1">
      <alignment horizontal="center" vertical="center"/>
    </xf>
    <xf numFmtId="4" fontId="7" fillId="5" borderId="38" xfId="50" applyNumberFormat="1" applyFont="1" applyFill="1" applyBorder="1" applyAlignment="1">
      <alignment horizontal="center" vertical="center"/>
    </xf>
    <xf numFmtId="0" fontId="7" fillId="5" borderId="39" xfId="50" applyFont="1" applyFill="1" applyBorder="1" applyAlignment="1">
      <alignment horizontal="center" vertical="center"/>
    </xf>
    <xf numFmtId="0" fontId="7" fillId="5" borderId="40" xfId="50" applyFont="1" applyFill="1" applyBorder="1" applyAlignment="1">
      <alignment horizontal="center" vertical="center"/>
    </xf>
    <xf numFmtId="0" fontId="7" fillId="5" borderId="38" xfId="50" applyFont="1" applyFill="1" applyBorder="1" applyAlignment="1">
      <alignment horizontal="center" vertical="center"/>
    </xf>
    <xf numFmtId="191" fontId="7" fillId="5" borderId="40" xfId="50" applyNumberFormat="1" applyFont="1" applyFill="1" applyBorder="1" applyAlignment="1">
      <alignment horizontal="center" vertical="center"/>
    </xf>
    <xf numFmtId="184" fontId="7" fillId="5" borderId="40" xfId="50" applyNumberFormat="1" applyFont="1" applyFill="1" applyBorder="1" applyAlignment="1">
      <alignment horizontal="center" vertical="center"/>
    </xf>
    <xf numFmtId="184" fontId="7" fillId="5" borderId="27" xfId="50" applyNumberFormat="1" applyFont="1" applyFill="1" applyBorder="1" applyAlignment="1">
      <alignment horizontal="center" vertical="center"/>
    </xf>
    <xf numFmtId="4" fontId="7" fillId="5" borderId="27" xfId="0" applyNumberFormat="1" applyFont="1" applyFill="1" applyBorder="1" applyAlignment="1">
      <alignment horizontal="center" vertical="center"/>
    </xf>
    <xf numFmtId="191" fontId="7" fillId="0" borderId="3" xfId="50" applyNumberFormat="1" applyFont="1" applyBorder="1" applyAlignment="1">
      <alignment horizontal="center" vertical="center"/>
    </xf>
    <xf numFmtId="198" fontId="7" fillId="0" borderId="3" xfId="50" applyNumberFormat="1" applyFont="1" applyBorder="1" applyAlignment="1">
      <alignment horizontal="center" vertical="center"/>
    </xf>
    <xf numFmtId="191" fontId="7" fillId="0" borderId="33" xfId="50" applyNumberFormat="1" applyFont="1" applyBorder="1" applyAlignment="1">
      <alignment horizontal="center" vertical="center"/>
    </xf>
    <xf numFmtId="191" fontId="7" fillId="0" borderId="27" xfId="50" applyNumberFormat="1" applyFont="1" applyBorder="1" applyAlignment="1">
      <alignment horizontal="center" vertical="center"/>
    </xf>
    <xf numFmtId="198" fontId="7" fillId="0" borderId="27" xfId="50" applyNumberFormat="1" applyFont="1" applyBorder="1" applyAlignment="1">
      <alignment horizontal="center" vertical="center"/>
    </xf>
    <xf numFmtId="191" fontId="7" fillId="0" borderId="40" xfId="50" applyNumberFormat="1" applyFont="1" applyBorder="1" applyAlignment="1">
      <alignment horizontal="center" vertical="center"/>
    </xf>
    <xf numFmtId="0" fontId="7" fillId="0" borderId="40" xfId="50" applyFont="1" applyBorder="1" applyAlignment="1">
      <alignment horizontal="center" vertical="center"/>
    </xf>
    <xf numFmtId="190" fontId="7" fillId="0" borderId="3" xfId="49" applyNumberFormat="1" applyFont="1" applyBorder="1" applyAlignment="1">
      <alignment horizontal="center" vertical="center"/>
    </xf>
    <xf numFmtId="184" fontId="8" fillId="5" borderId="36" xfId="50" applyNumberFormat="1" applyFont="1" applyFill="1" applyBorder="1" applyAlignment="1">
      <alignment horizontal="center" vertical="center"/>
    </xf>
    <xf numFmtId="0" fontId="12" fillId="0" borderId="1" xfId="50" applyFont="1" applyBorder="1" applyAlignment="1">
      <alignment horizontal="center" vertical="center"/>
    </xf>
    <xf numFmtId="193" fontId="7" fillId="5" borderId="1" xfId="50" applyNumberFormat="1" applyFont="1" applyFill="1" applyBorder="1" applyAlignment="1">
      <alignment horizontal="center" vertical="center"/>
    </xf>
    <xf numFmtId="4" fontId="7" fillId="5" borderId="1" xfId="0" applyNumberFormat="1" applyFont="1" applyFill="1" applyBorder="1" applyAlignment="1">
      <alignment horizontal="center" vertical="center"/>
    </xf>
    <xf numFmtId="198" fontId="7" fillId="13" borderId="1" xfId="50" applyNumberFormat="1" applyFont="1" applyFill="1" applyBorder="1" applyAlignment="1">
      <alignment horizontal="center" vertical="center"/>
    </xf>
    <xf numFmtId="4" fontId="7" fillId="0" borderId="1" xfId="0" applyNumberFormat="1" applyFont="1" applyBorder="1">
      <alignment vertical="center"/>
    </xf>
    <xf numFmtId="193" fontId="7" fillId="0" borderId="37" xfId="50" applyNumberFormat="1" applyFont="1" applyBorder="1" applyAlignment="1">
      <alignment horizontal="center" vertical="center"/>
    </xf>
    <xf numFmtId="198" fontId="7" fillId="14" borderId="1" xfId="50" applyNumberFormat="1" applyFont="1" applyFill="1" applyBorder="1" applyAlignment="1">
      <alignment horizontal="center" vertical="center" wrapText="1"/>
    </xf>
    <xf numFmtId="202" fontId="7" fillId="0" borderId="1" xfId="50" applyNumberFormat="1" applyFont="1" applyBorder="1" applyAlignment="1">
      <alignment horizontal="center" vertical="center"/>
    </xf>
    <xf numFmtId="198" fontId="7" fillId="14" borderId="1" xfId="50" applyNumberFormat="1" applyFont="1" applyFill="1" applyBorder="1" applyAlignment="1">
      <alignment horizontal="center" vertical="center"/>
    </xf>
    <xf numFmtId="4" fontId="7" fillId="0" borderId="1" xfId="50" applyNumberFormat="1" applyFont="1" applyBorder="1" applyAlignment="1">
      <alignment vertical="center"/>
    </xf>
    <xf numFmtId="49" fontId="7" fillId="0" borderId="37" xfId="50" applyNumberFormat="1" applyFont="1" applyBorder="1" applyAlignment="1">
      <alignment horizontal="left" vertical="center"/>
    </xf>
    <xf numFmtId="0" fontId="7" fillId="5" borderId="12" xfId="50" applyFont="1" applyFill="1" applyBorder="1" applyAlignment="1">
      <alignment horizontal="center" vertical="center"/>
    </xf>
    <xf numFmtId="184" fontId="7" fillId="5" borderId="1" xfId="50" applyNumberFormat="1" applyFont="1" applyFill="1" applyBorder="1" applyAlignment="1">
      <alignment horizontal="right" vertical="center"/>
    </xf>
    <xf numFmtId="0" fontId="23" fillId="0" borderId="1" xfId="50" applyFont="1" applyBorder="1" applyAlignment="1">
      <alignment horizontal="center" vertical="center"/>
    </xf>
    <xf numFmtId="4" fontId="7" fillId="0" borderId="1" xfId="0" applyNumberFormat="1" applyFont="1" applyBorder="1" applyAlignment="1"/>
    <xf numFmtId="3" fontId="7" fillId="0" borderId="37" xfId="50" applyNumberFormat="1" applyFont="1" applyBorder="1" applyAlignment="1">
      <alignment horizontal="center" vertical="center"/>
    </xf>
    <xf numFmtId="198" fontId="7" fillId="15" borderId="1" xfId="50" applyNumberFormat="1" applyFont="1" applyFill="1" applyBorder="1" applyAlignment="1">
      <alignment horizontal="center" vertical="center" wrapText="1"/>
    </xf>
    <xf numFmtId="179" fontId="7" fillId="0" borderId="37" xfId="50" applyNumberFormat="1" applyFont="1" applyBorder="1" applyAlignment="1">
      <alignment horizontal="center" vertical="center"/>
    </xf>
    <xf numFmtId="183" fontId="7" fillId="0" borderId="37" xfId="50" applyNumberFormat="1" applyFont="1" applyBorder="1" applyAlignment="1">
      <alignment horizontal="center" vertical="center"/>
    </xf>
    <xf numFmtId="198" fontId="7" fillId="15" borderId="1" xfId="50" applyNumberFormat="1" applyFont="1" applyFill="1" applyBorder="1" applyAlignment="1">
      <alignment horizontal="center" vertical="center"/>
    </xf>
    <xf numFmtId="176" fontId="7" fillId="0" borderId="2" xfId="50" applyNumberFormat="1" applyFont="1" applyBorder="1" applyAlignment="1">
      <alignment horizontal="center" vertical="center"/>
    </xf>
    <xf numFmtId="191" fontId="11" fillId="5" borderId="1" xfId="50" applyNumberFormat="1" applyFont="1" applyFill="1" applyBorder="1" applyAlignment="1">
      <alignment horizontal="center" vertical="center"/>
    </xf>
    <xf numFmtId="194" fontId="7" fillId="5" borderId="1" xfId="50" applyNumberFormat="1" applyFont="1" applyFill="1" applyBorder="1" applyAlignment="1">
      <alignment horizontal="center" vertical="center"/>
    </xf>
    <xf numFmtId="198" fontId="7" fillId="14" borderId="2" xfId="50" applyNumberFormat="1" applyFont="1" applyFill="1" applyBorder="1" applyAlignment="1">
      <alignment horizontal="center" vertical="center"/>
    </xf>
    <xf numFmtId="179" fontId="7" fillId="0" borderId="2" xfId="50" applyNumberFormat="1" applyFont="1" applyBorder="1" applyAlignment="1">
      <alignment horizontal="center" vertical="center"/>
    </xf>
    <xf numFmtId="183" fontId="7" fillId="0" borderId="2" xfId="50" applyNumberFormat="1" applyFont="1" applyBorder="1" applyAlignment="1">
      <alignment horizontal="center" vertical="center"/>
    </xf>
    <xf numFmtId="4" fontId="7" fillId="0" borderId="46" xfId="50" applyNumberFormat="1" applyFont="1" applyBorder="1" applyAlignment="1">
      <alignment horizontal="center" vertical="center"/>
    </xf>
    <xf numFmtId="191" fontId="7" fillId="5" borderId="2" xfId="50" applyNumberFormat="1" applyFont="1" applyFill="1" applyBorder="1" applyAlignment="1">
      <alignment horizontal="center" vertical="center"/>
    </xf>
    <xf numFmtId="198" fontId="7" fillId="5" borderId="2" xfId="50" applyNumberFormat="1" applyFont="1" applyFill="1" applyBorder="1" applyAlignment="1">
      <alignment horizontal="center" vertical="center"/>
    </xf>
    <xf numFmtId="198" fontId="7" fillId="14" borderId="0" xfId="50" applyNumberFormat="1" applyFont="1" applyFill="1" applyAlignment="1">
      <alignment horizontal="center" vertical="center"/>
    </xf>
    <xf numFmtId="198" fontId="7" fillId="5" borderId="0" xfId="50" applyNumberFormat="1" applyFont="1" applyFill="1" applyAlignment="1">
      <alignment horizontal="center" vertical="center"/>
    </xf>
    <xf numFmtId="191" fontId="8" fillId="10" borderId="1" xfId="50" applyNumberFormat="1" applyFont="1" applyFill="1" applyBorder="1" applyAlignment="1">
      <alignment horizontal="center" vertical="center"/>
    </xf>
    <xf numFmtId="179" fontId="8" fillId="10" borderId="1" xfId="50" applyNumberFormat="1" applyFont="1" applyFill="1" applyBorder="1" applyAlignment="1">
      <alignment horizontal="center" vertical="center"/>
    </xf>
    <xf numFmtId="3" fontId="7" fillId="5" borderId="1" xfId="50" applyNumberFormat="1" applyFont="1" applyFill="1" applyBorder="1" applyAlignment="1">
      <alignment horizontal="center" vertical="center"/>
    </xf>
    <xf numFmtId="0" fontId="7" fillId="0" borderId="1" xfId="50" applyFont="1" applyBorder="1" applyAlignment="1">
      <alignment horizontal="left" vertical="center" wrapText="1"/>
    </xf>
    <xf numFmtId="198" fontId="7" fillId="14" borderId="28" xfId="50" applyNumberFormat="1" applyFont="1" applyFill="1" applyBorder="1" applyAlignment="1">
      <alignment horizontal="center" vertical="center"/>
    </xf>
    <xf numFmtId="0" fontId="10" fillId="0" borderId="2" xfId="50" applyFont="1" applyBorder="1" applyAlignment="1">
      <alignment horizontal="center" vertical="center"/>
    </xf>
    <xf numFmtId="198" fontId="7" fillId="16" borderId="1" xfId="50" applyNumberFormat="1" applyFont="1" applyFill="1" applyBorder="1" applyAlignment="1">
      <alignment horizontal="center" vertical="center"/>
    </xf>
    <xf numFmtId="198" fontId="7" fillId="16" borderId="0" xfId="50" applyNumberFormat="1" applyFont="1" applyFill="1" applyAlignment="1">
      <alignment horizontal="center" vertical="center"/>
    </xf>
    <xf numFmtId="0" fontId="12" fillId="0" borderId="3" xfId="50" applyFont="1" applyBorder="1" applyAlignment="1">
      <alignment horizontal="center" vertical="center"/>
    </xf>
    <xf numFmtId="191" fontId="7" fillId="0" borderId="30" xfId="50" applyNumberFormat="1" applyFont="1" applyBorder="1" applyAlignment="1">
      <alignment horizontal="center" vertical="center"/>
    </xf>
    <xf numFmtId="191" fontId="7" fillId="5" borderId="3" xfId="50" applyNumberFormat="1" applyFont="1" applyFill="1" applyBorder="1" applyAlignment="1">
      <alignment horizontal="center" vertical="center"/>
    </xf>
    <xf numFmtId="0" fontId="7" fillId="5" borderId="3" xfId="50" applyFont="1" applyFill="1" applyBorder="1" applyAlignment="1">
      <alignment horizontal="center" vertical="center" wrapText="1"/>
    </xf>
    <xf numFmtId="182" fontId="7" fillId="5" borderId="3" xfId="50" applyNumberFormat="1" applyFont="1" applyFill="1" applyBorder="1" applyAlignment="1">
      <alignment horizontal="center" vertical="center"/>
    </xf>
    <xf numFmtId="4" fontId="7" fillId="5" borderId="3" xfId="50" applyNumberFormat="1" applyFont="1" applyFill="1" applyBorder="1" applyAlignment="1">
      <alignment horizontal="center" vertical="center"/>
    </xf>
    <xf numFmtId="179" fontId="7" fillId="5" borderId="3" xfId="50" applyNumberFormat="1" applyFont="1" applyFill="1" applyBorder="1" applyAlignment="1">
      <alignment horizontal="center" vertical="center"/>
    </xf>
    <xf numFmtId="183" fontId="7" fillId="5" borderId="3" xfId="50" applyNumberFormat="1" applyFont="1" applyFill="1" applyBorder="1" applyAlignment="1">
      <alignment horizontal="center" vertical="center"/>
    </xf>
    <xf numFmtId="191" fontId="7" fillId="5" borderId="30" xfId="50" applyNumberFormat="1" applyFont="1" applyFill="1" applyBorder="1" applyAlignment="1">
      <alignment horizontal="center" vertical="center"/>
    </xf>
    <xf numFmtId="184" fontId="7" fillId="5" borderId="3" xfId="50" applyNumberFormat="1" applyFont="1" applyFill="1" applyBorder="1" applyAlignment="1">
      <alignment horizontal="center" vertical="center"/>
    </xf>
    <xf numFmtId="198" fontId="7" fillId="0" borderId="28" xfId="5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191" fontId="7" fillId="0" borderId="1" xfId="50" applyNumberFormat="1" applyFont="1" applyBorder="1" applyAlignment="1">
      <alignment horizontal="center" vertical="center" wrapText="1"/>
    </xf>
    <xf numFmtId="0" fontId="7" fillId="0" borderId="12" xfId="50" applyFont="1" applyBorder="1" applyAlignment="1">
      <alignment horizontal="center" vertical="center" wrapText="1"/>
    </xf>
    <xf numFmtId="0" fontId="7" fillId="0" borderId="37" xfId="50" applyFont="1" applyBorder="1" applyAlignment="1">
      <alignment horizontal="center" vertical="center" wrapText="1"/>
    </xf>
    <xf numFmtId="183" fontId="7" fillId="0" borderId="1" xfId="50" applyNumberFormat="1" applyFont="1" applyBorder="1" applyAlignment="1">
      <alignment horizontal="center" vertical="center" wrapText="1"/>
    </xf>
    <xf numFmtId="4" fontId="7" fillId="0" borderId="36" xfId="50" applyNumberFormat="1" applyFont="1" applyBorder="1" applyAlignment="1">
      <alignment horizontal="center" vertical="center" wrapText="1"/>
    </xf>
    <xf numFmtId="191" fontId="7" fillId="5" borderId="1" xfId="50" applyNumberFormat="1" applyFont="1" applyFill="1" applyBorder="1" applyAlignment="1">
      <alignment horizontal="center" vertical="center" wrapText="1"/>
    </xf>
    <xf numFmtId="179" fontId="7" fillId="5" borderId="1" xfId="50" applyNumberFormat="1" applyFont="1" applyFill="1" applyBorder="1" applyAlignment="1">
      <alignment horizontal="center" vertical="center" wrapText="1"/>
    </xf>
    <xf numFmtId="181" fontId="7" fillId="5" borderId="1" xfId="50" applyNumberFormat="1" applyFont="1" applyFill="1" applyBorder="1" applyAlignment="1">
      <alignment horizontal="center" vertical="center" wrapText="1"/>
    </xf>
    <xf numFmtId="183" fontId="7" fillId="5" borderId="1" xfId="50" applyNumberFormat="1" applyFont="1" applyFill="1" applyBorder="1" applyAlignment="1">
      <alignment horizontal="center" vertical="center" wrapText="1"/>
    </xf>
    <xf numFmtId="4" fontId="7" fillId="5" borderId="36" xfId="50" applyNumberFormat="1" applyFont="1" applyFill="1" applyBorder="1" applyAlignment="1">
      <alignment horizontal="center" vertical="center" wrapText="1"/>
    </xf>
    <xf numFmtId="0" fontId="7" fillId="5" borderId="36" xfId="50" applyFont="1" applyFill="1" applyBorder="1" applyAlignment="1">
      <alignment horizontal="center" vertical="center" wrapText="1"/>
    </xf>
    <xf numFmtId="191" fontId="7" fillId="5" borderId="37" xfId="50" applyNumberFormat="1" applyFont="1" applyFill="1" applyBorder="1" applyAlignment="1">
      <alignment horizontal="center" vertical="center" wrapText="1"/>
    </xf>
    <xf numFmtId="0" fontId="7" fillId="5" borderId="37" xfId="50" applyFont="1" applyFill="1" applyBorder="1" applyAlignment="1">
      <alignment horizontal="center" vertical="center" wrapText="1"/>
    </xf>
    <xf numFmtId="182" fontId="7" fillId="0" borderId="2" xfId="50" applyNumberFormat="1" applyFont="1" applyBorder="1" applyAlignment="1">
      <alignment horizontal="center" vertical="center" wrapText="1"/>
    </xf>
    <xf numFmtId="0" fontId="12" fillId="0" borderId="2" xfId="50" applyFont="1" applyBorder="1" applyAlignment="1">
      <alignment horizontal="center" vertical="center"/>
    </xf>
    <xf numFmtId="191" fontId="11" fillId="5" borderId="2" xfId="50" applyNumberFormat="1" applyFont="1" applyFill="1" applyBorder="1" applyAlignment="1">
      <alignment horizontal="center" vertical="center"/>
    </xf>
    <xf numFmtId="0" fontId="7" fillId="5" borderId="2" xfId="50" applyFont="1" applyFill="1" applyBorder="1" applyAlignment="1">
      <alignment horizontal="center" vertical="center" wrapText="1"/>
    </xf>
    <xf numFmtId="0" fontId="10" fillId="5" borderId="2" xfId="50" applyFont="1" applyFill="1" applyBorder="1" applyAlignment="1">
      <alignment horizontal="center" vertical="center"/>
    </xf>
    <xf numFmtId="14" fontId="7" fillId="5" borderId="37" xfId="50" applyNumberFormat="1" applyFont="1" applyFill="1" applyBorder="1" applyAlignment="1">
      <alignment horizontal="center" vertical="center"/>
    </xf>
    <xf numFmtId="0" fontId="18" fillId="5" borderId="1" xfId="50" applyFont="1" applyFill="1" applyBorder="1" applyAlignment="1">
      <alignment horizontal="center" vertical="center"/>
    </xf>
    <xf numFmtId="0" fontId="12" fillId="0" borderId="37" xfId="50" applyFont="1" applyBorder="1" applyAlignment="1">
      <alignment horizontal="center" vertical="center"/>
    </xf>
    <xf numFmtId="182" fontId="8" fillId="0" borderId="37" xfId="50" applyNumberFormat="1" applyFont="1" applyBorder="1" applyAlignment="1">
      <alignment horizontal="center" vertical="center" wrapText="1"/>
    </xf>
    <xf numFmtId="0" fontId="8" fillId="5" borderId="12" xfId="50" applyFont="1" applyFill="1" applyBorder="1" applyAlignment="1">
      <alignment horizontal="center" vertical="center" wrapText="1"/>
    </xf>
    <xf numFmtId="181" fontId="8" fillId="0" borderId="1" xfId="50" applyNumberFormat="1" applyFont="1" applyBorder="1" applyAlignment="1">
      <alignment horizontal="center" vertical="center" wrapText="1"/>
    </xf>
    <xf numFmtId="181" fontId="8" fillId="5" borderId="1" xfId="50" applyNumberFormat="1" applyFont="1" applyFill="1" applyBorder="1" applyAlignment="1">
      <alignment horizontal="center" vertical="center" wrapText="1"/>
    </xf>
    <xf numFmtId="0" fontId="8" fillId="4" borderId="10" xfId="50" applyFont="1" applyFill="1" applyBorder="1" applyAlignment="1">
      <alignment horizontal="center" vertical="center"/>
    </xf>
    <xf numFmtId="0" fontId="8" fillId="4" borderId="12" xfId="50" applyFont="1" applyFill="1" applyBorder="1" applyAlignment="1">
      <alignment horizontal="center" vertical="center"/>
    </xf>
    <xf numFmtId="0" fontId="19" fillId="0" borderId="1" xfId="5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198" fontId="7" fillId="14" borderId="2" xfId="50" applyNumberFormat="1" applyFont="1" applyFill="1" applyBorder="1" applyAlignment="1">
      <alignment horizontal="center" vertical="center" wrapText="1"/>
    </xf>
    <xf numFmtId="4" fontId="14" fillId="0" borderId="2" xfId="50" applyNumberFormat="1" applyFont="1" applyBorder="1" applyAlignment="1">
      <alignment horizontal="center" vertical="center"/>
    </xf>
    <xf numFmtId="0" fontId="8" fillId="0" borderId="2" xfId="50" applyFont="1" applyBorder="1" applyAlignment="1">
      <alignment horizontal="center" vertical="center" wrapText="1"/>
    </xf>
    <xf numFmtId="4" fontId="14" fillId="5" borderId="1" xfId="50" applyNumberFormat="1" applyFont="1" applyFill="1" applyBorder="1" applyAlignment="1">
      <alignment horizontal="center" vertical="center"/>
    </xf>
    <xf numFmtId="182" fontId="14" fillId="5" borderId="1" xfId="50" applyNumberFormat="1" applyFont="1" applyFill="1" applyBorder="1" applyAlignment="1">
      <alignment horizontal="center" vertical="center"/>
    </xf>
    <xf numFmtId="0" fontId="19" fillId="0" borderId="1" xfId="50" applyFont="1" applyBorder="1" applyAlignment="1">
      <alignment horizontal="center" vertical="center"/>
    </xf>
    <xf numFmtId="191" fontId="7" fillId="0" borderId="29" xfId="50" applyNumberFormat="1" applyFont="1" applyBorder="1" applyAlignment="1">
      <alignment horizontal="center" vertical="center"/>
    </xf>
    <xf numFmtId="191" fontId="7" fillId="5" borderId="29" xfId="50" applyNumberFormat="1" applyFont="1" applyFill="1" applyBorder="1" applyAlignment="1">
      <alignment horizontal="center" vertical="center"/>
    </xf>
    <xf numFmtId="0" fontId="7" fillId="0" borderId="30" xfId="50" applyFont="1" applyBorder="1" applyAlignment="1">
      <alignment horizontal="center" vertical="center"/>
    </xf>
    <xf numFmtId="193" fontId="7" fillId="5" borderId="2" xfId="50" applyNumberFormat="1" applyFont="1" applyFill="1" applyBorder="1" applyAlignment="1">
      <alignment horizontal="center" vertical="center"/>
    </xf>
    <xf numFmtId="194" fontId="7" fillId="5" borderId="2" xfId="50" applyNumberFormat="1" applyFont="1" applyFill="1" applyBorder="1" applyAlignment="1">
      <alignment horizontal="center" vertical="center"/>
    </xf>
    <xf numFmtId="198" fontId="7" fillId="14" borderId="29" xfId="50" applyNumberFormat="1" applyFont="1" applyFill="1" applyBorder="1" applyAlignment="1">
      <alignment horizontal="center" vertical="center"/>
    </xf>
    <xf numFmtId="0" fontId="7" fillId="4" borderId="29" xfId="50" applyFont="1" applyFill="1" applyBorder="1" applyAlignment="1">
      <alignment horizontal="center" vertical="center"/>
    </xf>
    <xf numFmtId="179" fontId="7" fillId="0" borderId="29" xfId="50" applyNumberFormat="1" applyFont="1" applyBorder="1" applyAlignment="1">
      <alignment horizontal="center" vertical="center"/>
    </xf>
    <xf numFmtId="4" fontId="7" fillId="0" borderId="29" xfId="50" applyNumberFormat="1" applyFont="1" applyBorder="1" applyAlignment="1">
      <alignment horizontal="center" vertical="center"/>
    </xf>
    <xf numFmtId="183" fontId="7" fillId="0" borderId="29" xfId="5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84" fontId="7" fillId="0" borderId="29" xfId="50" applyNumberFormat="1" applyFont="1" applyBorder="1" applyAlignment="1">
      <alignment horizontal="center" vertical="center"/>
    </xf>
    <xf numFmtId="182" fontId="7" fillId="11" borderId="28" xfId="50" applyNumberFormat="1" applyFont="1" applyFill="1" applyBorder="1" applyAlignment="1">
      <alignment horizontal="center" vertical="center"/>
    </xf>
    <xf numFmtId="184" fontId="7" fillId="11" borderId="28" xfId="50" applyNumberFormat="1" applyFont="1" applyFill="1" applyBorder="1" applyAlignment="1">
      <alignment horizontal="center" vertical="center"/>
    </xf>
    <xf numFmtId="191" fontId="7" fillId="11" borderId="28" xfId="50" applyNumberFormat="1" applyFont="1" applyFill="1" applyBorder="1" applyAlignment="1">
      <alignment horizontal="center" vertical="center"/>
    </xf>
    <xf numFmtId="0" fontId="7" fillId="11" borderId="29" xfId="50" applyFont="1" applyFill="1" applyBorder="1" applyAlignment="1">
      <alignment horizontal="center" vertical="center"/>
    </xf>
    <xf numFmtId="179" fontId="7" fillId="11" borderId="28" xfId="50" applyNumberFormat="1" applyFont="1" applyFill="1" applyBorder="1" applyAlignment="1">
      <alignment horizontal="center" vertical="center"/>
    </xf>
    <xf numFmtId="4" fontId="7" fillId="11" borderId="28" xfId="50" applyNumberFormat="1" applyFont="1" applyFill="1" applyBorder="1" applyAlignment="1">
      <alignment horizontal="center" vertical="center"/>
    </xf>
    <xf numFmtId="183" fontId="7" fillId="11" borderId="28" xfId="50" applyNumberFormat="1" applyFont="1" applyFill="1" applyBorder="1" applyAlignment="1">
      <alignment horizontal="center" vertical="center"/>
    </xf>
    <xf numFmtId="0" fontId="7" fillId="5" borderId="55" xfId="50" applyFont="1" applyFill="1" applyBorder="1" applyAlignment="1">
      <alignment horizontal="center" vertical="center"/>
    </xf>
    <xf numFmtId="0" fontId="7" fillId="5" borderId="56" xfId="50" applyFont="1" applyFill="1" applyBorder="1" applyAlignment="1">
      <alignment horizontal="center" vertical="center"/>
    </xf>
    <xf numFmtId="0" fontId="7" fillId="5" borderId="54" xfId="50" applyFont="1" applyFill="1" applyBorder="1" applyAlignment="1">
      <alignment horizontal="center" vertical="center" wrapText="1"/>
    </xf>
    <xf numFmtId="198" fontId="7" fillId="5" borderId="54" xfId="50" applyNumberFormat="1" applyFont="1" applyFill="1" applyBorder="1" applyAlignment="1">
      <alignment horizontal="center" vertical="center"/>
    </xf>
    <xf numFmtId="182" fontId="7" fillId="5" borderId="54" xfId="50" applyNumberFormat="1" applyFont="1" applyFill="1" applyBorder="1" applyAlignment="1">
      <alignment horizontal="center" vertical="center"/>
    </xf>
    <xf numFmtId="191" fontId="7" fillId="5" borderId="54" xfId="50" applyNumberFormat="1" applyFont="1" applyFill="1" applyBorder="1" applyAlignment="1">
      <alignment horizontal="center" vertical="center"/>
    </xf>
    <xf numFmtId="179" fontId="7" fillId="5" borderId="54" xfId="50" applyNumberFormat="1" applyFont="1" applyFill="1" applyBorder="1" applyAlignment="1">
      <alignment horizontal="center" vertical="center"/>
    </xf>
    <xf numFmtId="4" fontId="7" fillId="5" borderId="54" xfId="50" applyNumberFormat="1" applyFont="1" applyFill="1" applyBorder="1" applyAlignment="1">
      <alignment horizontal="center" vertical="center"/>
    </xf>
    <xf numFmtId="4" fontId="7" fillId="5" borderId="28" xfId="50" applyNumberFormat="1" applyFont="1" applyFill="1" applyBorder="1" applyAlignment="1">
      <alignment horizontal="center" vertical="center"/>
    </xf>
    <xf numFmtId="183" fontId="7" fillId="5" borderId="54" xfId="50" applyNumberFormat="1" applyFont="1" applyFill="1" applyBorder="1" applyAlignment="1">
      <alignment horizontal="center" vertical="center"/>
    </xf>
    <xf numFmtId="184" fontId="7" fillId="5" borderId="54" xfId="50" applyNumberFormat="1" applyFont="1" applyFill="1" applyBorder="1" applyAlignment="1">
      <alignment horizontal="center" vertical="center"/>
    </xf>
    <xf numFmtId="198" fontId="7" fillId="14" borderId="54" xfId="50" applyNumberFormat="1" applyFont="1" applyFill="1" applyBorder="1" applyAlignment="1">
      <alignment horizontal="center" vertical="center"/>
    </xf>
    <xf numFmtId="182" fontId="7" fillId="0" borderId="54" xfId="50" applyNumberFormat="1" applyFont="1" applyBorder="1" applyAlignment="1">
      <alignment horizontal="center" vertical="center"/>
    </xf>
    <xf numFmtId="0" fontId="7" fillId="4" borderId="54" xfId="50" applyFont="1" applyFill="1" applyBorder="1" applyAlignment="1">
      <alignment horizontal="center" vertical="center"/>
    </xf>
    <xf numFmtId="191" fontId="7" fillId="0" borderId="54" xfId="50" applyNumberFormat="1" applyFont="1" applyBorder="1" applyAlignment="1">
      <alignment horizontal="center" vertical="center"/>
    </xf>
    <xf numFmtId="179" fontId="7" fillId="0" borderId="54" xfId="50" applyNumberFormat="1" applyFont="1" applyBorder="1" applyAlignment="1">
      <alignment horizontal="center" vertical="center"/>
    </xf>
    <xf numFmtId="4" fontId="7" fillId="0" borderId="54" xfId="50" applyNumberFormat="1" applyFont="1" applyBorder="1" applyAlignment="1">
      <alignment horizontal="center" vertical="center"/>
    </xf>
    <xf numFmtId="183" fontId="7" fillId="0" borderId="54" xfId="50" applyNumberFormat="1" applyFont="1" applyBorder="1" applyAlignment="1">
      <alignment horizontal="center" vertical="center"/>
    </xf>
    <xf numFmtId="184" fontId="7" fillId="0" borderId="54" xfId="50" applyNumberFormat="1" applyFont="1" applyBorder="1" applyAlignment="1">
      <alignment horizontal="center" vertical="center"/>
    </xf>
    <xf numFmtId="191" fontId="7" fillId="0" borderId="54" xfId="50" applyNumberFormat="1" applyFont="1" applyBorder="1" applyAlignment="1">
      <alignment horizontal="left" vertical="center"/>
    </xf>
    <xf numFmtId="0" fontId="7" fillId="0" borderId="55" xfId="50" applyFont="1" applyBorder="1" applyAlignment="1">
      <alignment horizontal="center" vertical="center"/>
    </xf>
    <xf numFmtId="179" fontId="7" fillId="0" borderId="55" xfId="50" applyNumberFormat="1" applyFont="1" applyBorder="1" applyAlignment="1">
      <alignment horizontal="center" vertical="center"/>
    </xf>
    <xf numFmtId="4" fontId="7" fillId="0" borderId="56" xfId="50" applyNumberFormat="1" applyFont="1" applyBorder="1" applyAlignment="1">
      <alignment horizontal="center" vertical="center"/>
    </xf>
    <xf numFmtId="0" fontId="7" fillId="5" borderId="28" xfId="50" applyFont="1" applyFill="1" applyBorder="1" applyAlignment="1">
      <alignment horizontal="center" vertical="center" wrapText="1"/>
    </xf>
    <xf numFmtId="198" fontId="7" fillId="5" borderId="28" xfId="50" applyNumberFormat="1" applyFont="1" applyFill="1" applyBorder="1" applyAlignment="1">
      <alignment horizontal="center" vertical="center"/>
    </xf>
    <xf numFmtId="182" fontId="7" fillId="5" borderId="28" xfId="50" applyNumberFormat="1" applyFont="1" applyFill="1" applyBorder="1" applyAlignment="1">
      <alignment horizontal="center" vertical="center"/>
    </xf>
    <xf numFmtId="191" fontId="7" fillId="5" borderId="28" xfId="50" applyNumberFormat="1" applyFont="1" applyFill="1" applyBorder="1" applyAlignment="1">
      <alignment horizontal="center" vertical="center"/>
    </xf>
    <xf numFmtId="179" fontId="7" fillId="5" borderId="28" xfId="50" applyNumberFormat="1" applyFont="1" applyFill="1" applyBorder="1" applyAlignment="1">
      <alignment horizontal="center" vertical="center"/>
    </xf>
    <xf numFmtId="183" fontId="7" fillId="5" borderId="28" xfId="50" applyNumberFormat="1" applyFont="1" applyFill="1" applyBorder="1" applyAlignment="1">
      <alignment horizontal="center" vertical="center"/>
    </xf>
    <xf numFmtId="191" fontId="7" fillId="0" borderId="28" xfId="50" applyNumberFormat="1" applyFont="1" applyBorder="1" applyAlignment="1">
      <alignment horizontal="center" vertical="center"/>
    </xf>
    <xf numFmtId="191" fontId="7" fillId="0" borderId="28" xfId="50" applyNumberFormat="1" applyFont="1" applyBorder="1" applyAlignment="1">
      <alignment horizontal="left" vertical="center"/>
    </xf>
    <xf numFmtId="0" fontId="7" fillId="5" borderId="29" xfId="50" applyFont="1" applyFill="1" applyBorder="1" applyAlignment="1">
      <alignment horizontal="center" vertical="center" wrapText="1"/>
    </xf>
    <xf numFmtId="198" fontId="7" fillId="5" borderId="29" xfId="50" applyNumberFormat="1" applyFont="1" applyFill="1" applyBorder="1" applyAlignment="1">
      <alignment horizontal="center" vertical="center"/>
    </xf>
    <xf numFmtId="191" fontId="7" fillId="0" borderId="45" xfId="50" applyNumberFormat="1" applyFont="1" applyBorder="1" applyAlignment="1">
      <alignment horizontal="center" vertical="center"/>
    </xf>
    <xf numFmtId="177" fontId="7" fillId="0" borderId="28" xfId="50" applyNumberFormat="1" applyFont="1" applyBorder="1" applyAlignment="1">
      <alignment horizontal="center" vertical="center"/>
    </xf>
    <xf numFmtId="3" fontId="12" fillId="0" borderId="28" xfId="50" applyNumberFormat="1" applyFont="1" applyBorder="1" applyAlignment="1">
      <alignment horizontal="center" vertical="center"/>
    </xf>
    <xf numFmtId="191" fontId="7" fillId="5" borderId="45" xfId="50" applyNumberFormat="1" applyFont="1" applyFill="1" applyBorder="1" applyAlignment="1">
      <alignment horizontal="center" vertical="center"/>
    </xf>
    <xf numFmtId="177" fontId="7" fillId="5" borderId="28" xfId="50" applyNumberFormat="1" applyFont="1" applyFill="1" applyBorder="1" applyAlignment="1">
      <alignment horizontal="center" vertical="center"/>
    </xf>
    <xf numFmtId="184" fontId="7" fillId="5" borderId="28" xfId="50" applyNumberFormat="1" applyFont="1" applyFill="1" applyBorder="1" applyAlignment="1">
      <alignment horizontal="center" vertical="center"/>
    </xf>
    <xf numFmtId="0" fontId="7" fillId="0" borderId="45" xfId="50" applyFont="1" applyBorder="1" applyAlignment="1">
      <alignment horizontal="center" vertical="center" wrapText="1"/>
    </xf>
    <xf numFmtId="198" fontId="7" fillId="0" borderId="45" xfId="50" applyNumberFormat="1" applyFont="1" applyBorder="1" applyAlignment="1">
      <alignment horizontal="center" vertical="center"/>
    </xf>
    <xf numFmtId="188" fontId="7" fillId="0" borderId="45" xfId="50" applyNumberFormat="1" applyFont="1" applyBorder="1" applyAlignment="1">
      <alignment horizontal="center" vertical="center"/>
    </xf>
    <xf numFmtId="0" fontId="7" fillId="4" borderId="45" xfId="50" applyFont="1" applyFill="1" applyBorder="1" applyAlignment="1">
      <alignment horizontal="center" vertical="center"/>
    </xf>
    <xf numFmtId="179" fontId="7" fillId="0" borderId="45" xfId="50" applyNumberFormat="1" applyFont="1" applyBorder="1" applyAlignment="1">
      <alignment horizontal="center" vertical="center"/>
    </xf>
    <xf numFmtId="183" fontId="7" fillId="0" borderId="45" xfId="50" applyNumberFormat="1" applyFont="1" applyBorder="1" applyAlignment="1">
      <alignment horizontal="center" vertical="center"/>
    </xf>
    <xf numFmtId="4" fontId="7" fillId="0" borderId="45" xfId="50" applyNumberFormat="1" applyFont="1" applyBorder="1" applyAlignment="1">
      <alignment horizontal="center" vertical="center"/>
    </xf>
    <xf numFmtId="177" fontId="7" fillId="0" borderId="45" xfId="50" applyNumberFormat="1" applyFont="1" applyBorder="1" applyAlignment="1">
      <alignment horizontal="center" vertical="center"/>
    </xf>
    <xf numFmtId="184" fontId="7" fillId="0" borderId="45" xfId="50" applyNumberFormat="1" applyFont="1" applyBorder="1" applyAlignment="1">
      <alignment horizontal="center" vertical="center"/>
    </xf>
    <xf numFmtId="0" fontId="8" fillId="0" borderId="28" xfId="50" applyFont="1" applyBorder="1" applyAlignment="1">
      <alignment horizontal="center" vertical="center"/>
    </xf>
    <xf numFmtId="0" fontId="8" fillId="5" borderId="29" xfId="50" applyFont="1" applyFill="1" applyBorder="1" applyAlignment="1">
      <alignment horizontal="center" vertical="center"/>
    </xf>
    <xf numFmtId="0" fontId="26" fillId="5" borderId="2" xfId="50" applyFont="1" applyFill="1" applyBorder="1" applyAlignment="1">
      <alignment horizontal="center" vertical="center"/>
    </xf>
    <xf numFmtId="0" fontId="8" fillId="5" borderId="2" xfId="50" applyFont="1" applyFill="1" applyBorder="1" applyAlignment="1">
      <alignment horizontal="center" vertical="center"/>
    </xf>
    <xf numFmtId="0" fontId="8" fillId="5" borderId="28" xfId="50" applyFont="1" applyFill="1" applyBorder="1" applyAlignment="1">
      <alignment horizontal="center" vertical="center"/>
    </xf>
    <xf numFmtId="0" fontId="8" fillId="0" borderId="45" xfId="50" applyFont="1" applyBorder="1" applyAlignment="1">
      <alignment horizontal="center" vertical="center"/>
    </xf>
    <xf numFmtId="188" fontId="7" fillId="5" borderId="2" xfId="50" applyNumberFormat="1" applyFont="1" applyFill="1" applyBorder="1" applyAlignment="1">
      <alignment horizontal="center" vertical="center"/>
    </xf>
    <xf numFmtId="195" fontId="7" fillId="5" borderId="1" xfId="50" applyNumberFormat="1" applyFont="1" applyFill="1" applyBorder="1" applyAlignment="1">
      <alignment horizontal="center" vertical="center"/>
    </xf>
    <xf numFmtId="198" fontId="7" fillId="0" borderId="2" xfId="50" applyNumberFormat="1" applyFont="1" applyBorder="1" applyAlignment="1">
      <alignment horizontal="center" vertical="center"/>
    </xf>
    <xf numFmtId="182" fontId="12" fillId="0" borderId="2" xfId="50" applyNumberFormat="1" applyFont="1" applyBorder="1" applyAlignment="1">
      <alignment horizontal="center" vertical="center"/>
    </xf>
    <xf numFmtId="188" fontId="7" fillId="5" borderId="1" xfId="50" applyNumberFormat="1" applyFont="1" applyFill="1" applyBorder="1" applyAlignment="1">
      <alignment horizontal="center" vertical="center"/>
    </xf>
    <xf numFmtId="0" fontId="12" fillId="5" borderId="1" xfId="50" applyFont="1" applyFill="1" applyBorder="1" applyAlignment="1">
      <alignment horizontal="center" vertical="center"/>
    </xf>
    <xf numFmtId="0" fontId="8" fillId="5" borderId="54" xfId="50" applyFont="1" applyFill="1" applyBorder="1" applyAlignment="1">
      <alignment horizontal="center" vertical="center"/>
    </xf>
    <xf numFmtId="0" fontId="27" fillId="0" borderId="1" xfId="50" applyFont="1" applyBorder="1" applyAlignment="1">
      <alignment horizontal="center" vertical="center"/>
    </xf>
    <xf numFmtId="191" fontId="14" fillId="0" borderId="1" xfId="50" applyNumberFormat="1" applyFont="1" applyBorder="1" applyAlignment="1">
      <alignment horizontal="center" vertical="center"/>
    </xf>
    <xf numFmtId="191" fontId="13" fillId="0" borderId="1" xfId="50" applyNumberFormat="1" applyFont="1" applyBorder="1" applyAlignment="1">
      <alignment horizontal="center" vertical="center"/>
    </xf>
    <xf numFmtId="191" fontId="7" fillId="0" borderId="1" xfId="50" applyNumberFormat="1" applyFont="1" applyBorder="1" applyAlignment="1">
      <alignment horizontal="left" vertical="center"/>
    </xf>
    <xf numFmtId="176" fontId="7" fillId="5" borderId="1" xfId="50" applyNumberFormat="1" applyFont="1" applyFill="1" applyBorder="1" applyAlignment="1">
      <alignment horizontal="center" vertical="center"/>
    </xf>
    <xf numFmtId="0" fontId="28" fillId="0" borderId="1" xfId="0" applyFont="1" applyBorder="1" applyAlignment="1"/>
    <xf numFmtId="0" fontId="28" fillId="0" borderId="1" xfId="0" applyFont="1" applyBorder="1" applyAlignment="1">
      <alignment horizontal="center" vertical="center"/>
    </xf>
    <xf numFmtId="193" fontId="7" fillId="0" borderId="3" xfId="50" applyNumberFormat="1" applyFont="1" applyBorder="1" applyAlignment="1">
      <alignment horizontal="center" vertical="center"/>
    </xf>
    <xf numFmtId="193" fontId="7" fillId="5" borderId="54" xfId="50" applyNumberFormat="1" applyFont="1" applyFill="1" applyBorder="1" applyAlignment="1">
      <alignment horizontal="center" vertical="center"/>
    </xf>
    <xf numFmtId="4" fontId="7" fillId="5" borderId="30" xfId="50" applyNumberFormat="1" applyFont="1" applyFill="1" applyBorder="1" applyAlignment="1">
      <alignment horizontal="center" vertical="center"/>
    </xf>
    <xf numFmtId="198" fontId="7" fillId="5" borderId="30" xfId="50" applyNumberFormat="1" applyFont="1" applyFill="1" applyBorder="1" applyAlignment="1">
      <alignment horizontal="center" vertical="center"/>
    </xf>
    <xf numFmtId="182" fontId="7" fillId="5" borderId="30" xfId="50" applyNumberFormat="1" applyFont="1" applyFill="1" applyBorder="1" applyAlignment="1">
      <alignment horizontal="center" vertical="center"/>
    </xf>
    <xf numFmtId="179" fontId="7" fillId="5" borderId="30" xfId="50" applyNumberFormat="1" applyFont="1" applyFill="1" applyBorder="1" applyAlignment="1">
      <alignment horizontal="center" vertical="center"/>
    </xf>
    <xf numFmtId="184" fontId="7" fillId="5" borderId="30" xfId="50" applyNumberFormat="1" applyFont="1" applyFill="1" applyBorder="1" applyAlignment="1">
      <alignment horizontal="center" vertical="center"/>
    </xf>
    <xf numFmtId="0" fontId="8" fillId="5" borderId="30" xfId="50" applyFont="1" applyFill="1" applyBorder="1" applyAlignment="1">
      <alignment horizontal="center" vertical="center"/>
    </xf>
    <xf numFmtId="2" fontId="7" fillId="0" borderId="1" xfId="50" applyNumberFormat="1" applyFont="1" applyBorder="1" applyAlignment="1">
      <alignment horizontal="center" vertical="center"/>
    </xf>
    <xf numFmtId="191" fontId="13" fillId="0" borderId="3" xfId="50" applyNumberFormat="1" applyFont="1" applyBorder="1" applyAlignment="1">
      <alignment horizontal="center" vertical="center"/>
    </xf>
    <xf numFmtId="191" fontId="7" fillId="4" borderId="1" xfId="50" applyNumberFormat="1" applyFont="1" applyFill="1" applyBorder="1" applyAlignment="1">
      <alignment horizontal="center" vertical="center"/>
    </xf>
    <xf numFmtId="3" fontId="7" fillId="0" borderId="1" xfId="50" applyNumberFormat="1" applyFont="1" applyBorder="1" applyAlignment="1">
      <alignment horizontal="center" vertical="center"/>
    </xf>
    <xf numFmtId="0" fontId="8" fillId="0" borderId="37" xfId="50" applyFont="1" applyBorder="1" applyAlignment="1" quotePrefix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 2" xfId="49"/>
    <cellStyle name="Normal 2" xfId="50"/>
  </cellStyles>
  <dxfs count="23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numFmt numFmtId="191" formatCode="dd/mm/yyyy;@"/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 xr9:uid="{267968C8-6FFD-4C36-ACC1-9EA1FD1885CA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colors>
    <mruColors>
      <color rgb="00F3A2FD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3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XEY1054"/>
  <sheetViews>
    <sheetView zoomScale="85" zoomScaleNormal="85" workbookViewId="0">
      <pane xSplit="6" ySplit="2" topLeftCell="S1042" activePane="bottomRight" state="frozen"/>
      <selection/>
      <selection pane="topRight"/>
      <selection pane="bottomLeft"/>
      <selection pane="bottomRight" activeCell="W1051" sqref="W1051"/>
    </sheetView>
  </sheetViews>
  <sheetFormatPr defaultColWidth="10.75" defaultRowHeight="13.5" customHeight="1"/>
  <cols>
    <col min="1" max="1" width="12.75" style="84" customWidth="1"/>
    <col min="2" max="2" width="8.37962962962963" style="84" customWidth="1"/>
    <col min="3" max="3" width="17.1296296296296" style="426" customWidth="1"/>
    <col min="4" max="4" width="12.1296296296296" style="84" customWidth="1"/>
    <col min="5" max="5" width="39.5" style="84" customWidth="1"/>
    <col min="6" max="6" width="10.75" style="84" hidden="1" customWidth="1"/>
    <col min="7" max="7" width="11.8796296296296" style="427" customWidth="1"/>
    <col min="8" max="8" width="10" style="84" customWidth="1"/>
    <col min="9" max="9" width="35.6296296296296" style="84" hidden="1" customWidth="1"/>
    <col min="10" max="10" width="16.25" style="88" customWidth="1"/>
    <col min="11" max="11" width="11.6296296296296" style="88" customWidth="1"/>
    <col min="12" max="13" width="16.6296296296296" style="88" customWidth="1"/>
    <col min="14" max="14" width="17.3796296296296" style="84" customWidth="1"/>
    <col min="15" max="15" width="14.1296296296296" style="84" customWidth="1"/>
    <col min="16" max="16" width="2.37962962962963" style="89" customWidth="1"/>
    <col min="17" max="17" width="2.37962962962963" style="73" customWidth="1"/>
    <col min="18" max="18" width="10.75" style="84" customWidth="1" outlineLevel="1"/>
    <col min="19" max="19" width="25.25" style="84" customWidth="1" outlineLevel="1"/>
    <col min="20" max="20" width="13.75" style="426" customWidth="1" outlineLevel="1"/>
    <col min="21" max="21" width="14.8796296296296" style="426" customWidth="1" outlineLevel="1"/>
    <col min="22" max="22" width="15.25" style="426" customWidth="1" outlineLevel="1"/>
    <col min="23" max="23" width="11.8796296296296" style="84" customWidth="1" outlineLevel="1"/>
    <col min="24" max="24" width="15.6296296296296" style="87" customWidth="1" outlineLevel="1"/>
    <col min="25" max="25" width="13.5" style="84" customWidth="1" outlineLevel="1"/>
    <col min="26" max="26" width="11" style="86" customWidth="1" outlineLevel="1"/>
    <col min="27" max="27" width="13.3796296296296" style="86" customWidth="1" outlineLevel="1"/>
    <col min="28" max="28" width="16.3796296296296" style="86" customWidth="1" outlineLevel="1"/>
    <col min="29" max="29" width="15.6296296296296" style="86" customWidth="1" outlineLevel="1"/>
    <col min="30" max="30" width="15.6296296296296" style="90" hidden="1" customWidth="1" outlineLevel="1"/>
    <col min="31" max="32" width="15.6296296296296" style="86" hidden="1" customWidth="1" outlineLevel="1"/>
    <col min="33" max="33" width="12.25" style="86" hidden="1" customWidth="1" outlineLevel="1"/>
    <col min="34" max="34" width="13.3796296296296" style="86" hidden="1" customWidth="1" outlineLevel="1"/>
    <col min="35" max="35" width="2.37962962962963" style="91" customWidth="1"/>
    <col min="36" max="36" width="32.1296296296296" style="84" hidden="1" customWidth="1"/>
    <col min="37" max="37" width="13.3796296296296" style="84" customWidth="1" outlineLevel="1"/>
    <col min="38" max="38" width="11.75" style="84" customWidth="1" outlineLevel="1"/>
    <col min="39" max="39" width="13.3796296296296" style="86" customWidth="1" outlineLevel="1"/>
    <col min="40" max="40" width="15.3796296296296" style="86" customWidth="1" outlineLevel="1"/>
    <col min="41" max="41" width="13.1296296296296" style="84" customWidth="1" outlineLevel="1"/>
    <col min="42" max="42" width="2.75" style="91" customWidth="1"/>
    <col min="43" max="43" width="17.3796296296296" style="426" customWidth="1" outlineLevel="1"/>
    <col min="44" max="44" width="11.8796296296296" style="426" customWidth="1" outlineLevel="1"/>
    <col min="45" max="45" width="10" style="426" customWidth="1" outlineLevel="1"/>
    <col min="46" max="46" width="11.75" style="426" customWidth="1" outlineLevel="1"/>
    <col min="47" max="47" width="17.3796296296296" style="84" customWidth="1" outlineLevel="1"/>
    <col min="48" max="48" width="9.75" style="84" customWidth="1" outlineLevel="1"/>
    <col min="49" max="49" width="17.3796296296296" style="426" customWidth="1" outlineLevel="1"/>
    <col min="50" max="50" width="16.25" style="88" customWidth="1" outlineLevel="1"/>
    <col min="51" max="51" width="12.8796296296296" style="86" customWidth="1" outlineLevel="1"/>
    <col min="52" max="53" width="16.6296296296296" style="92" customWidth="1" outlineLevel="1"/>
    <col min="54" max="54" width="14.3796296296296" style="92" customWidth="1" outlineLevel="1"/>
    <col min="55" max="55" width="17.8796296296296" style="92" customWidth="1" outlineLevel="1"/>
    <col min="56" max="56" width="14.8796296296296" style="84" customWidth="1" outlineLevel="1"/>
    <col min="57" max="60" width="10.75" style="84" customWidth="1" outlineLevel="1"/>
    <col min="61" max="61" width="10.75" style="93" customWidth="1" outlineLevel="1"/>
    <col min="62" max="62" width="2.37962962962963" style="73" customWidth="1"/>
    <col min="63" max="63" width="10.75" style="84" customWidth="1"/>
    <col min="64" max="65" width="10.75" style="84"/>
    <col min="66" max="66" width="17.25" style="84" customWidth="1"/>
    <col min="67" max="67" width="48.1296296296296" style="84" customWidth="1"/>
    <col min="68" max="68" width="12.75" style="84" customWidth="1"/>
    <col min="69" max="69" width="11.5" style="84"/>
    <col min="70" max="70" width="13.25" style="84" customWidth="1"/>
    <col min="71" max="16384" width="10.75" style="84"/>
  </cols>
  <sheetData>
    <row r="1" s="73" customFormat="1" ht="31.15" customHeight="1" spans="1:70">
      <c r="D1" s="428"/>
      <c r="E1" s="429" t="s">
        <v>0</v>
      </c>
      <c r="F1" s="430"/>
      <c r="G1" s="431"/>
      <c r="H1" s="430"/>
      <c r="I1" s="430"/>
      <c r="J1" s="430"/>
      <c r="K1" s="430"/>
      <c r="L1" s="430"/>
      <c r="M1" s="430"/>
      <c r="N1" s="430"/>
      <c r="O1" s="432"/>
      <c r="P1" s="89"/>
      <c r="R1" s="433" t="s">
        <v>1</v>
      </c>
      <c r="AD1" s="434"/>
      <c r="AE1" s="435"/>
      <c r="AF1" s="435"/>
      <c r="AG1" s="435"/>
      <c r="AH1" s="435"/>
      <c r="AI1" s="102"/>
      <c r="AK1" s="433" t="s">
        <v>2</v>
      </c>
      <c r="AP1" s="102"/>
      <c r="AQ1" s="436"/>
      <c r="AR1" s="436"/>
      <c r="AS1" s="436"/>
      <c r="AT1" s="436"/>
      <c r="AU1" s="433"/>
      <c r="AV1" s="433"/>
      <c r="AW1" s="436"/>
      <c r="AX1" s="437" t="s">
        <v>3</v>
      </c>
    </row>
    <row r="2" s="74" customFormat="1" ht="57.6" customHeight="1" spans="1:70">
      <c r="A2" s="74" t="s">
        <v>4</v>
      </c>
      <c r="B2" s="74" t="s">
        <v>5</v>
      </c>
      <c r="C2" s="438" t="s">
        <v>6</v>
      </c>
      <c r="D2" s="105" t="s">
        <v>7</v>
      </c>
      <c r="E2" s="105" t="s">
        <v>8</v>
      </c>
      <c r="F2" s="106" t="s">
        <v>7</v>
      </c>
      <c r="G2" s="439" t="s">
        <v>9</v>
      </c>
      <c r="H2" s="105" t="s">
        <v>10</v>
      </c>
      <c r="I2" s="106" t="s">
        <v>8</v>
      </c>
      <c r="J2" s="109" t="s">
        <v>11</v>
      </c>
      <c r="K2" s="109" t="s">
        <v>12</v>
      </c>
      <c r="L2" s="109" t="s">
        <v>13</v>
      </c>
      <c r="M2" s="109" t="s">
        <v>14</v>
      </c>
      <c r="N2" s="105" t="s">
        <v>15</v>
      </c>
      <c r="O2" s="105" t="s">
        <v>16</v>
      </c>
      <c r="R2" s="105" t="s">
        <v>17</v>
      </c>
      <c r="S2" s="105" t="s">
        <v>18</v>
      </c>
      <c r="T2" s="440" t="s">
        <v>19</v>
      </c>
      <c r="U2" s="441" t="s">
        <v>20</v>
      </c>
      <c r="V2" s="440" t="s">
        <v>21</v>
      </c>
      <c r="W2" s="105" t="s">
        <v>22</v>
      </c>
      <c r="X2" s="442" t="s">
        <v>23</v>
      </c>
      <c r="Y2" s="105" t="s">
        <v>11</v>
      </c>
      <c r="Z2" s="107" t="s">
        <v>12</v>
      </c>
      <c r="AA2" s="107" t="s">
        <v>13</v>
      </c>
      <c r="AB2" s="107" t="s">
        <v>24</v>
      </c>
      <c r="AC2" s="107" t="s">
        <v>25</v>
      </c>
      <c r="AD2" s="110" t="s">
        <v>26</v>
      </c>
      <c r="AE2" s="107" t="s">
        <v>27</v>
      </c>
      <c r="AF2" s="107" t="s">
        <v>28</v>
      </c>
      <c r="AG2" s="107" t="s">
        <v>29</v>
      </c>
      <c r="AH2" s="107" t="s">
        <v>30</v>
      </c>
      <c r="AK2" s="105" t="s">
        <v>11</v>
      </c>
      <c r="AL2" s="105" t="s">
        <v>12</v>
      </c>
      <c r="AM2" s="107" t="s">
        <v>13</v>
      </c>
      <c r="AN2" s="107" t="s">
        <v>15</v>
      </c>
      <c r="AO2" s="105" t="s">
        <v>31</v>
      </c>
      <c r="AQ2" s="440" t="s">
        <v>21</v>
      </c>
      <c r="AR2" s="440" t="s">
        <v>32</v>
      </c>
      <c r="AS2" s="440" t="s">
        <v>33</v>
      </c>
      <c r="AT2" s="440" t="s">
        <v>34</v>
      </c>
      <c r="AU2" s="105" t="s">
        <v>35</v>
      </c>
      <c r="AV2" s="105" t="s">
        <v>36</v>
      </c>
      <c r="AW2" s="440" t="s">
        <v>37</v>
      </c>
      <c r="AX2" s="109" t="s">
        <v>38</v>
      </c>
      <c r="AY2" s="107" t="s">
        <v>39</v>
      </c>
      <c r="AZ2" s="111" t="s">
        <v>40</v>
      </c>
      <c r="BA2" s="111" t="s">
        <v>41</v>
      </c>
      <c r="BB2" s="111" t="s">
        <v>42</v>
      </c>
      <c r="BC2" s="111" t="s">
        <v>31</v>
      </c>
      <c r="BD2" s="105" t="s">
        <v>43</v>
      </c>
      <c r="BE2" s="105" t="s">
        <v>44</v>
      </c>
      <c r="BF2" s="105" t="s">
        <v>45</v>
      </c>
      <c r="BG2" s="105" t="s">
        <v>46</v>
      </c>
      <c r="BH2" s="105" t="s">
        <v>47</v>
      </c>
      <c r="BI2" s="74" t="s">
        <v>48</v>
      </c>
      <c r="BL2" s="105" t="s">
        <v>49</v>
      </c>
      <c r="BM2" s="105" t="s">
        <v>50</v>
      </c>
      <c r="BN2" s="105" t="s">
        <v>51</v>
      </c>
      <c r="BO2" s="105" t="s">
        <v>8</v>
      </c>
      <c r="BP2" s="105" t="s">
        <v>11</v>
      </c>
      <c r="BQ2" s="443" t="s">
        <v>20</v>
      </c>
      <c r="BR2" s="444" t="s">
        <v>52</v>
      </c>
    </row>
    <row r="3" s="93" customFormat="1" ht="14.45" customHeight="1" outlineLevel="1" spans="1:70">
      <c r="C3" s="426">
        <v>45580</v>
      </c>
      <c r="D3" s="84" t="s">
        <v>53</v>
      </c>
      <c r="E3" s="84" t="s">
        <v>54</v>
      </c>
      <c r="F3" s="84" t="s">
        <v>53</v>
      </c>
      <c r="G3" s="427"/>
      <c r="H3" s="84" t="s">
        <v>55</v>
      </c>
      <c r="I3" s="84" t="s">
        <v>54</v>
      </c>
      <c r="J3" s="88">
        <v>13</v>
      </c>
      <c r="K3" s="445">
        <v>6860</v>
      </c>
      <c r="L3" s="445">
        <f>J3*K3</f>
        <v>89180</v>
      </c>
      <c r="M3" s="445">
        <f>L3*0.3</f>
        <v>26754</v>
      </c>
      <c r="N3" s="84">
        <v>0</v>
      </c>
      <c r="O3" s="446">
        <f>L3-N3</f>
        <v>89180</v>
      </c>
      <c r="P3" s="89"/>
      <c r="Q3" s="73"/>
      <c r="R3" s="84" t="s">
        <v>56</v>
      </c>
      <c r="S3" s="84" t="s">
        <v>57</v>
      </c>
      <c r="T3" s="426">
        <v>45589</v>
      </c>
      <c r="U3" s="426">
        <f>T3+60</f>
        <v>45649</v>
      </c>
      <c r="V3" s="426"/>
      <c r="W3" s="84"/>
      <c r="X3" s="85"/>
      <c r="Y3" s="84">
        <v>16.475</v>
      </c>
      <c r="Z3" s="447">
        <v>3660</v>
      </c>
      <c r="AA3" s="86">
        <f>Y3*Z3</f>
        <v>60298.5</v>
      </c>
      <c r="AB3" s="447">
        <f>AA3</f>
        <v>60298.5</v>
      </c>
      <c r="AC3" s="447">
        <f>AA3-AB3</f>
        <v>0</v>
      </c>
      <c r="AD3" s="448"/>
      <c r="AE3" s="447"/>
      <c r="AF3" s="447"/>
      <c r="AG3" s="447"/>
      <c r="AH3" s="447"/>
      <c r="AI3" s="449"/>
      <c r="AK3" s="450">
        <v>12.46</v>
      </c>
      <c r="AL3" s="450">
        <v>6860</v>
      </c>
      <c r="AM3" s="451">
        <f>AK3*AL3</f>
        <v>85475.6</v>
      </c>
      <c r="AN3" s="451"/>
      <c r="AO3" s="450"/>
      <c r="AP3" s="449"/>
      <c r="AQ3" s="426"/>
      <c r="AR3" s="426"/>
      <c r="AS3" s="426"/>
      <c r="AT3" s="426"/>
      <c r="AU3" s="84"/>
      <c r="AV3" s="84"/>
      <c r="AW3" s="426"/>
      <c r="AX3" s="452">
        <v>12.46</v>
      </c>
      <c r="AY3" s="451">
        <v>8462</v>
      </c>
      <c r="AZ3" s="453">
        <f>AX3*AY3</f>
        <v>105436.52</v>
      </c>
      <c r="BA3" s="453">
        <v>0</v>
      </c>
      <c r="BB3" s="453">
        <v>105436.52</v>
      </c>
      <c r="BC3" s="453">
        <f>AZ3-BB3</f>
        <v>0</v>
      </c>
      <c r="BD3" s="450" t="s">
        <v>58</v>
      </c>
      <c r="BE3" s="450" t="s">
        <v>59</v>
      </c>
      <c r="BF3" s="454">
        <v>45653</v>
      </c>
      <c r="BG3" s="450"/>
      <c r="BI3" s="93" t="s">
        <v>60</v>
      </c>
      <c r="BJ3" s="455"/>
      <c r="BL3" s="93" t="str">
        <f>D3</f>
        <v>INTW-3</v>
      </c>
      <c r="BR3" s="93">
        <f t="shared" ref="BR3:BR16" si="0">M3</f>
        <v>26754</v>
      </c>
    </row>
    <row r="4" s="93" customFormat="1" ht="14.45" customHeight="1" outlineLevel="1" spans="1:70">
      <c r="C4" s="426"/>
      <c r="D4" s="84" t="s">
        <v>53</v>
      </c>
      <c r="E4" s="84"/>
      <c r="F4" s="84"/>
      <c r="G4" s="427"/>
      <c r="H4" s="84"/>
      <c r="I4" s="84"/>
      <c r="J4" s="88"/>
      <c r="K4" s="445"/>
      <c r="L4" s="445"/>
      <c r="M4" s="445"/>
      <c r="N4" s="84"/>
      <c r="O4" s="446"/>
      <c r="P4" s="89"/>
      <c r="Q4" s="73"/>
      <c r="R4" s="84"/>
      <c r="S4" s="84" t="s">
        <v>61</v>
      </c>
      <c r="T4" s="426"/>
      <c r="U4" s="426"/>
      <c r="V4" s="426"/>
      <c r="W4" s="84"/>
      <c r="X4" s="85"/>
      <c r="Y4" s="84"/>
      <c r="Z4" s="447"/>
      <c r="AA4" s="86"/>
      <c r="AB4" s="447"/>
      <c r="AC4" s="447"/>
      <c r="AD4" s="448">
        <v>16.475</v>
      </c>
      <c r="AE4" s="447">
        <v>30</v>
      </c>
      <c r="AF4" s="86">
        <f>AD4*AE4</f>
        <v>494.25</v>
      </c>
      <c r="AG4" s="447">
        <v>0</v>
      </c>
      <c r="AH4" s="447">
        <f>AF4-AG4</f>
        <v>494.25</v>
      </c>
      <c r="AI4" s="74"/>
      <c r="AK4" s="450"/>
      <c r="AL4" s="450"/>
      <c r="AM4" s="451"/>
      <c r="AN4" s="451"/>
      <c r="AO4" s="450"/>
      <c r="AP4" s="74"/>
      <c r="AQ4" s="426"/>
      <c r="AR4" s="426"/>
      <c r="AS4" s="426"/>
      <c r="AT4" s="426"/>
      <c r="AU4" s="84"/>
      <c r="AV4" s="84"/>
      <c r="AW4" s="426"/>
      <c r="AX4" s="452"/>
      <c r="AY4" s="451"/>
      <c r="AZ4" s="453"/>
      <c r="BA4" s="453"/>
      <c r="BB4" s="453"/>
      <c r="BC4" s="453"/>
      <c r="BD4" s="450"/>
      <c r="BE4" s="450"/>
      <c r="BF4" s="450"/>
      <c r="BG4" s="450"/>
      <c r="BJ4" s="455"/>
      <c r="BR4" s="93">
        <f t="shared" si="0"/>
        <v>0</v>
      </c>
    </row>
    <row r="5" s="93" customFormat="1" ht="14.45" customHeight="1" outlineLevel="1" spans="1:70">
      <c r="C5" s="426"/>
      <c r="D5" s="84" t="s">
        <v>53</v>
      </c>
      <c r="E5" s="84"/>
      <c r="F5" s="84"/>
      <c r="G5" s="427"/>
      <c r="H5" s="84"/>
      <c r="I5" s="84"/>
      <c r="J5" s="88"/>
      <c r="K5" s="445"/>
      <c r="L5" s="445"/>
      <c r="M5" s="445"/>
      <c r="N5" s="84"/>
      <c r="O5" s="446"/>
      <c r="P5" s="89"/>
      <c r="Q5" s="73"/>
      <c r="R5" s="84"/>
      <c r="S5" s="84" t="s">
        <v>62</v>
      </c>
      <c r="T5" s="426"/>
      <c r="U5" s="426"/>
      <c r="V5" s="426"/>
      <c r="W5" s="84"/>
      <c r="X5" s="84"/>
      <c r="Y5" s="84">
        <v>3.406</v>
      </c>
      <c r="Z5" s="447">
        <v>-3200</v>
      </c>
      <c r="AA5" s="86">
        <f>Y5*Z5</f>
        <v>-10899.2</v>
      </c>
      <c r="AB5" s="447">
        <f>AA5</f>
        <v>-10899.2</v>
      </c>
      <c r="AC5" s="86">
        <f>AB5</f>
        <v>-10899.2</v>
      </c>
      <c r="AD5" s="448">
        <v>0.0335758327227639</v>
      </c>
      <c r="AE5" s="447">
        <v>-2300</v>
      </c>
      <c r="AF5" s="86">
        <f>AD5*AE5</f>
        <v>-77.224415262357</v>
      </c>
      <c r="AG5" s="447"/>
      <c r="AH5" s="447"/>
      <c r="AI5" s="74"/>
      <c r="AK5" s="450"/>
      <c r="AL5" s="450"/>
      <c r="AM5" s="451"/>
      <c r="AN5" s="451"/>
      <c r="AO5" s="450"/>
      <c r="AP5" s="74"/>
      <c r="AQ5" s="426"/>
      <c r="AR5" s="426"/>
      <c r="AS5" s="426"/>
      <c r="AT5" s="426"/>
      <c r="AU5" s="84"/>
      <c r="AV5" s="84"/>
      <c r="AW5" s="426"/>
      <c r="AX5" s="452"/>
      <c r="AY5" s="451"/>
      <c r="AZ5" s="453"/>
      <c r="BA5" s="453"/>
      <c r="BB5" s="453"/>
      <c r="BC5" s="453"/>
      <c r="BD5" s="450"/>
      <c r="BE5" s="450"/>
      <c r="BF5" s="450"/>
      <c r="BG5" s="450"/>
      <c r="BJ5" s="455"/>
      <c r="BR5" s="93">
        <f t="shared" si="0"/>
        <v>0</v>
      </c>
    </row>
    <row r="6" s="93" customFormat="1" ht="14.45" customHeight="1" outlineLevel="1" spans="1:70">
      <c r="C6" s="426"/>
      <c r="D6" s="84" t="s">
        <v>53</v>
      </c>
      <c r="E6" s="84"/>
      <c r="F6" s="84"/>
      <c r="G6" s="427"/>
      <c r="H6" s="84"/>
      <c r="I6" s="84"/>
      <c r="J6" s="88"/>
      <c r="K6" s="445"/>
      <c r="L6" s="445"/>
      <c r="M6" s="445"/>
      <c r="N6" s="84"/>
      <c r="O6" s="446"/>
      <c r="P6" s="89"/>
      <c r="Q6" s="73"/>
      <c r="R6" s="84"/>
      <c r="S6" s="84" t="s">
        <v>63</v>
      </c>
      <c r="T6" s="426"/>
      <c r="U6" s="426"/>
      <c r="V6" s="426"/>
      <c r="W6" s="84"/>
      <c r="X6" s="84"/>
      <c r="Y6" s="84"/>
      <c r="Z6" s="447"/>
      <c r="AA6" s="86"/>
      <c r="AB6" s="447"/>
      <c r="AC6" s="86"/>
      <c r="AD6" s="448">
        <v>13.125</v>
      </c>
      <c r="AE6" s="447">
        <v>20</v>
      </c>
      <c r="AF6" s="86">
        <f>AD6*AE6</f>
        <v>262.5</v>
      </c>
      <c r="AG6" s="447"/>
      <c r="AH6" s="447"/>
      <c r="AI6" s="74"/>
      <c r="AK6" s="450"/>
      <c r="AL6" s="450"/>
      <c r="AM6" s="451"/>
      <c r="AN6" s="451"/>
      <c r="AO6" s="450"/>
      <c r="AP6" s="74"/>
      <c r="AQ6" s="426"/>
      <c r="AR6" s="426"/>
      <c r="AS6" s="426"/>
      <c r="AT6" s="426"/>
      <c r="AU6" s="84"/>
      <c r="AV6" s="84"/>
      <c r="AW6" s="426"/>
      <c r="AX6" s="452"/>
      <c r="AY6" s="451"/>
      <c r="AZ6" s="453"/>
      <c r="BA6" s="453"/>
      <c r="BB6" s="453"/>
      <c r="BC6" s="453"/>
      <c r="BD6" s="450"/>
      <c r="BE6" s="450"/>
      <c r="BF6" s="450"/>
      <c r="BG6" s="450"/>
      <c r="BJ6" s="455"/>
      <c r="BR6" s="93">
        <f t="shared" si="0"/>
        <v>0</v>
      </c>
    </row>
    <row r="7" s="93" customFormat="1" ht="14.45" customHeight="1" outlineLevel="1" spans="1:70">
      <c r="C7" s="426"/>
      <c r="D7" s="84" t="s">
        <v>53</v>
      </c>
      <c r="E7" s="84"/>
      <c r="F7" s="84"/>
      <c r="G7" s="427"/>
      <c r="H7" s="84"/>
      <c r="I7" s="84"/>
      <c r="J7" s="88"/>
      <c r="K7" s="445"/>
      <c r="L7" s="445"/>
      <c r="M7" s="445"/>
      <c r="N7" s="84"/>
      <c r="O7" s="446"/>
      <c r="P7" s="89"/>
      <c r="Q7" s="73"/>
      <c r="R7" s="84" t="s">
        <v>64</v>
      </c>
      <c r="S7" s="84" t="s">
        <v>65</v>
      </c>
      <c r="T7" s="426">
        <v>45610</v>
      </c>
      <c r="U7" s="426">
        <f>T7+21</f>
        <v>45631</v>
      </c>
      <c r="V7" s="426"/>
      <c r="W7" s="84"/>
      <c r="X7" s="85"/>
      <c r="Y7" s="84">
        <v>12.695</v>
      </c>
      <c r="Z7" s="447">
        <v>810</v>
      </c>
      <c r="AA7" s="86">
        <f>Y7*Z7</f>
        <v>10282.95</v>
      </c>
      <c r="AB7" s="447"/>
      <c r="AC7" s="86"/>
      <c r="AD7" s="448"/>
      <c r="AE7" s="447"/>
      <c r="AF7" s="86"/>
      <c r="AG7" s="447"/>
      <c r="AH7" s="447"/>
      <c r="AI7" s="74"/>
      <c r="AK7" s="450"/>
      <c r="AL7" s="450"/>
      <c r="AM7" s="451"/>
      <c r="AN7" s="451"/>
      <c r="AO7" s="450"/>
      <c r="AP7" s="74"/>
      <c r="AQ7" s="426"/>
      <c r="AR7" s="426"/>
      <c r="AS7" s="426"/>
      <c r="AT7" s="426"/>
      <c r="AU7" s="84"/>
      <c r="AV7" s="84"/>
      <c r="AW7" s="426"/>
      <c r="AX7" s="452"/>
      <c r="AY7" s="451"/>
      <c r="AZ7" s="453"/>
      <c r="BA7" s="453"/>
      <c r="BB7" s="453"/>
      <c r="BC7" s="453"/>
      <c r="BD7" s="450"/>
      <c r="BE7" s="450"/>
      <c r="BF7" s="450"/>
      <c r="BG7" s="450"/>
      <c r="BJ7" s="455"/>
      <c r="BR7" s="93">
        <f t="shared" si="0"/>
        <v>0</v>
      </c>
    </row>
    <row r="8" s="93" customFormat="1" ht="14.45" customHeight="1" outlineLevel="1" spans="1:70">
      <c r="C8" s="426"/>
      <c r="D8" s="84" t="s">
        <v>53</v>
      </c>
      <c r="E8" s="84"/>
      <c r="F8" s="84"/>
      <c r="G8" s="427"/>
      <c r="H8" s="84"/>
      <c r="I8" s="84"/>
      <c r="J8" s="88"/>
      <c r="K8" s="445"/>
      <c r="L8" s="445"/>
      <c r="M8" s="445"/>
      <c r="N8" s="84"/>
      <c r="O8" s="446"/>
      <c r="P8" s="89"/>
      <c r="Q8" s="73"/>
      <c r="R8" s="84"/>
      <c r="S8" s="84" t="s">
        <v>63</v>
      </c>
      <c r="T8" s="426"/>
      <c r="U8" s="426"/>
      <c r="V8" s="426"/>
      <c r="W8" s="84"/>
      <c r="X8" s="85"/>
      <c r="Y8" s="84">
        <v>12.695</v>
      </c>
      <c r="Z8" s="447">
        <v>30</v>
      </c>
      <c r="AA8" s="86">
        <f>Y8*Z8</f>
        <v>380.85</v>
      </c>
      <c r="AB8" s="447"/>
      <c r="AC8" s="86"/>
      <c r="AD8" s="448"/>
      <c r="AE8" s="447"/>
      <c r="AF8" s="86"/>
      <c r="AG8" s="447"/>
      <c r="AH8" s="447"/>
      <c r="AI8" s="74"/>
      <c r="AK8" s="450"/>
      <c r="AL8" s="450"/>
      <c r="AM8" s="451"/>
      <c r="AN8" s="451"/>
      <c r="AO8" s="450"/>
      <c r="AP8" s="74"/>
      <c r="AQ8" s="426"/>
      <c r="AR8" s="426"/>
      <c r="AS8" s="426"/>
      <c r="AT8" s="426"/>
      <c r="AU8" s="84"/>
      <c r="AV8" s="84"/>
      <c r="AW8" s="426"/>
      <c r="AX8" s="452"/>
      <c r="AY8" s="451"/>
      <c r="AZ8" s="453"/>
      <c r="BA8" s="453"/>
      <c r="BB8" s="453"/>
      <c r="BC8" s="453"/>
      <c r="BD8" s="450"/>
      <c r="BE8" s="450"/>
      <c r="BF8" s="450"/>
      <c r="BG8" s="450"/>
      <c r="BJ8" s="455"/>
      <c r="BR8" s="93">
        <f t="shared" si="0"/>
        <v>0</v>
      </c>
    </row>
    <row r="9" s="93" customFormat="1" ht="14.45" customHeight="1" outlineLevel="1" spans="1:70">
      <c r="C9" s="426"/>
      <c r="D9" s="84" t="s">
        <v>53</v>
      </c>
      <c r="E9" s="84"/>
      <c r="F9" s="84"/>
      <c r="G9" s="427"/>
      <c r="H9" s="84"/>
      <c r="I9" s="84"/>
      <c r="J9" s="88"/>
      <c r="K9" s="445"/>
      <c r="L9" s="445"/>
      <c r="M9" s="445"/>
      <c r="N9" s="84"/>
      <c r="O9" s="446"/>
      <c r="P9" s="89"/>
      <c r="Q9" s="73"/>
      <c r="R9" s="456" t="s">
        <v>66</v>
      </c>
      <c r="S9" s="456" t="s">
        <v>67</v>
      </c>
      <c r="T9" s="457"/>
      <c r="U9" s="457"/>
      <c r="V9" s="457"/>
      <c r="W9" s="456"/>
      <c r="X9" s="458"/>
      <c r="Y9" s="456">
        <v>12.773</v>
      </c>
      <c r="Z9" s="459">
        <v>1615</v>
      </c>
      <c r="AA9" s="460">
        <f>Y9*Z9</f>
        <v>20628.395</v>
      </c>
      <c r="AB9" s="460">
        <v>333278.82</v>
      </c>
      <c r="AC9" s="460"/>
      <c r="AD9" s="461"/>
      <c r="AE9" s="459"/>
      <c r="AF9" s="460"/>
      <c r="AG9" s="459"/>
      <c r="AH9" s="459"/>
      <c r="AI9" s="74"/>
      <c r="AK9" s="450"/>
      <c r="AL9" s="450"/>
      <c r="AM9" s="451"/>
      <c r="AN9" s="451"/>
      <c r="AO9" s="450"/>
      <c r="AP9" s="74"/>
      <c r="AQ9" s="457"/>
      <c r="AR9" s="426"/>
      <c r="AS9" s="426"/>
      <c r="AT9" s="426"/>
      <c r="AU9" s="84"/>
      <c r="AV9" s="84"/>
      <c r="AW9" s="426"/>
      <c r="AX9" s="452"/>
      <c r="AY9" s="451"/>
      <c r="AZ9" s="453"/>
      <c r="BA9" s="453"/>
      <c r="BB9" s="453"/>
      <c r="BC9" s="453"/>
      <c r="BD9" s="450"/>
      <c r="BE9" s="450"/>
      <c r="BF9" s="450"/>
      <c r="BG9" s="450"/>
      <c r="BJ9" s="455"/>
      <c r="BR9" s="93">
        <f t="shared" si="0"/>
        <v>0</v>
      </c>
    </row>
    <row r="10" s="93" customFormat="1" ht="14.45" customHeight="1" outlineLevel="1" spans="1:70">
      <c r="C10" s="426">
        <v>45580</v>
      </c>
      <c r="D10" s="84" t="s">
        <v>53</v>
      </c>
      <c r="E10" s="84" t="s">
        <v>68</v>
      </c>
      <c r="F10" s="84" t="s">
        <v>53</v>
      </c>
      <c r="G10" s="427"/>
      <c r="H10" s="84" t="s">
        <v>55</v>
      </c>
      <c r="I10" s="84" t="s">
        <v>68</v>
      </c>
      <c r="J10" s="88">
        <v>13</v>
      </c>
      <c r="K10" s="445">
        <v>6950</v>
      </c>
      <c r="L10" s="445">
        <f>J10*K10</f>
        <v>90350</v>
      </c>
      <c r="M10" s="445">
        <f>L10*0.3</f>
        <v>27105</v>
      </c>
      <c r="N10" s="84">
        <v>0</v>
      </c>
      <c r="O10" s="446">
        <f>L10-N10</f>
        <v>90350</v>
      </c>
      <c r="P10" s="89"/>
      <c r="Q10" s="73"/>
      <c r="R10" s="84" t="s">
        <v>56</v>
      </c>
      <c r="S10" s="84" t="s">
        <v>57</v>
      </c>
      <c r="T10" s="426">
        <v>45589</v>
      </c>
      <c r="U10" s="426">
        <f>T10+60</f>
        <v>45649</v>
      </c>
      <c r="V10" s="426"/>
      <c r="W10" s="84"/>
      <c r="X10" s="85"/>
      <c r="Y10" s="462">
        <v>16.41</v>
      </c>
      <c r="Z10" s="447">
        <v>3660</v>
      </c>
      <c r="AA10" s="86">
        <f>Y10*Z10</f>
        <v>60060.6</v>
      </c>
      <c r="AB10" s="447">
        <f>AA10</f>
        <v>60060.6</v>
      </c>
      <c r="AC10" s="447">
        <f>AA10-AB10</f>
        <v>0</v>
      </c>
      <c r="AD10" s="90"/>
      <c r="AE10" s="86"/>
      <c r="AF10" s="86"/>
      <c r="AG10" s="86"/>
      <c r="AH10" s="86"/>
      <c r="AI10" s="74"/>
      <c r="AK10" s="450">
        <v>14.154</v>
      </c>
      <c r="AL10" s="450">
        <v>6950</v>
      </c>
      <c r="AM10" s="451">
        <f>AK10*AL10</f>
        <v>98370.3</v>
      </c>
      <c r="AN10" s="451"/>
      <c r="AO10" s="450"/>
      <c r="AP10" s="74"/>
      <c r="AQ10" s="426"/>
      <c r="AR10" s="426"/>
      <c r="AS10" s="426"/>
      <c r="AT10" s="426"/>
      <c r="AU10" s="84"/>
      <c r="AV10" s="84"/>
      <c r="AW10" s="426"/>
      <c r="AX10" s="452">
        <v>14.154</v>
      </c>
      <c r="AY10" s="451">
        <v>8552</v>
      </c>
      <c r="AZ10" s="453">
        <f>AX10*AY10</f>
        <v>121045.008</v>
      </c>
      <c r="BA10" s="453">
        <v>0</v>
      </c>
      <c r="BB10" s="453">
        <v>121045.01</v>
      </c>
      <c r="BC10" s="453">
        <f>AZ10-BB10</f>
        <v>-0.0019999999931315</v>
      </c>
      <c r="BD10" s="450" t="s">
        <v>58</v>
      </c>
      <c r="BE10" s="450" t="s">
        <v>59</v>
      </c>
      <c r="BF10" s="454">
        <v>45653</v>
      </c>
      <c r="BG10" s="450"/>
      <c r="BI10" s="93" t="s">
        <v>60</v>
      </c>
      <c r="BJ10" s="455"/>
      <c r="BR10" s="93">
        <f t="shared" si="0"/>
        <v>27105</v>
      </c>
    </row>
    <row r="11" s="93" customFormat="1" ht="14.45" customHeight="1" outlineLevel="1" spans="1:70">
      <c r="C11" s="426"/>
      <c r="D11" s="84" t="s">
        <v>53</v>
      </c>
      <c r="E11" s="84"/>
      <c r="F11" s="84"/>
      <c r="G11" s="427"/>
      <c r="H11" s="84"/>
      <c r="I11" s="84"/>
      <c r="J11" s="88"/>
      <c r="K11" s="445"/>
      <c r="L11" s="445"/>
      <c r="M11" s="445"/>
      <c r="N11" s="84"/>
      <c r="O11" s="446"/>
      <c r="P11" s="89"/>
      <c r="Q11" s="73"/>
      <c r="R11" s="84"/>
      <c r="S11" s="84" t="s">
        <v>61</v>
      </c>
      <c r="T11" s="426"/>
      <c r="U11" s="426"/>
      <c r="V11" s="426"/>
      <c r="W11" s="84"/>
      <c r="X11" s="85"/>
      <c r="Y11" s="84"/>
      <c r="Z11" s="86"/>
      <c r="AA11" s="86"/>
      <c r="AB11" s="447"/>
      <c r="AC11" s="447"/>
      <c r="AD11" s="90">
        <v>16.41</v>
      </c>
      <c r="AE11" s="447">
        <v>30</v>
      </c>
      <c r="AF11" s="86">
        <f>AD11*AE11</f>
        <v>492.3</v>
      </c>
      <c r="AG11" s="447">
        <v>0</v>
      </c>
      <c r="AH11" s="447">
        <f>AF11-AG11</f>
        <v>492.3</v>
      </c>
      <c r="AI11" s="74"/>
      <c r="AK11" s="450"/>
      <c r="AL11" s="450"/>
      <c r="AM11" s="451"/>
      <c r="AN11" s="451"/>
      <c r="AO11" s="450"/>
      <c r="AP11" s="74"/>
      <c r="AQ11" s="426"/>
      <c r="AR11" s="426"/>
      <c r="AS11" s="426"/>
      <c r="AT11" s="426"/>
      <c r="AU11" s="84"/>
      <c r="AV11" s="84"/>
      <c r="AW11" s="426"/>
      <c r="AX11" s="452"/>
      <c r="AY11" s="451"/>
      <c r="AZ11" s="453"/>
      <c r="BA11" s="453"/>
      <c r="BB11" s="453"/>
      <c r="BC11" s="453"/>
      <c r="BD11" s="450"/>
      <c r="BE11" s="450"/>
      <c r="BF11" s="450"/>
      <c r="BG11" s="450"/>
      <c r="BJ11" s="455"/>
      <c r="BR11" s="93">
        <f t="shared" si="0"/>
        <v>0</v>
      </c>
    </row>
    <row r="12" s="93" customFormat="1" ht="14.45" customHeight="1" outlineLevel="1" spans="1:70">
      <c r="C12" s="426"/>
      <c r="D12" s="84" t="s">
        <v>53</v>
      </c>
      <c r="E12" s="84"/>
      <c r="F12" s="84"/>
      <c r="G12" s="427"/>
      <c r="H12" s="84"/>
      <c r="I12" s="84"/>
      <c r="J12" s="88"/>
      <c r="K12" s="445"/>
      <c r="L12" s="445"/>
      <c r="M12" s="445"/>
      <c r="N12" s="84"/>
      <c r="O12" s="446"/>
      <c r="P12" s="89"/>
      <c r="Q12" s="73"/>
      <c r="R12" s="84"/>
      <c r="S12" s="84" t="s">
        <v>62</v>
      </c>
      <c r="T12" s="426"/>
      <c r="U12" s="426"/>
      <c r="V12" s="426"/>
      <c r="W12" s="84"/>
      <c r="X12" s="85"/>
      <c r="Y12" s="84">
        <v>1.596</v>
      </c>
      <c r="Z12" s="447">
        <v>-3200</v>
      </c>
      <c r="AA12" s="86">
        <f>Y12*Z12</f>
        <v>-5107.2</v>
      </c>
      <c r="AB12" s="447">
        <f>AA12</f>
        <v>-5107.2</v>
      </c>
      <c r="AC12" s="86">
        <f>AB12</f>
        <v>-5107.2</v>
      </c>
      <c r="AD12" s="90">
        <v>0.0334433635800034</v>
      </c>
      <c r="AE12" s="447">
        <v>-2300</v>
      </c>
      <c r="AF12" s="86">
        <f>AD12*AE12</f>
        <v>-76.9197362340078</v>
      </c>
      <c r="AG12" s="86"/>
      <c r="AH12" s="86"/>
      <c r="AI12" s="74"/>
      <c r="AK12" s="450"/>
      <c r="AL12" s="450"/>
      <c r="AM12" s="451"/>
      <c r="AN12" s="451"/>
      <c r="AO12" s="450"/>
      <c r="AP12" s="74"/>
      <c r="AQ12" s="426"/>
      <c r="AR12" s="426"/>
      <c r="AS12" s="426"/>
      <c r="AT12" s="426"/>
      <c r="AU12" s="84"/>
      <c r="AV12" s="84"/>
      <c r="AW12" s="426"/>
      <c r="AX12" s="452"/>
      <c r="AY12" s="451"/>
      <c r="AZ12" s="453"/>
      <c r="BA12" s="453"/>
      <c r="BB12" s="453"/>
      <c r="BC12" s="453"/>
      <c r="BD12" s="450"/>
      <c r="BE12" s="450"/>
      <c r="BF12" s="450"/>
      <c r="BG12" s="450"/>
      <c r="BJ12" s="455"/>
      <c r="BR12" s="93">
        <f t="shared" si="0"/>
        <v>0</v>
      </c>
    </row>
    <row r="13" s="93" customFormat="1" ht="14.45" customHeight="1" outlineLevel="1" spans="1:70">
      <c r="C13" s="426"/>
      <c r="D13" s="84" t="s">
        <v>53</v>
      </c>
      <c r="E13" s="84"/>
      <c r="F13" s="84"/>
      <c r="G13" s="427"/>
      <c r="H13" s="84"/>
      <c r="I13" s="84"/>
      <c r="J13" s="88"/>
      <c r="K13" s="445"/>
      <c r="L13" s="445"/>
      <c r="M13" s="445"/>
      <c r="N13" s="84"/>
      <c r="O13" s="446"/>
      <c r="P13" s="89"/>
      <c r="Q13" s="73"/>
      <c r="R13" s="84"/>
      <c r="S13" s="84" t="s">
        <v>63</v>
      </c>
      <c r="T13" s="426"/>
      <c r="U13" s="426"/>
      <c r="V13" s="426"/>
      <c r="W13" s="84"/>
      <c r="X13" s="85"/>
      <c r="Y13" s="84"/>
      <c r="Z13" s="447"/>
      <c r="AA13" s="86"/>
      <c r="AB13" s="447"/>
      <c r="AC13" s="447"/>
      <c r="AD13" s="90">
        <v>14.565</v>
      </c>
      <c r="AE13" s="447">
        <v>20</v>
      </c>
      <c r="AF13" s="86">
        <f>AD13*AE13</f>
        <v>291.3</v>
      </c>
      <c r="AG13" s="86"/>
      <c r="AH13" s="86"/>
      <c r="AI13" s="74"/>
      <c r="AK13" s="450"/>
      <c r="AL13" s="450"/>
      <c r="AM13" s="451"/>
      <c r="AN13" s="451"/>
      <c r="AO13" s="450"/>
      <c r="AP13" s="74"/>
      <c r="AQ13" s="426"/>
      <c r="AR13" s="426"/>
      <c r="AS13" s="426"/>
      <c r="AT13" s="426"/>
      <c r="AU13" s="84"/>
      <c r="AV13" s="84"/>
      <c r="AW13" s="426"/>
      <c r="AX13" s="452"/>
      <c r="AY13" s="451"/>
      <c r="AZ13" s="453"/>
      <c r="BA13" s="453"/>
      <c r="BB13" s="453"/>
      <c r="BC13" s="453"/>
      <c r="BD13" s="450"/>
      <c r="BE13" s="450"/>
      <c r="BF13" s="450"/>
      <c r="BG13" s="450"/>
      <c r="BJ13" s="455"/>
      <c r="BR13" s="93">
        <f t="shared" si="0"/>
        <v>0</v>
      </c>
    </row>
    <row r="14" s="93" customFormat="1" ht="14.45" customHeight="1" outlineLevel="1" spans="1:70">
      <c r="C14" s="426"/>
      <c r="D14" s="84" t="s">
        <v>53</v>
      </c>
      <c r="E14" s="84"/>
      <c r="F14" s="84"/>
      <c r="G14" s="427"/>
      <c r="H14" s="84"/>
      <c r="I14" s="84"/>
      <c r="J14" s="88"/>
      <c r="K14" s="445"/>
      <c r="L14" s="445"/>
      <c r="M14" s="445"/>
      <c r="N14" s="84"/>
      <c r="O14" s="446"/>
      <c r="P14" s="89"/>
      <c r="Q14" s="73"/>
      <c r="R14" s="84" t="s">
        <v>64</v>
      </c>
      <c r="S14" s="84" t="s">
        <v>65</v>
      </c>
      <c r="T14" s="426">
        <v>45610</v>
      </c>
      <c r="U14" s="426">
        <f>T14+21</f>
        <v>45631</v>
      </c>
      <c r="V14" s="426"/>
      <c r="W14" s="84"/>
      <c r="X14" s="85"/>
      <c r="Y14" s="84">
        <v>13.77</v>
      </c>
      <c r="Z14" s="447">
        <v>830</v>
      </c>
      <c r="AA14" s="86">
        <f>Y14*Z14</f>
        <v>11429.1</v>
      </c>
      <c r="AB14" s="447"/>
      <c r="AC14" s="447"/>
      <c r="AD14" s="90"/>
      <c r="AE14" s="447"/>
      <c r="AF14" s="86"/>
      <c r="AG14" s="86"/>
      <c r="AH14" s="86"/>
      <c r="AI14" s="74"/>
      <c r="AK14" s="450"/>
      <c r="AL14" s="450"/>
      <c r="AM14" s="451"/>
      <c r="AN14" s="451"/>
      <c r="AO14" s="450"/>
      <c r="AP14" s="74"/>
      <c r="AQ14" s="426"/>
      <c r="AR14" s="426"/>
      <c r="AS14" s="426"/>
      <c r="AT14" s="426"/>
      <c r="AU14" s="84"/>
      <c r="AV14" s="84"/>
      <c r="AW14" s="426"/>
      <c r="AX14" s="452"/>
      <c r="AY14" s="451"/>
      <c r="AZ14" s="453"/>
      <c r="BA14" s="453"/>
      <c r="BB14" s="453"/>
      <c r="BC14" s="453"/>
      <c r="BD14" s="450"/>
      <c r="BE14" s="450"/>
      <c r="BF14" s="450"/>
      <c r="BG14" s="450"/>
      <c r="BJ14" s="455"/>
      <c r="BR14" s="93">
        <f t="shared" si="0"/>
        <v>0</v>
      </c>
    </row>
    <row r="15" s="93" customFormat="1" ht="14.45" customHeight="1" outlineLevel="1" spans="1:70">
      <c r="C15" s="426"/>
      <c r="D15" s="84" t="s">
        <v>53</v>
      </c>
      <c r="E15" s="84"/>
      <c r="F15" s="84"/>
      <c r="G15" s="427"/>
      <c r="H15" s="84"/>
      <c r="I15" s="84"/>
      <c r="J15" s="88"/>
      <c r="K15" s="445"/>
      <c r="L15" s="445"/>
      <c r="M15" s="445"/>
      <c r="N15" s="84"/>
      <c r="O15" s="446"/>
      <c r="P15" s="89"/>
      <c r="Q15" s="73"/>
      <c r="R15" s="84"/>
      <c r="S15" s="84" t="s">
        <v>63</v>
      </c>
      <c r="T15" s="426"/>
      <c r="U15" s="426"/>
      <c r="V15" s="426"/>
      <c r="W15" s="84"/>
      <c r="X15" s="85"/>
      <c r="Y15" s="84">
        <v>17.77</v>
      </c>
      <c r="Z15" s="447">
        <v>30</v>
      </c>
      <c r="AA15" s="86">
        <f>Y15*Z15</f>
        <v>533.1</v>
      </c>
      <c r="AB15" s="447"/>
      <c r="AC15" s="447"/>
      <c r="AD15" s="90"/>
      <c r="AE15" s="447"/>
      <c r="AF15" s="86"/>
      <c r="AG15" s="86"/>
      <c r="AH15" s="86"/>
      <c r="AI15" s="74"/>
      <c r="AK15" s="450"/>
      <c r="AL15" s="450"/>
      <c r="AM15" s="451"/>
      <c r="AN15" s="451"/>
      <c r="AO15" s="450"/>
      <c r="AP15" s="74"/>
      <c r="AQ15" s="426"/>
      <c r="AR15" s="426"/>
      <c r="AS15" s="426"/>
      <c r="AT15" s="426"/>
      <c r="AU15" s="84"/>
      <c r="AV15" s="84"/>
      <c r="AW15" s="426"/>
      <c r="AX15" s="452"/>
      <c r="AY15" s="451"/>
      <c r="AZ15" s="453"/>
      <c r="BA15" s="453"/>
      <c r="BB15" s="453"/>
      <c r="BC15" s="453"/>
      <c r="BD15" s="450"/>
      <c r="BE15" s="450"/>
      <c r="BF15" s="450"/>
      <c r="BG15" s="450"/>
      <c r="BJ15" s="455"/>
      <c r="BR15" s="93">
        <f t="shared" si="0"/>
        <v>0</v>
      </c>
    </row>
    <row r="16" s="93" customFormat="1" ht="14.45" customHeight="1" outlineLevel="1" spans="1:70">
      <c r="C16" s="426"/>
      <c r="D16" s="84" t="s">
        <v>53</v>
      </c>
      <c r="E16" s="84"/>
      <c r="F16" s="84"/>
      <c r="G16" s="427"/>
      <c r="H16" s="84"/>
      <c r="I16" s="84"/>
      <c r="J16" s="88"/>
      <c r="K16" s="445"/>
      <c r="L16" s="445"/>
      <c r="M16" s="445"/>
      <c r="N16" s="84"/>
      <c r="O16" s="446"/>
      <c r="P16" s="89"/>
      <c r="Q16" s="73"/>
      <c r="R16" s="84" t="s">
        <v>66</v>
      </c>
      <c r="S16" s="84" t="s">
        <v>67</v>
      </c>
      <c r="T16" s="426"/>
      <c r="U16" s="426"/>
      <c r="V16" s="426"/>
      <c r="W16" s="84"/>
      <c r="X16" s="85"/>
      <c r="Y16" s="84">
        <v>13.906</v>
      </c>
      <c r="Z16" s="447">
        <v>1695</v>
      </c>
      <c r="AA16" s="86">
        <f>Y16*Z16</f>
        <v>23570.67</v>
      </c>
      <c r="AB16" s="86">
        <v>333278.82</v>
      </c>
      <c r="AC16" s="447"/>
      <c r="AD16" s="90"/>
      <c r="AE16" s="447"/>
      <c r="AF16" s="86"/>
      <c r="AG16" s="86"/>
      <c r="AH16" s="86"/>
      <c r="AI16" s="74"/>
      <c r="AK16" s="450"/>
      <c r="AL16" s="450"/>
      <c r="AM16" s="451"/>
      <c r="AN16" s="451"/>
      <c r="AO16" s="450"/>
      <c r="AP16" s="74"/>
      <c r="AQ16" s="426"/>
      <c r="AR16" s="426"/>
      <c r="AS16" s="426"/>
      <c r="AT16" s="426"/>
      <c r="AU16" s="84"/>
      <c r="AV16" s="84"/>
      <c r="AW16" s="426"/>
      <c r="AX16" s="452"/>
      <c r="AY16" s="451"/>
      <c r="AZ16" s="453"/>
      <c r="BA16" s="453"/>
      <c r="BB16" s="453"/>
      <c r="BC16" s="453"/>
      <c r="BD16" s="450"/>
      <c r="BE16" s="450"/>
      <c r="BF16" s="450"/>
      <c r="BG16" s="450"/>
      <c r="BJ16" s="455"/>
      <c r="BR16" s="93">
        <f t="shared" si="0"/>
        <v>0</v>
      </c>
    </row>
    <row r="17" s="151" customFormat="1" ht="28.9" customHeight="1" spans="3:70">
      <c r="C17" s="463" t="s">
        <v>69</v>
      </c>
      <c r="D17" s="116" t="s">
        <v>53</v>
      </c>
      <c r="E17" s="464" t="s">
        <v>70</v>
      </c>
      <c r="F17" s="116" t="s">
        <v>53</v>
      </c>
      <c r="G17" s="465"/>
      <c r="H17" s="464" t="s">
        <v>71</v>
      </c>
      <c r="I17" s="464" t="s">
        <v>70</v>
      </c>
      <c r="J17" s="466">
        <f>SUM(J3:J16)</f>
        <v>26</v>
      </c>
      <c r="K17" s="466"/>
      <c r="L17" s="466"/>
      <c r="M17" s="466"/>
      <c r="N17" s="464"/>
      <c r="O17" s="464"/>
      <c r="P17" s="74"/>
      <c r="Q17" s="74"/>
      <c r="R17" s="464"/>
      <c r="S17" s="464"/>
      <c r="T17" s="467"/>
      <c r="U17" s="467"/>
      <c r="V17" s="467"/>
      <c r="W17" s="464"/>
      <c r="X17" s="468"/>
      <c r="Y17" s="464"/>
      <c r="Z17" s="469"/>
      <c r="AA17" s="469">
        <f>SUM(AA3:AA16)</f>
        <v>171177.765</v>
      </c>
      <c r="AB17" s="469">
        <f>AB9+AB16</f>
        <v>666557.64</v>
      </c>
      <c r="AC17" s="469"/>
      <c r="AD17" s="470"/>
      <c r="AE17" s="469"/>
      <c r="AF17" s="469"/>
      <c r="AG17" s="469"/>
      <c r="AH17" s="471"/>
      <c r="AI17" s="74"/>
      <c r="AJ17" s="472"/>
      <c r="AK17" s="473"/>
      <c r="AL17" s="464"/>
      <c r="AM17" s="469"/>
      <c r="AN17" s="469"/>
      <c r="AO17" s="474"/>
      <c r="AP17" s="74"/>
      <c r="AQ17" s="467"/>
      <c r="AR17" s="475"/>
      <c r="AS17" s="475"/>
      <c r="AT17" s="475"/>
      <c r="AU17" s="473"/>
      <c r="AV17" s="473"/>
      <c r="AW17" s="475"/>
      <c r="AX17" s="476"/>
      <c r="AY17" s="469"/>
      <c r="AZ17" s="477"/>
      <c r="BA17" s="477"/>
      <c r="BB17" s="477"/>
      <c r="BC17" s="477"/>
      <c r="BD17" s="464"/>
      <c r="BE17" s="464"/>
      <c r="BF17" s="464"/>
      <c r="BG17" s="464"/>
      <c r="BI17" s="478" t="s">
        <v>60</v>
      </c>
      <c r="BJ17" s="74"/>
    </row>
    <row r="18" s="76" customFormat="1" ht="14.45" customHeight="1" outlineLevel="1" spans="3:70">
      <c r="C18" s="387"/>
      <c r="D18" s="76" t="s">
        <v>72</v>
      </c>
      <c r="E18" s="76" t="s">
        <v>73</v>
      </c>
      <c r="F18" s="76" t="s">
        <v>74</v>
      </c>
      <c r="G18" s="479"/>
      <c r="H18" s="76" t="s">
        <v>75</v>
      </c>
      <c r="I18" s="76" t="s">
        <v>73</v>
      </c>
      <c r="J18" s="129">
        <v>60</v>
      </c>
      <c r="K18" s="146">
        <v>7009</v>
      </c>
      <c r="L18" s="129">
        <f>J18*K18</f>
        <v>420540</v>
      </c>
      <c r="M18" s="76">
        <f>L18*0.3</f>
        <v>126162</v>
      </c>
      <c r="N18" s="148">
        <f>L18*0.3</f>
        <v>126162</v>
      </c>
      <c r="O18" s="480">
        <f>N18-L18</f>
        <v>-294378</v>
      </c>
      <c r="P18" s="91"/>
      <c r="Q18" s="91"/>
      <c r="R18" s="76" t="s">
        <v>76</v>
      </c>
      <c r="S18" s="76" t="s">
        <v>77</v>
      </c>
      <c r="T18" s="387">
        <v>45656</v>
      </c>
      <c r="U18" s="387">
        <v>45748</v>
      </c>
      <c r="V18" s="387"/>
      <c r="X18" s="133"/>
      <c r="Y18" s="76">
        <v>63.495</v>
      </c>
      <c r="Z18" s="114">
        <v>4560</v>
      </c>
      <c r="AA18" s="114">
        <f>Y18*Z18</f>
        <v>289537.2</v>
      </c>
      <c r="AB18" s="114">
        <f>AA18</f>
        <v>289537.2</v>
      </c>
      <c r="AC18" s="114">
        <f>SUM(AA18:AA19)</f>
        <v>353621.88</v>
      </c>
      <c r="AD18" s="140"/>
      <c r="AE18" s="114"/>
      <c r="AF18" s="114"/>
      <c r="AG18" s="114"/>
      <c r="AH18" s="141"/>
      <c r="AI18" s="91"/>
      <c r="AJ18" s="137"/>
      <c r="AK18" s="137">
        <f>0.588+63.371</f>
        <v>63.959</v>
      </c>
      <c r="AL18" s="481">
        <v>7009</v>
      </c>
      <c r="AM18" s="114">
        <f>AL18*AK18</f>
        <v>448288.631</v>
      </c>
      <c r="AN18" s="114"/>
      <c r="AO18" s="144">
        <f>AM18-AN18</f>
        <v>448288.631</v>
      </c>
      <c r="AP18" s="91"/>
      <c r="AQ18" s="387"/>
      <c r="AR18" s="482"/>
      <c r="AS18" s="482"/>
      <c r="AT18" s="482"/>
      <c r="AU18" s="137"/>
      <c r="AV18" s="137"/>
      <c r="AW18" s="482"/>
      <c r="AX18" s="142">
        <v>63.371</v>
      </c>
      <c r="AY18" s="114">
        <v>7009</v>
      </c>
      <c r="AZ18" s="127">
        <f>AY18*AX18</f>
        <v>444167.339</v>
      </c>
      <c r="BA18" s="127">
        <v>239337</v>
      </c>
      <c r="BB18" s="127">
        <v>298717.96</v>
      </c>
      <c r="BC18" s="483">
        <f>BB18+BA18-AZ18</f>
        <v>93887.6209999999</v>
      </c>
      <c r="BI18" s="75"/>
      <c r="BJ18" s="91"/>
      <c r="BR18" s="93">
        <f t="shared" ref="BR18:BR28" si="1">M18</f>
        <v>126162</v>
      </c>
    </row>
    <row r="19" s="76" customFormat="1" ht="14.45" customHeight="1" outlineLevel="1" spans="3:70">
      <c r="C19" s="387"/>
      <c r="G19" s="479"/>
      <c r="J19" s="129"/>
      <c r="K19" s="146"/>
      <c r="L19" s="129"/>
      <c r="N19" s="148">
        <v>298717.96</v>
      </c>
      <c r="O19" s="480"/>
      <c r="P19" s="91"/>
      <c r="Q19" s="91"/>
      <c r="S19" s="76" t="s">
        <v>67</v>
      </c>
      <c r="T19" s="387"/>
      <c r="U19" s="387"/>
      <c r="V19" s="387"/>
      <c r="X19" s="133"/>
      <c r="Y19" s="76">
        <v>64.732</v>
      </c>
      <c r="Z19" s="76">
        <v>990</v>
      </c>
      <c r="AA19" s="114">
        <f>Z19*Y19</f>
        <v>64084.68</v>
      </c>
      <c r="AB19" s="114">
        <f>AA19</f>
        <v>64084.68</v>
      </c>
      <c r="AC19" s="114"/>
      <c r="AD19" s="140"/>
      <c r="AE19" s="114"/>
      <c r="AF19" s="114"/>
      <c r="AG19" s="114"/>
      <c r="AH19" s="141"/>
      <c r="AI19" s="91"/>
      <c r="AJ19" s="137"/>
      <c r="AK19" s="137"/>
      <c r="AM19" s="114"/>
      <c r="AN19" s="114"/>
      <c r="AO19" s="144"/>
      <c r="AP19" s="91"/>
      <c r="AQ19" s="387"/>
      <c r="AR19" s="482"/>
      <c r="AS19" s="482"/>
      <c r="AT19" s="482"/>
      <c r="AU19" s="137"/>
      <c r="AV19" s="137"/>
      <c r="AW19" s="482"/>
      <c r="AX19" s="142"/>
      <c r="AY19" s="114"/>
      <c r="AZ19" s="127"/>
      <c r="BA19" s="127"/>
      <c r="BB19" s="127"/>
      <c r="BC19" s="127"/>
      <c r="BI19" s="75"/>
      <c r="BJ19" s="91"/>
      <c r="BR19" s="93">
        <f t="shared" si="1"/>
        <v>0</v>
      </c>
    </row>
    <row r="20" s="76" customFormat="1" ht="14.45" customHeight="1" outlineLevel="1" spans="3:70">
      <c r="C20" s="387"/>
      <c r="G20" s="479"/>
      <c r="J20" s="129"/>
      <c r="K20" s="146"/>
      <c r="L20" s="129"/>
      <c r="N20" s="148"/>
      <c r="O20" s="480"/>
      <c r="P20" s="91"/>
      <c r="Q20" s="91"/>
      <c r="S20" s="76" t="s">
        <v>63</v>
      </c>
      <c r="T20" s="387"/>
      <c r="U20" s="387"/>
      <c r="V20" s="387"/>
      <c r="X20" s="133"/>
      <c r="AA20" s="114"/>
      <c r="AB20" s="114"/>
      <c r="AC20" s="114"/>
      <c r="AD20" s="140"/>
      <c r="AE20" s="114"/>
      <c r="AF20" s="114"/>
      <c r="AG20" s="114"/>
      <c r="AH20" s="141"/>
      <c r="AI20" s="91"/>
      <c r="AJ20" s="137"/>
      <c r="AK20" s="137"/>
      <c r="AM20" s="114"/>
      <c r="AN20" s="114"/>
      <c r="AO20" s="144"/>
      <c r="AP20" s="91"/>
      <c r="AQ20" s="387"/>
      <c r="AR20" s="482"/>
      <c r="AS20" s="482"/>
      <c r="AT20" s="482"/>
      <c r="AU20" s="137"/>
      <c r="AV20" s="137"/>
      <c r="AW20" s="482"/>
      <c r="AX20" s="142"/>
      <c r="AY20" s="114"/>
      <c r="AZ20" s="127"/>
      <c r="BA20" s="127"/>
      <c r="BB20" s="127"/>
      <c r="BC20" s="127"/>
      <c r="BI20" s="75"/>
      <c r="BJ20" s="91"/>
      <c r="BR20" s="93">
        <f t="shared" si="1"/>
        <v>0</v>
      </c>
    </row>
    <row r="21" s="76" customFormat="1" ht="14.45" customHeight="1" outlineLevel="1" spans="3:70">
      <c r="C21" s="387"/>
      <c r="D21" s="76" t="s">
        <v>78</v>
      </c>
      <c r="E21" s="76" t="s">
        <v>79</v>
      </c>
      <c r="F21" s="76" t="s">
        <v>74</v>
      </c>
      <c r="G21" s="479"/>
      <c r="H21" s="76" t="s">
        <v>75</v>
      </c>
      <c r="I21" s="76" t="s">
        <v>79</v>
      </c>
      <c r="J21" s="129">
        <v>30</v>
      </c>
      <c r="K21" s="146">
        <v>6857</v>
      </c>
      <c r="L21" s="129">
        <f>J21*K21</f>
        <v>205710</v>
      </c>
      <c r="M21" s="76">
        <f>L21*0.3</f>
        <v>61713</v>
      </c>
      <c r="N21" s="148">
        <f>L21*0.3</f>
        <v>61713</v>
      </c>
      <c r="O21" s="480">
        <f>N21-L21</f>
        <v>-143997</v>
      </c>
      <c r="P21" s="91"/>
      <c r="Q21" s="91"/>
      <c r="R21" s="76" t="s">
        <v>76</v>
      </c>
      <c r="S21" s="76" t="s">
        <v>77</v>
      </c>
      <c r="T21" s="387">
        <v>45656</v>
      </c>
      <c r="U21" s="387">
        <v>45748</v>
      </c>
      <c r="V21" s="387"/>
      <c r="X21" s="133"/>
      <c r="Y21" s="76">
        <v>31.34</v>
      </c>
      <c r="Z21" s="114">
        <v>4560</v>
      </c>
      <c r="AA21" s="114">
        <f>Y21*Z21</f>
        <v>142910.4</v>
      </c>
      <c r="AB21" s="114">
        <f>AA21</f>
        <v>142910.4</v>
      </c>
      <c r="AC21" s="114">
        <f>SUM(AA21:AA22)</f>
        <v>168132.24</v>
      </c>
      <c r="AD21" s="140"/>
      <c r="AE21" s="114"/>
      <c r="AF21" s="114"/>
      <c r="AG21" s="114"/>
      <c r="AH21" s="141"/>
      <c r="AI21" s="91"/>
      <c r="AJ21" s="137"/>
      <c r="AK21" s="137">
        <f>1.112+7.645+20.624</f>
        <v>29.381</v>
      </c>
      <c r="AL21" s="481">
        <v>6857</v>
      </c>
      <c r="AM21" s="114">
        <f>AL21*AK21</f>
        <v>201465.517</v>
      </c>
      <c r="AN21" s="114"/>
      <c r="AO21" s="144">
        <f>AM21-AN21</f>
        <v>201465.517</v>
      </c>
      <c r="AP21" s="91"/>
      <c r="AQ21" s="387"/>
      <c r="AR21" s="482"/>
      <c r="AS21" s="482"/>
      <c r="AT21" s="482"/>
      <c r="AU21" s="137"/>
      <c r="AV21" s="137"/>
      <c r="AW21" s="482"/>
      <c r="AX21" s="142">
        <v>7.645</v>
      </c>
      <c r="AY21" s="114">
        <v>6857</v>
      </c>
      <c r="AZ21" s="127">
        <f>AY21*AX21</f>
        <v>52421.765</v>
      </c>
      <c r="BA21" s="127">
        <v>37059.77</v>
      </c>
      <c r="BB21" s="127"/>
      <c r="BC21" s="483">
        <f>BB21+BA21-AZ21</f>
        <v>-15361.995</v>
      </c>
      <c r="BI21" s="75"/>
      <c r="BJ21" s="91"/>
      <c r="BR21" s="93">
        <f t="shared" si="1"/>
        <v>61713</v>
      </c>
    </row>
    <row r="22" s="76" customFormat="1" ht="14.45" customHeight="1" outlineLevel="1" spans="3:70">
      <c r="C22" s="387"/>
      <c r="D22" s="76" t="s">
        <v>80</v>
      </c>
      <c r="G22" s="479"/>
      <c r="J22" s="129"/>
      <c r="K22" s="146"/>
      <c r="L22" s="129"/>
      <c r="N22" s="148">
        <v>98993.14</v>
      </c>
      <c r="O22" s="480"/>
      <c r="P22" s="91"/>
      <c r="Q22" s="91"/>
      <c r="S22" s="76" t="s">
        <v>67</v>
      </c>
      <c r="T22" s="387"/>
      <c r="U22" s="387"/>
      <c r="V22" s="387"/>
      <c r="X22" s="133"/>
      <c r="Y22" s="76">
        <v>30.026</v>
      </c>
      <c r="Z22" s="114">
        <v>840</v>
      </c>
      <c r="AA22" s="114">
        <f>Z22*Y22</f>
        <v>25221.84</v>
      </c>
      <c r="AB22" s="114">
        <f>AA22</f>
        <v>25221.84</v>
      </c>
      <c r="AC22" s="114"/>
      <c r="AD22" s="114"/>
      <c r="AE22" s="114"/>
      <c r="AF22" s="114"/>
      <c r="AG22" s="114"/>
      <c r="AH22" s="141"/>
      <c r="AI22" s="91"/>
      <c r="AJ22" s="137"/>
      <c r="AK22" s="137"/>
      <c r="AM22" s="114"/>
      <c r="AN22" s="114"/>
      <c r="AO22" s="144"/>
      <c r="AP22" s="91"/>
      <c r="AQ22" s="387"/>
      <c r="AR22" s="482"/>
      <c r="AS22" s="482"/>
      <c r="AT22" s="482"/>
      <c r="AU22" s="137"/>
      <c r="AV22" s="137"/>
      <c r="AW22" s="482"/>
      <c r="AX22" s="142">
        <v>20.624</v>
      </c>
      <c r="AY22" s="114">
        <v>6857</v>
      </c>
      <c r="AZ22" s="127">
        <f>AY22*AX22</f>
        <v>141418.768</v>
      </c>
      <c r="BA22" s="127">
        <v>98993.14</v>
      </c>
      <c r="BB22" s="127"/>
      <c r="BC22" s="483">
        <f>BB22+BA22-AZ22</f>
        <v>-42425.628</v>
      </c>
      <c r="BI22" s="75"/>
      <c r="BJ22" s="91"/>
      <c r="BR22" s="93">
        <f t="shared" si="1"/>
        <v>0</v>
      </c>
    </row>
    <row r="23" s="76" customFormat="1" ht="14.45" customHeight="1" outlineLevel="1" spans="3:70">
      <c r="C23" s="387"/>
      <c r="G23" s="479"/>
      <c r="J23" s="129"/>
      <c r="K23" s="146"/>
      <c r="L23" s="129"/>
      <c r="N23" s="148"/>
      <c r="O23" s="480"/>
      <c r="P23" s="91"/>
      <c r="Q23" s="91"/>
      <c r="S23" s="76" t="s">
        <v>63</v>
      </c>
      <c r="T23" s="387"/>
      <c r="U23" s="387"/>
      <c r="V23" s="387"/>
      <c r="X23" s="133"/>
      <c r="Z23" s="114"/>
      <c r="AA23" s="114"/>
      <c r="AC23" s="114"/>
      <c r="AD23" s="114"/>
      <c r="AE23" s="114"/>
      <c r="AF23" s="114"/>
      <c r="AG23" s="114"/>
      <c r="AH23" s="141"/>
      <c r="AI23" s="91"/>
      <c r="AJ23" s="137"/>
      <c r="AK23" s="137"/>
      <c r="AM23" s="114"/>
      <c r="AN23" s="114"/>
      <c r="AO23" s="144"/>
      <c r="AP23" s="91"/>
      <c r="AQ23" s="387"/>
      <c r="AR23" s="482"/>
      <c r="AS23" s="482"/>
      <c r="AT23" s="482"/>
      <c r="AU23" s="137"/>
      <c r="AV23" s="137"/>
      <c r="AW23" s="482"/>
      <c r="AX23" s="142"/>
      <c r="AY23" s="114"/>
      <c r="AZ23" s="127"/>
      <c r="BA23" s="127"/>
      <c r="BB23" s="127"/>
      <c r="BC23" s="127"/>
      <c r="BI23" s="75"/>
      <c r="BJ23" s="91"/>
      <c r="BR23" s="93">
        <f t="shared" si="1"/>
        <v>0</v>
      </c>
    </row>
    <row r="24" s="76" customFormat="1" ht="12" customHeight="1" outlineLevel="1" spans="3:70">
      <c r="C24" s="387"/>
      <c r="D24" s="76" t="s">
        <v>81</v>
      </c>
      <c r="E24" s="76" t="s">
        <v>82</v>
      </c>
      <c r="F24" s="76" t="s">
        <v>74</v>
      </c>
      <c r="G24" s="479"/>
      <c r="H24" s="76" t="s">
        <v>75</v>
      </c>
      <c r="I24" s="76" t="s">
        <v>82</v>
      </c>
      <c r="J24" s="129">
        <v>30</v>
      </c>
      <c r="K24" s="146">
        <v>5718</v>
      </c>
      <c r="L24" s="129">
        <f>J24*K24</f>
        <v>171540</v>
      </c>
      <c r="M24" s="76">
        <f>L24*0.3</f>
        <v>51462</v>
      </c>
      <c r="N24" s="148">
        <f>L24*0.3</f>
        <v>51462</v>
      </c>
      <c r="O24" s="480">
        <f>N24-L24</f>
        <v>-120078</v>
      </c>
      <c r="P24" s="91"/>
      <c r="Q24" s="91"/>
      <c r="R24" s="76" t="s">
        <v>76</v>
      </c>
      <c r="S24" s="76" t="s">
        <v>77</v>
      </c>
      <c r="T24" s="387">
        <v>45656</v>
      </c>
      <c r="U24" s="387">
        <v>45734</v>
      </c>
      <c r="V24" s="387"/>
      <c r="X24" s="133"/>
      <c r="Y24" s="76">
        <v>25.545</v>
      </c>
      <c r="Z24" s="114">
        <v>4530</v>
      </c>
      <c r="AA24" s="114">
        <f>Y24*Z24</f>
        <v>115718.85</v>
      </c>
      <c r="AB24" s="114">
        <f>AA24</f>
        <v>115718.85</v>
      </c>
      <c r="AC24" s="114">
        <f>SUM(AA24:AA25)</f>
        <v>138789.45</v>
      </c>
      <c r="AD24" s="114"/>
      <c r="AE24" s="114"/>
      <c r="AF24" s="114"/>
      <c r="AG24" s="114"/>
      <c r="AH24" s="141"/>
      <c r="AI24" s="484"/>
      <c r="AJ24" s="485"/>
      <c r="AK24" s="76">
        <v>25.634</v>
      </c>
      <c r="AL24" s="481">
        <v>5718</v>
      </c>
      <c r="AM24" s="114">
        <f>AL24*AK24</f>
        <v>146575.212</v>
      </c>
      <c r="AN24" s="114"/>
      <c r="AO24" s="144">
        <f>AM24-AN24</f>
        <v>146575.212</v>
      </c>
      <c r="AP24" s="484"/>
      <c r="AQ24" s="387"/>
      <c r="AR24" s="387"/>
      <c r="AS24" s="387"/>
      <c r="AT24" s="387"/>
      <c r="AW24" s="387"/>
      <c r="AX24" s="76">
        <v>25.634</v>
      </c>
      <c r="AY24" s="114">
        <v>5718</v>
      </c>
      <c r="AZ24" s="127">
        <f>AY24*AX24</f>
        <v>146575.212</v>
      </c>
      <c r="BA24" s="127">
        <v>110475.21</v>
      </c>
      <c r="BB24" s="127"/>
      <c r="BC24" s="483">
        <f>BB24+BA24-AZ24</f>
        <v>-36100.002</v>
      </c>
      <c r="BI24" s="75"/>
      <c r="BJ24" s="91"/>
      <c r="BR24" s="93">
        <f t="shared" si="1"/>
        <v>51462</v>
      </c>
    </row>
    <row r="25" s="76" customFormat="1" ht="14.45" customHeight="1" outlineLevel="1" spans="3:70">
      <c r="C25" s="387"/>
      <c r="E25" s="75"/>
      <c r="G25" s="479"/>
      <c r="I25" s="151"/>
      <c r="J25" s="129"/>
      <c r="K25" s="146"/>
      <c r="L25" s="147"/>
      <c r="M25" s="147"/>
      <c r="N25" s="148"/>
      <c r="S25" s="76" t="s">
        <v>67</v>
      </c>
      <c r="T25" s="387"/>
      <c r="U25" s="387"/>
      <c r="V25" s="387"/>
      <c r="X25" s="133"/>
      <c r="Y25" s="76">
        <v>25.634</v>
      </c>
      <c r="Z25" s="114">
        <v>900</v>
      </c>
      <c r="AA25" s="114">
        <f>Z25*Y25</f>
        <v>23070.6</v>
      </c>
      <c r="AB25" s="114">
        <f>AA25</f>
        <v>23070.6</v>
      </c>
      <c r="AC25" s="114"/>
      <c r="AD25" s="114"/>
      <c r="AE25" s="114"/>
      <c r="AF25" s="114"/>
      <c r="AG25" s="114"/>
      <c r="AH25" s="141"/>
      <c r="AJ25" s="137"/>
      <c r="AK25" s="137"/>
      <c r="AM25" s="114"/>
      <c r="AN25" s="114"/>
      <c r="AO25" s="144"/>
      <c r="AQ25" s="387"/>
      <c r="AR25" s="482"/>
      <c r="AS25" s="482"/>
      <c r="AT25" s="482"/>
      <c r="AU25" s="137"/>
      <c r="AV25" s="137"/>
      <c r="AW25" s="482"/>
      <c r="AX25" s="142"/>
      <c r="AY25" s="114"/>
      <c r="AZ25" s="127"/>
      <c r="BA25" s="127"/>
      <c r="BB25" s="127"/>
      <c r="BC25" s="127"/>
      <c r="BI25" s="149"/>
      <c r="BR25" s="93">
        <f t="shared" si="1"/>
        <v>0</v>
      </c>
    </row>
    <row r="26" s="76" customFormat="1" ht="14.45" customHeight="1" outlineLevel="1" spans="3:70">
      <c r="C26" s="387"/>
      <c r="E26" s="75"/>
      <c r="G26" s="479"/>
      <c r="I26" s="151"/>
      <c r="J26" s="129"/>
      <c r="K26" s="146"/>
      <c r="L26" s="147"/>
      <c r="M26" s="147"/>
      <c r="N26" s="148"/>
      <c r="S26" s="76" t="s">
        <v>63</v>
      </c>
      <c r="T26" s="387"/>
      <c r="U26" s="387"/>
      <c r="V26" s="387"/>
      <c r="X26" s="133"/>
      <c r="Z26" s="114"/>
      <c r="AA26" s="114"/>
      <c r="AC26" s="114"/>
      <c r="AD26" s="140"/>
      <c r="AE26" s="114"/>
      <c r="AF26" s="114"/>
      <c r="AG26" s="114"/>
      <c r="AH26" s="141"/>
      <c r="AJ26" s="137"/>
      <c r="AK26" s="137"/>
      <c r="AM26" s="114"/>
      <c r="AN26" s="114"/>
      <c r="AO26" s="144"/>
      <c r="AQ26" s="387"/>
      <c r="AR26" s="482"/>
      <c r="AS26" s="482"/>
      <c r="AT26" s="482"/>
      <c r="AU26" s="137"/>
      <c r="AV26" s="137"/>
      <c r="AW26" s="482"/>
      <c r="AX26" s="142"/>
      <c r="AY26" s="114"/>
      <c r="AZ26" s="127"/>
      <c r="BA26" s="127"/>
      <c r="BB26" s="127"/>
      <c r="BC26" s="127"/>
      <c r="BI26" s="149"/>
      <c r="BR26" s="93">
        <f t="shared" si="1"/>
        <v>0</v>
      </c>
    </row>
    <row r="27" s="76" customFormat="1" ht="14.45" customHeight="1" outlineLevel="1" spans="3:70">
      <c r="C27" s="387"/>
      <c r="D27" s="76" t="s">
        <v>83</v>
      </c>
      <c r="E27" s="76" t="s">
        <v>73</v>
      </c>
      <c r="G27" s="479"/>
      <c r="I27" s="151"/>
      <c r="J27" s="129"/>
      <c r="K27" s="146"/>
      <c r="L27" s="147"/>
      <c r="M27" s="147"/>
      <c r="N27" s="148"/>
      <c r="T27" s="387"/>
      <c r="U27" s="387"/>
      <c r="V27" s="387"/>
      <c r="X27" s="133"/>
      <c r="Z27" s="114"/>
      <c r="AA27" s="114"/>
      <c r="AC27" s="114"/>
      <c r="AD27" s="140"/>
      <c r="AE27" s="114"/>
      <c r="AF27" s="114"/>
      <c r="AG27" s="114"/>
      <c r="AH27" s="141"/>
      <c r="AJ27" s="137"/>
      <c r="AK27" s="137">
        <v>0.588</v>
      </c>
      <c r="AL27" s="76">
        <v>7009</v>
      </c>
      <c r="AM27" s="114">
        <f>AL27*AK27</f>
        <v>4121.292</v>
      </c>
      <c r="AN27" s="114">
        <v>4121.292</v>
      </c>
      <c r="AO27" s="144">
        <f>AM27-AN27</f>
        <v>0</v>
      </c>
      <c r="AQ27" s="387"/>
      <c r="AR27" s="482"/>
      <c r="AS27" s="482"/>
      <c r="AT27" s="482"/>
      <c r="AU27" s="137"/>
      <c r="AV27" s="137"/>
      <c r="AW27" s="482"/>
      <c r="AX27" s="137">
        <v>0.588</v>
      </c>
      <c r="AY27" s="76">
        <v>7009</v>
      </c>
      <c r="AZ27" s="114">
        <f>AY27*AX27</f>
        <v>4121.292</v>
      </c>
      <c r="BA27" s="127">
        <v>0</v>
      </c>
      <c r="BB27" s="127"/>
      <c r="BC27" s="127"/>
      <c r="BI27" s="149"/>
      <c r="BR27" s="93">
        <f t="shared" si="1"/>
        <v>0</v>
      </c>
    </row>
    <row r="28" s="76" customFormat="1" ht="14.45" customHeight="1" outlineLevel="1" spans="3:70">
      <c r="C28" s="387"/>
      <c r="E28" s="76" t="s">
        <v>79</v>
      </c>
      <c r="G28" s="479"/>
      <c r="I28" s="151"/>
      <c r="J28" s="129"/>
      <c r="K28" s="146"/>
      <c r="L28" s="147"/>
      <c r="M28" s="147"/>
      <c r="N28" s="148"/>
      <c r="T28" s="387"/>
      <c r="U28" s="387"/>
      <c r="V28" s="387"/>
      <c r="X28" s="133"/>
      <c r="Z28" s="114"/>
      <c r="AA28" s="114"/>
      <c r="AC28" s="114"/>
      <c r="AD28" s="140"/>
      <c r="AE28" s="114"/>
      <c r="AF28" s="114"/>
      <c r="AG28" s="114"/>
      <c r="AH28" s="141"/>
      <c r="AJ28" s="137"/>
      <c r="AK28" s="137">
        <v>1.529</v>
      </c>
      <c r="AL28" s="76">
        <v>6857</v>
      </c>
      <c r="AM28" s="114">
        <f>AL28*AK28</f>
        <v>10484.353</v>
      </c>
      <c r="AN28" s="114">
        <v>10484.353</v>
      </c>
      <c r="AO28" s="144">
        <f>AM28-AN28</f>
        <v>0</v>
      </c>
      <c r="AQ28" s="387"/>
      <c r="AR28" s="482"/>
      <c r="AS28" s="482"/>
      <c r="AT28" s="482"/>
      <c r="AU28" s="137"/>
      <c r="AV28" s="137"/>
      <c r="AW28" s="482"/>
      <c r="AX28" s="137">
        <v>1.529</v>
      </c>
      <c r="AY28" s="76">
        <v>6857</v>
      </c>
      <c r="AZ28" s="114">
        <f>AY28*AX28</f>
        <v>10484.353</v>
      </c>
      <c r="BA28" s="127">
        <v>0</v>
      </c>
      <c r="BB28" s="127"/>
      <c r="BC28" s="127"/>
      <c r="BI28" s="149"/>
      <c r="BR28" s="93">
        <f t="shared" si="1"/>
        <v>0</v>
      </c>
    </row>
    <row r="29" s="79" customFormat="1" ht="43.15" customHeight="1" spans="3:70">
      <c r="C29" s="463"/>
      <c r="D29" s="79" t="s">
        <v>74</v>
      </c>
      <c r="E29" s="464" t="s">
        <v>84</v>
      </c>
      <c r="F29" s="76"/>
      <c r="G29" s="486"/>
      <c r="I29" s="151"/>
      <c r="J29" s="194"/>
      <c r="K29" s="487"/>
      <c r="L29" s="488">
        <f>SUM(L18:L28)</f>
        <v>797790</v>
      </c>
      <c r="M29" s="488"/>
      <c r="N29" s="489">
        <f>SUM(N18:N28)</f>
        <v>637048.1</v>
      </c>
      <c r="P29" s="91"/>
      <c r="Q29" s="91"/>
      <c r="T29" s="463"/>
      <c r="U29" s="463"/>
      <c r="V29" s="463"/>
      <c r="X29" s="193"/>
      <c r="Z29" s="192"/>
      <c r="AA29" s="192">
        <f>SUM(AA18:AA25)</f>
        <v>660543.57</v>
      </c>
      <c r="AB29" s="192">
        <f>SUM(AB18:AB25)</f>
        <v>660543.57</v>
      </c>
      <c r="AC29" s="192">
        <f>SUM(AC18:AC24)</f>
        <v>660543.57</v>
      </c>
      <c r="AD29" s="196"/>
      <c r="AE29" s="192"/>
      <c r="AF29" s="192"/>
      <c r="AG29" s="192"/>
      <c r="AH29" s="227"/>
      <c r="AI29" s="91"/>
      <c r="AJ29" s="225"/>
      <c r="AK29" s="225"/>
      <c r="AM29" s="192"/>
      <c r="AN29" s="192">
        <f>SUM(AN27:AN28)</f>
        <v>14605.645</v>
      </c>
      <c r="AO29" s="490">
        <f>SUM(AO27:AO28)</f>
        <v>0</v>
      </c>
      <c r="AP29" s="91"/>
      <c r="AQ29" s="463"/>
      <c r="AR29" s="491"/>
      <c r="AS29" s="491"/>
      <c r="AT29" s="491"/>
      <c r="AU29" s="225"/>
      <c r="AV29" s="225"/>
      <c r="AW29" s="491"/>
      <c r="AX29" s="492"/>
      <c r="AY29" s="192"/>
      <c r="AZ29" s="150">
        <f>SUM(AZ18:AZ28)</f>
        <v>799188.729</v>
      </c>
      <c r="BA29" s="150">
        <f>SUM(BA18:BA28)</f>
        <v>485865.12</v>
      </c>
      <c r="BB29" s="150">
        <f>SUM(BB18:BB28)</f>
        <v>298717.96</v>
      </c>
      <c r="BC29" s="493">
        <f>SUM(BC18:BC28)</f>
        <v>-0.00400000004447065</v>
      </c>
      <c r="BI29" s="494" t="s">
        <v>85</v>
      </c>
      <c r="BJ29" s="91"/>
    </row>
    <row r="30" s="75" customFormat="1" ht="14.45" customHeight="1" outlineLevel="1" spans="3:70">
      <c r="C30" s="387">
        <v>45729</v>
      </c>
      <c r="D30" s="76" t="s">
        <v>86</v>
      </c>
      <c r="E30" s="113" t="s">
        <v>87</v>
      </c>
      <c r="F30" s="79"/>
      <c r="G30" s="486"/>
      <c r="H30" s="113" t="s">
        <v>71</v>
      </c>
      <c r="I30" s="116"/>
      <c r="J30" s="75">
        <v>1160000</v>
      </c>
      <c r="K30" s="75">
        <f>157.05/1000</f>
        <v>0.15705</v>
      </c>
      <c r="L30" s="495">
        <f>K30*J30</f>
        <v>182178</v>
      </c>
      <c r="M30" s="75">
        <f>L30*0.3</f>
        <v>54653.4</v>
      </c>
      <c r="N30" s="115">
        <f>54653.4+127524.6</f>
        <v>182178</v>
      </c>
      <c r="O30" s="115">
        <f>L30-N30</f>
        <v>0</v>
      </c>
      <c r="R30" s="115" t="s">
        <v>88</v>
      </c>
      <c r="S30" s="115" t="s">
        <v>89</v>
      </c>
      <c r="T30" s="496">
        <v>45750</v>
      </c>
      <c r="U30" s="496">
        <v>45772</v>
      </c>
      <c r="V30" s="496"/>
      <c r="W30" s="115"/>
      <c r="X30" s="118" t="s">
        <v>90</v>
      </c>
      <c r="Y30" s="75">
        <v>1160000</v>
      </c>
      <c r="Z30" s="120">
        <v>0.165</v>
      </c>
      <c r="AA30" s="119">
        <f>Z30*Y30</f>
        <v>191400</v>
      </c>
      <c r="AB30" s="119">
        <v>191400</v>
      </c>
      <c r="AC30" s="119">
        <f>AA30-AB30</f>
        <v>0</v>
      </c>
      <c r="AD30" s="120"/>
      <c r="AE30" s="119"/>
      <c r="AF30" s="119"/>
      <c r="AG30" s="119"/>
      <c r="AH30" s="121"/>
      <c r="AJ30" s="122"/>
      <c r="AK30" s="128">
        <v>1160000</v>
      </c>
      <c r="AL30" s="75">
        <f>157.05/1000</f>
        <v>0.15705</v>
      </c>
      <c r="AM30" s="119">
        <f>AK30*AL30</f>
        <v>182178</v>
      </c>
      <c r="AN30" s="119"/>
      <c r="AO30" s="126"/>
      <c r="AQ30" s="496"/>
      <c r="AR30" s="497"/>
      <c r="AS30" s="497"/>
      <c r="AT30" s="497"/>
      <c r="AU30" s="128"/>
      <c r="AV30" s="128"/>
      <c r="AW30" s="497"/>
      <c r="AX30" s="128">
        <v>1160000</v>
      </c>
      <c r="AY30" s="75">
        <f>157.05/1000</f>
        <v>0.15705</v>
      </c>
      <c r="AZ30" s="119">
        <f>AX30*AY30</f>
        <v>182178</v>
      </c>
      <c r="BA30" s="483"/>
      <c r="BB30" s="483"/>
      <c r="BC30" s="483"/>
      <c r="BD30" s="115"/>
      <c r="BE30" s="115"/>
      <c r="BF30" s="115"/>
      <c r="BG30" s="115"/>
      <c r="BI30" s="149"/>
      <c r="BR30" s="93">
        <f>M30</f>
        <v>54653.4</v>
      </c>
    </row>
    <row r="31" s="151" customFormat="1" ht="14.45" customHeight="1" spans="3:70">
      <c r="C31" s="463" t="s">
        <v>69</v>
      </c>
      <c r="D31" s="79" t="str">
        <f>D30</f>
        <v>INTW-8</v>
      </c>
      <c r="E31" s="116" t="str">
        <f>E30</f>
        <v>98.9mm 0.20 #401 SE*2</v>
      </c>
      <c r="F31" s="79"/>
      <c r="G31" s="486"/>
      <c r="H31" s="116" t="str">
        <f>H30</f>
        <v>INDEX</v>
      </c>
      <c r="I31" s="116"/>
      <c r="J31" s="151">
        <f>J30</f>
        <v>1160000</v>
      </c>
      <c r="L31" s="498">
        <f>L30</f>
        <v>182178</v>
      </c>
      <c r="N31" s="464"/>
      <c r="O31" s="464"/>
      <c r="P31" s="74"/>
      <c r="Q31" s="74"/>
      <c r="R31" s="464"/>
      <c r="S31" s="464"/>
      <c r="T31" s="467"/>
      <c r="U31" s="467"/>
      <c r="V31" s="467"/>
      <c r="W31" s="464"/>
      <c r="X31" s="468" t="s">
        <v>90</v>
      </c>
      <c r="Y31" s="464"/>
      <c r="Z31" s="470"/>
      <c r="AA31" s="469"/>
      <c r="AB31" s="469"/>
      <c r="AC31" s="469"/>
      <c r="AD31" s="470"/>
      <c r="AE31" s="469"/>
      <c r="AF31" s="469"/>
      <c r="AG31" s="469"/>
      <c r="AH31" s="471"/>
      <c r="AI31" s="74"/>
      <c r="AJ31" s="472"/>
      <c r="AK31" s="473"/>
      <c r="AL31" s="470"/>
      <c r="AM31" s="469"/>
      <c r="AN31" s="469"/>
      <c r="AO31" s="474"/>
      <c r="AP31" s="74"/>
      <c r="AQ31" s="467"/>
      <c r="AR31" s="475"/>
      <c r="AS31" s="475"/>
      <c r="AT31" s="475"/>
      <c r="AU31" s="473"/>
      <c r="AV31" s="473"/>
      <c r="AW31" s="475"/>
      <c r="AX31" s="499"/>
      <c r="AY31" s="500"/>
      <c r="AZ31" s="500"/>
      <c r="BA31" s="500"/>
      <c r="BB31" s="500"/>
      <c r="BC31" s="493"/>
      <c r="BD31" s="464"/>
      <c r="BE31" s="464"/>
      <c r="BF31" s="464"/>
      <c r="BG31" s="464"/>
      <c r="BI31" s="478" t="s">
        <v>60</v>
      </c>
      <c r="BJ31" s="74"/>
    </row>
    <row r="32" s="75" customFormat="1" ht="14.45" customHeight="1" outlineLevel="1" spans="3:70">
      <c r="C32" s="387">
        <v>45008</v>
      </c>
      <c r="D32" s="76" t="s">
        <v>91</v>
      </c>
      <c r="E32" s="113" t="s">
        <v>92</v>
      </c>
      <c r="F32" s="76" t="s">
        <v>91</v>
      </c>
      <c r="G32" s="479"/>
      <c r="H32" s="113" t="s">
        <v>93</v>
      </c>
      <c r="I32" s="113" t="s">
        <v>92</v>
      </c>
      <c r="J32" s="75">
        <v>923400</v>
      </c>
      <c r="K32" s="75">
        <v>0.285</v>
      </c>
      <c r="L32" s="495">
        <f>J32*K32</f>
        <v>263169</v>
      </c>
      <c r="N32" s="115"/>
      <c r="O32" s="115"/>
      <c r="P32" s="74"/>
      <c r="Q32" s="74"/>
      <c r="R32" s="115" t="s">
        <v>88</v>
      </c>
      <c r="S32" s="115" t="s">
        <v>94</v>
      </c>
      <c r="T32" s="496">
        <v>44924</v>
      </c>
      <c r="U32" s="496"/>
      <c r="V32" s="496"/>
      <c r="W32" s="115"/>
      <c r="X32" s="118"/>
      <c r="Y32" s="115">
        <v>954000</v>
      </c>
      <c r="Z32" s="120">
        <v>0.285</v>
      </c>
      <c r="AA32" s="119">
        <f>Y32*Z32</f>
        <v>271890</v>
      </c>
      <c r="AB32" s="119"/>
      <c r="AC32" s="119"/>
      <c r="AD32" s="120"/>
      <c r="AE32" s="119"/>
      <c r="AF32" s="119"/>
      <c r="AG32" s="119"/>
      <c r="AH32" s="121"/>
      <c r="AI32" s="74"/>
      <c r="AJ32" s="122"/>
      <c r="AK32" s="128">
        <v>954000</v>
      </c>
      <c r="AL32" s="483">
        <v>0.257</v>
      </c>
      <c r="AM32" s="119">
        <f>AK32*AL32</f>
        <v>245178</v>
      </c>
      <c r="AN32" s="119"/>
      <c r="AO32" s="126"/>
      <c r="AP32" s="74"/>
      <c r="AQ32" s="496"/>
      <c r="AR32" s="497"/>
      <c r="AS32" s="497"/>
      <c r="AT32" s="497"/>
      <c r="AU32" s="128"/>
      <c r="AV32" s="128"/>
      <c r="AW32" s="497"/>
      <c r="AX32" s="123">
        <v>954000</v>
      </c>
      <c r="AY32" s="483">
        <v>0.257</v>
      </c>
      <c r="AZ32" s="483">
        <f>AX32*AY32</f>
        <v>245178</v>
      </c>
      <c r="BA32" s="483">
        <v>0</v>
      </c>
      <c r="BB32" s="483"/>
      <c r="BC32" s="483">
        <f>BA32-AZ32</f>
        <v>-245178</v>
      </c>
      <c r="BD32" s="115"/>
      <c r="BE32" s="115"/>
      <c r="BF32" s="115"/>
      <c r="BG32" s="115"/>
      <c r="BJ32" s="74"/>
      <c r="BR32" s="93">
        <f t="shared" ref="BR32:BR41" si="2">M32</f>
        <v>0</v>
      </c>
    </row>
    <row r="33" s="75" customFormat="1" ht="14.45" customHeight="1" outlineLevel="1" spans="1:70">
      <c r="C33" s="387"/>
      <c r="D33" s="76"/>
      <c r="E33" s="113"/>
      <c r="F33" s="76"/>
      <c r="G33" s="479"/>
      <c r="H33" s="113"/>
      <c r="I33" s="113"/>
      <c r="L33" s="495"/>
      <c r="N33" s="115"/>
      <c r="O33" s="115"/>
      <c r="P33" s="74"/>
      <c r="Q33" s="74"/>
      <c r="R33" s="501" t="s">
        <v>95</v>
      </c>
      <c r="S33" s="115"/>
      <c r="T33" s="496"/>
      <c r="U33" s="496"/>
      <c r="V33" s="496"/>
      <c r="W33" s="115"/>
      <c r="X33" s="118"/>
      <c r="Y33" s="115"/>
      <c r="Z33" s="120"/>
      <c r="AA33" s="119">
        <f>-(AZ32*0.13/1.13)</f>
        <v>-28206.3185840708</v>
      </c>
      <c r="AB33" s="119"/>
      <c r="AC33" s="119"/>
      <c r="AD33" s="120"/>
      <c r="AE33" s="119"/>
      <c r="AF33" s="119"/>
      <c r="AG33" s="119"/>
      <c r="AH33" s="121"/>
      <c r="AI33" s="74"/>
      <c r="AJ33" s="122"/>
      <c r="AK33" s="128"/>
      <c r="AL33" s="483"/>
      <c r="AM33" s="119"/>
      <c r="AN33" s="119"/>
      <c r="AO33" s="126"/>
      <c r="AP33" s="74"/>
      <c r="AQ33" s="496"/>
      <c r="AR33" s="497"/>
      <c r="AS33" s="497"/>
      <c r="AT33" s="497"/>
      <c r="AU33" s="128"/>
      <c r="AV33" s="128"/>
      <c r="AW33" s="497"/>
      <c r="AX33" s="123"/>
      <c r="AY33" s="483"/>
      <c r="AZ33" s="483"/>
      <c r="BA33" s="483"/>
      <c r="BB33" s="483"/>
      <c r="BC33" s="483"/>
      <c r="BD33" s="115"/>
      <c r="BE33" s="115"/>
      <c r="BF33" s="115"/>
      <c r="BG33" s="115"/>
      <c r="BJ33" s="74"/>
      <c r="BR33" s="93">
        <f t="shared" si="2"/>
        <v>0</v>
      </c>
    </row>
    <row r="34" s="75" customFormat="1" ht="14.45" customHeight="1" outlineLevel="1" spans="1:70">
      <c r="C34" s="387">
        <v>45014</v>
      </c>
      <c r="D34" s="76" t="s">
        <v>96</v>
      </c>
      <c r="E34" s="113" t="s">
        <v>92</v>
      </c>
      <c r="F34" s="76" t="s">
        <v>96</v>
      </c>
      <c r="G34" s="479"/>
      <c r="H34" s="113" t="s">
        <v>93</v>
      </c>
      <c r="I34" s="113" t="s">
        <v>92</v>
      </c>
      <c r="J34" s="75">
        <v>923400</v>
      </c>
      <c r="K34" s="75">
        <v>0.285</v>
      </c>
      <c r="L34" s="495">
        <f>J34*K34</f>
        <v>263169</v>
      </c>
      <c r="M34" s="117"/>
      <c r="N34" s="115"/>
      <c r="O34" s="115"/>
      <c r="P34" s="74"/>
      <c r="Q34" s="74"/>
      <c r="R34" s="115" t="s">
        <v>88</v>
      </c>
      <c r="S34" s="115" t="s">
        <v>94</v>
      </c>
      <c r="T34" s="496"/>
      <c r="U34" s="496"/>
      <c r="V34" s="496"/>
      <c r="W34" s="115"/>
      <c r="X34" s="118"/>
      <c r="Y34" s="115">
        <v>957600</v>
      </c>
      <c r="Z34" s="120">
        <v>0.285</v>
      </c>
      <c r="AA34" s="119">
        <f>Y34*Z34</f>
        <v>272916</v>
      </c>
      <c r="AB34" s="119"/>
      <c r="AC34" s="119"/>
      <c r="AD34" s="120"/>
      <c r="AE34" s="119"/>
      <c r="AF34" s="119"/>
      <c r="AG34" s="119"/>
      <c r="AH34" s="121"/>
      <c r="AI34" s="74"/>
      <c r="AJ34" s="122"/>
      <c r="AK34" s="128">
        <v>957600</v>
      </c>
      <c r="AL34" s="483">
        <v>0.257</v>
      </c>
      <c r="AM34" s="119">
        <f>AK34*AL34</f>
        <v>246103.2</v>
      </c>
      <c r="AN34" s="119"/>
      <c r="AO34" s="126"/>
      <c r="AP34" s="74"/>
      <c r="AQ34" s="496"/>
      <c r="AR34" s="497"/>
      <c r="AS34" s="497"/>
      <c r="AT34" s="497"/>
      <c r="AU34" s="128"/>
      <c r="AV34" s="128"/>
      <c r="AW34" s="497"/>
      <c r="AX34" s="123">
        <v>957600</v>
      </c>
      <c r="AY34" s="483">
        <v>0.257</v>
      </c>
      <c r="AZ34" s="483">
        <f>AX34*AY34</f>
        <v>246103.2</v>
      </c>
      <c r="BA34" s="483">
        <v>200</v>
      </c>
      <c r="BB34" s="483"/>
      <c r="BC34" s="483">
        <f>BA34-AZ34</f>
        <v>-245903.2</v>
      </c>
      <c r="BD34" s="115"/>
      <c r="BE34" s="115"/>
      <c r="BF34" s="115"/>
      <c r="BG34" s="115"/>
      <c r="BJ34" s="74"/>
      <c r="BR34" s="93">
        <f t="shared" si="2"/>
        <v>0</v>
      </c>
    </row>
    <row r="35" s="75" customFormat="1" ht="14.45" customHeight="1" outlineLevel="1" spans="1:70">
      <c r="C35" s="387"/>
      <c r="D35" s="76"/>
      <c r="E35" s="113"/>
      <c r="F35" s="76"/>
      <c r="G35" s="479"/>
      <c r="H35" s="113"/>
      <c r="I35" s="113"/>
      <c r="L35" s="495"/>
      <c r="M35" s="117"/>
      <c r="N35" s="115"/>
      <c r="O35" s="115"/>
      <c r="P35" s="74"/>
      <c r="Q35" s="74"/>
      <c r="R35" s="115"/>
      <c r="S35" s="115"/>
      <c r="T35" s="496"/>
      <c r="U35" s="496"/>
      <c r="V35" s="496"/>
      <c r="W35" s="115"/>
      <c r="X35" s="118"/>
      <c r="Y35" s="115"/>
      <c r="Z35" s="120"/>
      <c r="AA35" s="119">
        <f>-(AZ34*0.13/1.13)</f>
        <v>-28312.7575221239</v>
      </c>
      <c r="AB35" s="119"/>
      <c r="AC35" s="119"/>
      <c r="AD35" s="120"/>
      <c r="AE35" s="119"/>
      <c r="AF35" s="119"/>
      <c r="AG35" s="119"/>
      <c r="AH35" s="121"/>
      <c r="AI35" s="74"/>
      <c r="AJ35" s="122"/>
      <c r="AK35" s="128"/>
      <c r="AL35" s="483"/>
      <c r="AM35" s="119"/>
      <c r="AN35" s="119"/>
      <c r="AO35" s="126"/>
      <c r="AP35" s="74"/>
      <c r="AQ35" s="496"/>
      <c r="AR35" s="497"/>
      <c r="AS35" s="497"/>
      <c r="AT35" s="497"/>
      <c r="AU35" s="128"/>
      <c r="AV35" s="128"/>
      <c r="AW35" s="497"/>
      <c r="AX35" s="123"/>
      <c r="AY35" s="483"/>
      <c r="AZ35" s="483"/>
      <c r="BA35" s="483"/>
      <c r="BB35" s="483"/>
      <c r="BC35" s="483"/>
      <c r="BD35" s="115"/>
      <c r="BE35" s="115"/>
      <c r="BF35" s="115"/>
      <c r="BG35" s="115"/>
      <c r="BJ35" s="74"/>
      <c r="BR35" s="93">
        <f t="shared" si="2"/>
        <v>0</v>
      </c>
    </row>
    <row r="36" s="75" customFormat="1" ht="14.45" customHeight="1" outlineLevel="1" spans="1:70">
      <c r="C36" s="387">
        <v>45022</v>
      </c>
      <c r="D36" s="76" t="s">
        <v>97</v>
      </c>
      <c r="E36" s="113" t="s">
        <v>92</v>
      </c>
      <c r="F36" s="76" t="s">
        <v>97</v>
      </c>
      <c r="G36" s="479"/>
      <c r="H36" s="113" t="s">
        <v>93</v>
      </c>
      <c r="I36" s="113" t="s">
        <v>92</v>
      </c>
      <c r="J36" s="75">
        <v>923400</v>
      </c>
      <c r="K36" s="75">
        <v>0.285</v>
      </c>
      <c r="L36" s="495">
        <f>J36*K36</f>
        <v>263169</v>
      </c>
      <c r="M36" s="117"/>
      <c r="N36" s="115"/>
      <c r="O36" s="115"/>
      <c r="P36" s="74"/>
      <c r="Q36" s="74"/>
      <c r="R36" s="115" t="s">
        <v>88</v>
      </c>
      <c r="S36" s="115" t="s">
        <v>94</v>
      </c>
      <c r="T36" s="496"/>
      <c r="U36" s="496"/>
      <c r="V36" s="496"/>
      <c r="W36" s="115"/>
      <c r="X36" s="118"/>
      <c r="Y36" s="115">
        <v>955980</v>
      </c>
      <c r="Z36" s="120">
        <v>0.285</v>
      </c>
      <c r="AA36" s="119">
        <f>Y36*Z36</f>
        <v>272454.3</v>
      </c>
      <c r="AB36" s="119"/>
      <c r="AC36" s="119"/>
      <c r="AD36" s="120"/>
      <c r="AE36" s="119"/>
      <c r="AF36" s="119"/>
      <c r="AG36" s="119"/>
      <c r="AH36" s="121"/>
      <c r="AI36" s="74"/>
      <c r="AJ36" s="122"/>
      <c r="AK36" s="128">
        <v>955980</v>
      </c>
      <c r="AL36" s="483">
        <v>0.257</v>
      </c>
      <c r="AM36" s="119">
        <f>AK36*AL36</f>
        <v>245686.86</v>
      </c>
      <c r="AN36" s="119"/>
      <c r="AO36" s="126"/>
      <c r="AP36" s="74"/>
      <c r="AQ36" s="496"/>
      <c r="AR36" s="497"/>
      <c r="AS36" s="497"/>
      <c r="AT36" s="497"/>
      <c r="AU36" s="128"/>
      <c r="AV36" s="128"/>
      <c r="AW36" s="497"/>
      <c r="AX36" s="123">
        <v>955980</v>
      </c>
      <c r="AY36" s="483">
        <v>0.257</v>
      </c>
      <c r="AZ36" s="483">
        <f>AX36*AY36</f>
        <v>245686.86</v>
      </c>
      <c r="BA36" s="483">
        <v>315602.8</v>
      </c>
      <c r="BB36" s="483"/>
      <c r="BC36" s="483">
        <f>BA36-AZ36</f>
        <v>69915.94</v>
      </c>
      <c r="BD36" s="115"/>
      <c r="BE36" s="115"/>
      <c r="BF36" s="115"/>
      <c r="BG36" s="115"/>
      <c r="BJ36" s="74"/>
      <c r="BR36" s="93">
        <f t="shared" si="2"/>
        <v>0</v>
      </c>
    </row>
    <row r="37" s="75" customFormat="1" ht="14.45" customHeight="1" outlineLevel="1" spans="1:70">
      <c r="C37" s="387"/>
      <c r="D37" s="76"/>
      <c r="E37" s="113"/>
      <c r="F37" s="76"/>
      <c r="G37" s="479"/>
      <c r="H37" s="113"/>
      <c r="I37" s="113"/>
      <c r="L37" s="495"/>
      <c r="M37" s="117"/>
      <c r="N37" s="115"/>
      <c r="O37" s="115"/>
      <c r="P37" s="74"/>
      <c r="Q37" s="74"/>
      <c r="R37" s="115"/>
      <c r="S37" s="115"/>
      <c r="T37" s="496"/>
      <c r="U37" s="496"/>
      <c r="V37" s="496"/>
      <c r="W37" s="115"/>
      <c r="X37" s="118"/>
      <c r="Y37" s="115"/>
      <c r="Z37" s="120"/>
      <c r="AA37" s="119">
        <f>-(AZ36*0.13/1.13)</f>
        <v>-28264.86</v>
      </c>
      <c r="AB37" s="119"/>
      <c r="AC37" s="119"/>
      <c r="AD37" s="120"/>
      <c r="AE37" s="119"/>
      <c r="AF37" s="119"/>
      <c r="AG37" s="119"/>
      <c r="AH37" s="121"/>
      <c r="AI37" s="74"/>
      <c r="AJ37" s="122"/>
      <c r="AK37" s="128"/>
      <c r="AL37" s="483"/>
      <c r="AM37" s="119"/>
      <c r="AN37" s="119"/>
      <c r="AO37" s="126"/>
      <c r="AP37" s="74"/>
      <c r="AQ37" s="496"/>
      <c r="AR37" s="497"/>
      <c r="AS37" s="497"/>
      <c r="AT37" s="497"/>
      <c r="AU37" s="128"/>
      <c r="AV37" s="128"/>
      <c r="AW37" s="497"/>
      <c r="AX37" s="123"/>
      <c r="AY37" s="483"/>
      <c r="AZ37" s="483"/>
      <c r="BA37" s="483"/>
      <c r="BB37" s="483"/>
      <c r="BC37" s="483"/>
      <c r="BD37" s="115"/>
      <c r="BE37" s="115"/>
      <c r="BF37" s="115"/>
      <c r="BG37" s="115"/>
      <c r="BJ37" s="74"/>
      <c r="BR37" s="93">
        <f t="shared" si="2"/>
        <v>0</v>
      </c>
    </row>
    <row r="38" s="75" customFormat="1" ht="14.45" customHeight="1" outlineLevel="1" spans="1:70">
      <c r="C38" s="387">
        <v>45030</v>
      </c>
      <c r="D38" s="76" t="s">
        <v>98</v>
      </c>
      <c r="E38" s="113" t="s">
        <v>92</v>
      </c>
      <c r="F38" s="76" t="s">
        <v>98</v>
      </c>
      <c r="G38" s="479"/>
      <c r="H38" s="113" t="s">
        <v>93</v>
      </c>
      <c r="I38" s="113" t="s">
        <v>92</v>
      </c>
      <c r="J38" s="75">
        <v>923400</v>
      </c>
      <c r="K38" s="75">
        <v>0.285</v>
      </c>
      <c r="L38" s="495">
        <f>J38*K38</f>
        <v>263169</v>
      </c>
      <c r="M38" s="117"/>
      <c r="N38" s="115"/>
      <c r="O38" s="115"/>
      <c r="P38" s="74"/>
      <c r="Q38" s="74"/>
      <c r="R38" s="115" t="s">
        <v>88</v>
      </c>
      <c r="S38" s="115" t="s">
        <v>94</v>
      </c>
      <c r="T38" s="496"/>
      <c r="U38" s="496"/>
      <c r="V38" s="496"/>
      <c r="W38" s="115"/>
      <c r="X38" s="118"/>
      <c r="Y38" s="115">
        <v>957600</v>
      </c>
      <c r="Z38" s="120">
        <v>0.285</v>
      </c>
      <c r="AA38" s="119">
        <f>Y38*Z38</f>
        <v>272916</v>
      </c>
      <c r="AB38" s="119"/>
      <c r="AC38" s="119"/>
      <c r="AD38" s="120"/>
      <c r="AE38" s="119"/>
      <c r="AF38" s="119"/>
      <c r="AG38" s="119"/>
      <c r="AH38" s="121"/>
      <c r="AI38" s="74"/>
      <c r="AJ38" s="122"/>
      <c r="AK38" s="128">
        <v>957600</v>
      </c>
      <c r="AL38" s="483">
        <v>0.2577</v>
      </c>
      <c r="AM38" s="119">
        <f>AK38*AL38</f>
        <v>246773.52</v>
      </c>
      <c r="AN38" s="119"/>
      <c r="AO38" s="126"/>
      <c r="AP38" s="74"/>
      <c r="AQ38" s="496"/>
      <c r="AR38" s="497"/>
      <c r="AS38" s="497"/>
      <c r="AT38" s="497"/>
      <c r="AU38" s="128"/>
      <c r="AV38" s="128"/>
      <c r="AW38" s="497"/>
      <c r="AX38" s="123">
        <v>957600</v>
      </c>
      <c r="AY38" s="483">
        <v>0.2577</v>
      </c>
      <c r="AZ38" s="483">
        <f>AX38*AY38</f>
        <v>246773.52</v>
      </c>
      <c r="BA38" s="483">
        <v>246052.1</v>
      </c>
      <c r="BB38" s="483"/>
      <c r="BC38" s="483">
        <f>BA38-AZ38</f>
        <v>-721.419999999984</v>
      </c>
      <c r="BD38" s="115"/>
      <c r="BE38" s="115"/>
      <c r="BF38" s="115"/>
      <c r="BG38" s="115"/>
      <c r="BJ38" s="74"/>
      <c r="BR38" s="93">
        <f t="shared" si="2"/>
        <v>0</v>
      </c>
    </row>
    <row r="39" s="75" customFormat="1" ht="14.45" customHeight="1" outlineLevel="1" spans="1:70">
      <c r="C39" s="387"/>
      <c r="D39" s="76"/>
      <c r="E39" s="113"/>
      <c r="F39" s="76"/>
      <c r="G39" s="479"/>
      <c r="H39" s="113"/>
      <c r="I39" s="113"/>
      <c r="L39" s="495"/>
      <c r="M39" s="117"/>
      <c r="N39" s="115"/>
      <c r="O39" s="115"/>
      <c r="P39" s="74"/>
      <c r="Q39" s="74"/>
      <c r="R39" s="115"/>
      <c r="S39" s="115"/>
      <c r="T39" s="496"/>
      <c r="U39" s="496"/>
      <c r="V39" s="496"/>
      <c r="W39" s="115"/>
      <c r="X39" s="118"/>
      <c r="Y39" s="115"/>
      <c r="Z39" s="120"/>
      <c r="AA39" s="119">
        <f>-(AZ38*0.13/1.13)</f>
        <v>-28389.8739823009</v>
      </c>
      <c r="AB39" s="119"/>
      <c r="AC39" s="119"/>
      <c r="AD39" s="120"/>
      <c r="AE39" s="119"/>
      <c r="AF39" s="119"/>
      <c r="AG39" s="119"/>
      <c r="AH39" s="121"/>
      <c r="AI39" s="74"/>
      <c r="AJ39" s="122"/>
      <c r="AK39" s="128"/>
      <c r="AL39" s="120"/>
      <c r="AM39" s="119"/>
      <c r="AN39" s="119"/>
      <c r="AO39" s="126"/>
      <c r="AP39" s="74"/>
      <c r="AQ39" s="496"/>
      <c r="AR39" s="497"/>
      <c r="AS39" s="497"/>
      <c r="AT39" s="497"/>
      <c r="AU39" s="128"/>
      <c r="AV39" s="128"/>
      <c r="AW39" s="497"/>
      <c r="AX39" s="123"/>
      <c r="AY39" s="483"/>
      <c r="AZ39" s="483"/>
      <c r="BA39" s="483"/>
      <c r="BB39" s="483"/>
      <c r="BC39" s="483"/>
      <c r="BD39" s="115"/>
      <c r="BE39" s="115"/>
      <c r="BF39" s="115"/>
      <c r="BG39" s="115"/>
      <c r="BJ39" s="74"/>
      <c r="BR39" s="93">
        <f t="shared" si="2"/>
        <v>0</v>
      </c>
    </row>
    <row r="40" s="75" customFormat="1" ht="14.45" customHeight="1" outlineLevel="1" spans="1:70">
      <c r="C40" s="387">
        <v>45035</v>
      </c>
      <c r="D40" s="76" t="s">
        <v>99</v>
      </c>
      <c r="E40" s="113"/>
      <c r="F40" s="76" t="s">
        <v>99</v>
      </c>
      <c r="G40" s="479"/>
      <c r="H40" s="113"/>
      <c r="I40" s="113"/>
      <c r="J40" s="117"/>
      <c r="K40" s="117"/>
      <c r="L40" s="117"/>
      <c r="M40" s="117"/>
      <c r="N40" s="115"/>
      <c r="O40" s="115"/>
      <c r="P40" s="74"/>
      <c r="Q40" s="74"/>
      <c r="R40" s="115"/>
      <c r="S40" s="115"/>
      <c r="T40" s="496"/>
      <c r="U40" s="496"/>
      <c r="V40" s="496"/>
      <c r="W40" s="115"/>
      <c r="X40" s="118"/>
      <c r="Y40" s="115"/>
      <c r="Z40" s="119"/>
      <c r="AA40" s="119"/>
      <c r="AB40" s="119"/>
      <c r="AC40" s="119"/>
      <c r="AD40" s="120"/>
      <c r="AE40" s="119"/>
      <c r="AF40" s="119"/>
      <c r="AG40" s="119"/>
      <c r="AH40" s="121"/>
      <c r="AI40" s="74"/>
      <c r="AJ40" s="122"/>
      <c r="AK40" s="128"/>
      <c r="AL40" s="115"/>
      <c r="AM40" s="119"/>
      <c r="AN40" s="119"/>
      <c r="AO40" s="126"/>
      <c r="AP40" s="74"/>
      <c r="AQ40" s="496"/>
      <c r="AR40" s="497"/>
      <c r="AS40" s="497"/>
      <c r="AT40" s="497"/>
      <c r="AU40" s="128"/>
      <c r="AV40" s="128"/>
      <c r="AW40" s="497"/>
      <c r="AX40" s="123"/>
      <c r="AY40" s="483"/>
      <c r="AZ40" s="483"/>
      <c r="BA40" s="483">
        <v>274770.33</v>
      </c>
      <c r="BB40" s="483"/>
      <c r="BC40" s="483">
        <f>BA40-AZ40</f>
        <v>274770.33</v>
      </c>
      <c r="BD40" s="115"/>
      <c r="BE40" s="115"/>
      <c r="BF40" s="115"/>
      <c r="BG40" s="115"/>
      <c r="BJ40" s="74"/>
      <c r="BR40" s="93">
        <f t="shared" si="2"/>
        <v>0</v>
      </c>
    </row>
    <row r="41" s="75" customFormat="1" ht="14.45" customHeight="1" outlineLevel="1" spans="1:70">
      <c r="C41" s="387">
        <v>45063</v>
      </c>
      <c r="D41" s="76" t="s">
        <v>99</v>
      </c>
      <c r="E41" s="113"/>
      <c r="F41" s="76" t="s">
        <v>99</v>
      </c>
      <c r="G41" s="479"/>
      <c r="H41" s="113"/>
      <c r="I41" s="113"/>
      <c r="J41" s="117"/>
      <c r="K41" s="117"/>
      <c r="L41" s="117"/>
      <c r="M41" s="117"/>
      <c r="N41" s="115"/>
      <c r="O41" s="115"/>
      <c r="P41" s="74"/>
      <c r="Q41" s="74"/>
      <c r="R41" s="115"/>
      <c r="S41" s="115"/>
      <c r="T41" s="496"/>
      <c r="U41" s="496"/>
      <c r="V41" s="496"/>
      <c r="W41" s="115"/>
      <c r="X41" s="118"/>
      <c r="Y41" s="115"/>
      <c r="Z41" s="119"/>
      <c r="AA41" s="119"/>
      <c r="AB41" s="119"/>
      <c r="AC41" s="119"/>
      <c r="AD41" s="120"/>
      <c r="AE41" s="119"/>
      <c r="AF41" s="119"/>
      <c r="AG41" s="119"/>
      <c r="AH41" s="121"/>
      <c r="AI41" s="74"/>
      <c r="AJ41" s="122"/>
      <c r="AK41" s="128"/>
      <c r="AL41" s="115"/>
      <c r="AM41" s="119"/>
      <c r="AN41" s="119"/>
      <c r="AO41" s="126"/>
      <c r="AP41" s="74"/>
      <c r="AQ41" s="496"/>
      <c r="AR41" s="497"/>
      <c r="AS41" s="497"/>
      <c r="AT41" s="497"/>
      <c r="AU41" s="128"/>
      <c r="AV41" s="128"/>
      <c r="AW41" s="497"/>
      <c r="AX41" s="123"/>
      <c r="AY41" s="483"/>
      <c r="AZ41" s="483"/>
      <c r="BA41" s="483">
        <v>147125.56</v>
      </c>
      <c r="BB41" s="483"/>
      <c r="BC41" s="483">
        <f>BA41-AZ41</f>
        <v>147125.56</v>
      </c>
      <c r="BD41" s="115"/>
      <c r="BE41" s="115"/>
      <c r="BF41" s="115"/>
      <c r="BG41" s="115"/>
      <c r="BJ41" s="74"/>
      <c r="BR41" s="93">
        <f t="shared" si="2"/>
        <v>0</v>
      </c>
    </row>
    <row r="42" s="418" customFormat="1" ht="14.45" customHeight="1" spans="1:70">
      <c r="A42" s="418">
        <v>1</v>
      </c>
      <c r="C42" s="463" t="s">
        <v>69</v>
      </c>
      <c r="D42" s="502" t="s">
        <v>91</v>
      </c>
      <c r="E42" s="503" t="s">
        <v>92</v>
      </c>
      <c r="F42" s="502" t="s">
        <v>91</v>
      </c>
      <c r="G42" s="504"/>
      <c r="H42" s="503" t="s">
        <v>93</v>
      </c>
      <c r="I42" s="503" t="s">
        <v>92</v>
      </c>
      <c r="J42" s="505">
        <f>AX42</f>
        <v>3825180</v>
      </c>
      <c r="K42" s="505"/>
      <c r="L42" s="505"/>
      <c r="M42" s="505"/>
      <c r="N42" s="506"/>
      <c r="O42" s="506"/>
      <c r="P42" s="74"/>
      <c r="Q42" s="74"/>
      <c r="R42" s="506"/>
      <c r="S42" s="506"/>
      <c r="T42" s="507"/>
      <c r="U42" s="507"/>
      <c r="V42" s="507"/>
      <c r="W42" s="506"/>
      <c r="X42" s="508"/>
      <c r="Y42" s="506"/>
      <c r="Z42" s="509"/>
      <c r="AA42" s="509">
        <f>SUM(AA32:AA41)</f>
        <v>977002.489911504</v>
      </c>
      <c r="AB42" s="509"/>
      <c r="AC42" s="509"/>
      <c r="AD42" s="510"/>
      <c r="AE42" s="509"/>
      <c r="AF42" s="509"/>
      <c r="AG42" s="509"/>
      <c r="AH42" s="511"/>
      <c r="AI42" s="74"/>
      <c r="AJ42" s="472"/>
      <c r="AK42" s="512"/>
      <c r="AL42" s="506"/>
      <c r="AM42" s="509">
        <f>SUM(AM32:AM41)</f>
        <v>983741.58</v>
      </c>
      <c r="AN42" s="509"/>
      <c r="AO42" s="513"/>
      <c r="AP42" s="74"/>
      <c r="AQ42" s="507"/>
      <c r="AR42" s="514"/>
      <c r="AS42" s="514"/>
      <c r="AT42" s="514"/>
      <c r="AU42" s="512"/>
      <c r="AV42" s="512"/>
      <c r="AW42" s="514"/>
      <c r="AX42" s="515">
        <f>SUM(AX32:AX41)</f>
        <v>3825180</v>
      </c>
      <c r="AY42" s="516"/>
      <c r="AZ42" s="516">
        <f>SUM(AZ32:AZ41)</f>
        <v>983741.58</v>
      </c>
      <c r="BA42" s="516">
        <f>SUM(BA32:BA41)</f>
        <v>983750.79</v>
      </c>
      <c r="BB42" s="516"/>
      <c r="BC42" s="493">
        <f>SUM(BC32:BC41)</f>
        <v>9.21000000002095</v>
      </c>
      <c r="BD42" s="506"/>
      <c r="BE42" s="506"/>
      <c r="BF42" s="506"/>
      <c r="BG42" s="506"/>
      <c r="BI42" s="418" t="s">
        <v>60</v>
      </c>
      <c r="BJ42" s="74"/>
    </row>
    <row r="43" s="75" customFormat="1" ht="14.45" customHeight="1" outlineLevel="1" spans="1:70">
      <c r="C43" s="387">
        <v>45127</v>
      </c>
      <c r="D43" s="76" t="s">
        <v>100</v>
      </c>
      <c r="E43" s="113" t="s">
        <v>101</v>
      </c>
      <c r="F43" s="76" t="s">
        <v>100</v>
      </c>
      <c r="G43" s="479"/>
      <c r="H43" s="113" t="s">
        <v>93</v>
      </c>
      <c r="I43" s="113" t="s">
        <v>101</v>
      </c>
      <c r="J43" s="113">
        <v>163.62</v>
      </c>
      <c r="K43" s="113">
        <v>7230</v>
      </c>
      <c r="L43" s="113">
        <f>J43*K43</f>
        <v>1182972.6</v>
      </c>
      <c r="M43" s="113"/>
      <c r="N43" s="115"/>
      <c r="O43" s="115"/>
      <c r="P43" s="74"/>
      <c r="Q43" s="74"/>
      <c r="R43" s="115" t="s">
        <v>88</v>
      </c>
      <c r="S43" s="115"/>
      <c r="T43" s="496"/>
      <c r="U43" s="496"/>
      <c r="V43" s="496"/>
      <c r="W43" s="115"/>
      <c r="X43" s="115"/>
      <c r="Y43" s="483">
        <v>163.62</v>
      </c>
      <c r="Z43" s="119">
        <v>7100</v>
      </c>
      <c r="AA43" s="119">
        <f>Y43*Z43</f>
        <v>1161702</v>
      </c>
      <c r="AB43" s="119"/>
      <c r="AC43" s="119"/>
      <c r="AD43" s="120"/>
      <c r="AE43" s="119"/>
      <c r="AF43" s="119"/>
      <c r="AG43" s="119"/>
      <c r="AH43" s="121"/>
      <c r="AI43" s="74"/>
      <c r="AJ43" s="122"/>
      <c r="AK43" s="123">
        <v>163.62</v>
      </c>
      <c r="AL43" s="483">
        <v>7230</v>
      </c>
      <c r="AM43" s="483">
        <f>AK43*AL43</f>
        <v>1182972.6</v>
      </c>
      <c r="AN43" s="119"/>
      <c r="AO43" s="126"/>
      <c r="AP43" s="74"/>
      <c r="AQ43" s="496"/>
      <c r="AR43" s="497"/>
      <c r="AS43" s="497"/>
      <c r="AT43" s="497"/>
      <c r="AU43" s="128"/>
      <c r="AV43" s="128"/>
      <c r="AW43" s="497"/>
      <c r="AX43" s="123">
        <v>163.62</v>
      </c>
      <c r="AY43" s="483">
        <v>7230</v>
      </c>
      <c r="AZ43" s="483">
        <f>AX43*AY43</f>
        <v>1182972.6</v>
      </c>
      <c r="BA43" s="483">
        <v>0</v>
      </c>
      <c r="BB43" s="483"/>
      <c r="BC43" s="483">
        <f t="shared" ref="BC43:BC49" si="3">BA43-AZ43</f>
        <v>-1182972.6</v>
      </c>
      <c r="BD43" s="115"/>
      <c r="BE43" s="115"/>
      <c r="BF43" s="115"/>
      <c r="BG43" s="115"/>
      <c r="BJ43" s="74"/>
      <c r="BR43" s="93">
        <f t="shared" ref="BR43:BR49" si="4">M43</f>
        <v>0</v>
      </c>
    </row>
    <row r="44" s="75" customFormat="1" ht="14.45" customHeight="1" outlineLevel="1" spans="1:70">
      <c r="C44" s="387">
        <v>45002</v>
      </c>
      <c r="D44" s="76" t="s">
        <v>102</v>
      </c>
      <c r="E44" s="113" t="s">
        <v>103</v>
      </c>
      <c r="F44" s="76" t="s">
        <v>102</v>
      </c>
      <c r="G44" s="479"/>
      <c r="H44" s="113" t="s">
        <v>93</v>
      </c>
      <c r="I44" s="113" t="s">
        <v>103</v>
      </c>
      <c r="J44" s="113">
        <v>79.101</v>
      </c>
      <c r="K44" s="113">
        <v>7230</v>
      </c>
      <c r="L44" s="113">
        <f>J44*K44</f>
        <v>571900.23</v>
      </c>
      <c r="M44" s="113"/>
      <c r="N44" s="115"/>
      <c r="O44" s="115"/>
      <c r="P44" s="74"/>
      <c r="Q44" s="74"/>
      <c r="R44" s="115" t="s">
        <v>88</v>
      </c>
      <c r="S44" s="115"/>
      <c r="T44" s="496"/>
      <c r="U44" s="496"/>
      <c r="V44" s="496"/>
      <c r="W44" s="115"/>
      <c r="X44" s="115"/>
      <c r="Y44" s="483">
        <v>79.101</v>
      </c>
      <c r="Z44" s="119">
        <v>7100</v>
      </c>
      <c r="AA44" s="119">
        <f>Y44*Z44</f>
        <v>561617.1</v>
      </c>
      <c r="AB44" s="119"/>
      <c r="AC44" s="119"/>
      <c r="AD44" s="120"/>
      <c r="AE44" s="119"/>
      <c r="AF44" s="119"/>
      <c r="AG44" s="119"/>
      <c r="AH44" s="121"/>
      <c r="AI44" s="74"/>
      <c r="AJ44" s="122"/>
      <c r="AK44" s="123">
        <v>79.101</v>
      </c>
      <c r="AL44" s="483">
        <v>7230</v>
      </c>
      <c r="AM44" s="483">
        <f>AK44*AL44</f>
        <v>571900.23</v>
      </c>
      <c r="AN44" s="119"/>
      <c r="AO44" s="126"/>
      <c r="AP44" s="74"/>
      <c r="AQ44" s="496"/>
      <c r="AR44" s="497"/>
      <c r="AS44" s="497"/>
      <c r="AT44" s="497"/>
      <c r="AU44" s="128"/>
      <c r="AV44" s="128"/>
      <c r="AW44" s="497"/>
      <c r="AX44" s="123">
        <v>79.101</v>
      </c>
      <c r="AY44" s="483">
        <v>7230</v>
      </c>
      <c r="AZ44" s="483">
        <f>AX44*AY44</f>
        <v>571900.23</v>
      </c>
      <c r="BA44" s="483">
        <v>429000</v>
      </c>
      <c r="BB44" s="483"/>
      <c r="BC44" s="483">
        <f t="shared" si="3"/>
        <v>-142900.23</v>
      </c>
      <c r="BD44" s="115"/>
      <c r="BE44" s="115"/>
      <c r="BF44" s="115"/>
      <c r="BG44" s="115"/>
      <c r="BJ44" s="74"/>
      <c r="BR44" s="93">
        <f t="shared" si="4"/>
        <v>0</v>
      </c>
    </row>
    <row r="45" s="75" customFormat="1" ht="14.45" customHeight="1" outlineLevel="1" spans="1:70">
      <c r="C45" s="387">
        <v>45063</v>
      </c>
      <c r="D45" s="76" t="s">
        <v>104</v>
      </c>
      <c r="E45" s="113" t="s">
        <v>103</v>
      </c>
      <c r="F45" s="76" t="s">
        <v>104</v>
      </c>
      <c r="G45" s="479"/>
      <c r="H45" s="113" t="s">
        <v>93</v>
      </c>
      <c r="I45" s="113" t="s">
        <v>103</v>
      </c>
      <c r="J45" s="113">
        <v>78.501</v>
      </c>
      <c r="K45" s="113">
        <v>9630</v>
      </c>
      <c r="L45" s="113">
        <f>J45*K45</f>
        <v>755964.63</v>
      </c>
      <c r="M45" s="113"/>
      <c r="N45" s="115"/>
      <c r="O45" s="115"/>
      <c r="P45" s="74"/>
      <c r="Q45" s="74"/>
      <c r="R45" s="115" t="s">
        <v>88</v>
      </c>
      <c r="S45" s="115"/>
      <c r="T45" s="496"/>
      <c r="U45" s="496"/>
      <c r="V45" s="496"/>
      <c r="W45" s="115"/>
      <c r="X45" s="115"/>
      <c r="Y45" s="483">
        <v>78.501</v>
      </c>
      <c r="Z45" s="119">
        <v>9500</v>
      </c>
      <c r="AA45" s="119">
        <f>Y45*Z45</f>
        <v>745759.5</v>
      </c>
      <c r="AB45" s="119"/>
      <c r="AC45" s="119"/>
      <c r="AD45" s="120"/>
      <c r="AE45" s="119"/>
      <c r="AF45" s="119"/>
      <c r="AG45" s="119"/>
      <c r="AH45" s="121"/>
      <c r="AI45" s="74"/>
      <c r="AJ45" s="122"/>
      <c r="AK45" s="123">
        <v>78.501</v>
      </c>
      <c r="AL45" s="483">
        <v>9630</v>
      </c>
      <c r="AM45" s="483">
        <f>AK45*AL45</f>
        <v>755964.63</v>
      </c>
      <c r="AN45" s="119"/>
      <c r="AO45" s="126"/>
      <c r="AP45" s="74"/>
      <c r="AQ45" s="496"/>
      <c r="AR45" s="497"/>
      <c r="AS45" s="497"/>
      <c r="AT45" s="497"/>
      <c r="AU45" s="128"/>
      <c r="AV45" s="128"/>
      <c r="AW45" s="497"/>
      <c r="AX45" s="123">
        <v>78.501</v>
      </c>
      <c r="AY45" s="483">
        <v>9630</v>
      </c>
      <c r="AZ45" s="483">
        <f>AX45*AY45</f>
        <v>755964.63</v>
      </c>
      <c r="BA45" s="483">
        <v>210000</v>
      </c>
      <c r="BB45" s="483"/>
      <c r="BC45" s="483">
        <f t="shared" si="3"/>
        <v>-545964.63</v>
      </c>
      <c r="BD45" s="115"/>
      <c r="BE45" s="115"/>
      <c r="BF45" s="115"/>
      <c r="BG45" s="115"/>
      <c r="BJ45" s="74"/>
      <c r="BR45" s="93">
        <f t="shared" si="4"/>
        <v>0</v>
      </c>
    </row>
    <row r="46" s="75" customFormat="1" ht="14.45" customHeight="1" outlineLevel="1" spans="1:70">
      <c r="C46" s="387">
        <v>45090</v>
      </c>
      <c r="D46" s="76" t="s">
        <v>99</v>
      </c>
      <c r="E46" s="113"/>
      <c r="F46" s="76" t="s">
        <v>99</v>
      </c>
      <c r="G46" s="479"/>
      <c r="H46" s="113"/>
      <c r="I46" s="113"/>
      <c r="J46" s="117"/>
      <c r="K46" s="117"/>
      <c r="L46" s="117"/>
      <c r="M46" s="117"/>
      <c r="N46" s="115"/>
      <c r="O46" s="115"/>
      <c r="P46" s="74"/>
      <c r="Q46" s="74"/>
      <c r="R46" s="115"/>
      <c r="S46" s="115"/>
      <c r="T46" s="496"/>
      <c r="U46" s="496"/>
      <c r="V46" s="496"/>
      <c r="W46" s="115"/>
      <c r="X46" s="115"/>
      <c r="Y46" s="115"/>
      <c r="Z46" s="119"/>
      <c r="AA46" s="119"/>
      <c r="AB46" s="119"/>
      <c r="AC46" s="119"/>
      <c r="AD46" s="120"/>
      <c r="AE46" s="119"/>
      <c r="AF46" s="119"/>
      <c r="AG46" s="119"/>
      <c r="AH46" s="121"/>
      <c r="AI46" s="74"/>
      <c r="AJ46" s="122"/>
      <c r="AK46" s="128"/>
      <c r="AL46" s="115"/>
      <c r="AM46" s="119"/>
      <c r="AN46" s="119"/>
      <c r="AO46" s="126"/>
      <c r="AP46" s="74"/>
      <c r="AQ46" s="496"/>
      <c r="AR46" s="497"/>
      <c r="AS46" s="497"/>
      <c r="AT46" s="497"/>
      <c r="AU46" s="128"/>
      <c r="AV46" s="128"/>
      <c r="AW46" s="497"/>
      <c r="AX46" s="123"/>
      <c r="AY46" s="483"/>
      <c r="AZ46" s="483"/>
      <c r="BA46" s="483">
        <v>37698.79</v>
      </c>
      <c r="BB46" s="483"/>
      <c r="BC46" s="483">
        <f t="shared" si="3"/>
        <v>37698.79</v>
      </c>
      <c r="BD46" s="115"/>
      <c r="BE46" s="115"/>
      <c r="BF46" s="115"/>
      <c r="BG46" s="115"/>
      <c r="BJ46" s="74"/>
      <c r="BR46" s="93">
        <f t="shared" si="4"/>
        <v>0</v>
      </c>
    </row>
    <row r="47" s="75" customFormat="1" ht="14.45" customHeight="1" outlineLevel="1" spans="1:70">
      <c r="C47" s="387">
        <v>45121</v>
      </c>
      <c r="D47" s="76" t="s">
        <v>99</v>
      </c>
      <c r="E47" s="113"/>
      <c r="F47" s="76" t="s">
        <v>99</v>
      </c>
      <c r="G47" s="479"/>
      <c r="H47" s="113"/>
      <c r="I47" s="113"/>
      <c r="J47" s="117"/>
      <c r="K47" s="117"/>
      <c r="L47" s="117"/>
      <c r="M47" s="117"/>
      <c r="N47" s="115"/>
      <c r="O47" s="115"/>
      <c r="P47" s="74"/>
      <c r="Q47" s="74"/>
      <c r="R47" s="115"/>
      <c r="S47" s="115"/>
      <c r="T47" s="496"/>
      <c r="U47" s="496"/>
      <c r="V47" s="496"/>
      <c r="W47" s="115"/>
      <c r="X47" s="115"/>
      <c r="Y47" s="115"/>
      <c r="Z47" s="119"/>
      <c r="AA47" s="119"/>
      <c r="AB47" s="119"/>
      <c r="AC47" s="119"/>
      <c r="AD47" s="120"/>
      <c r="AE47" s="119"/>
      <c r="AF47" s="119"/>
      <c r="AG47" s="119"/>
      <c r="AH47" s="121"/>
      <c r="AI47" s="74"/>
      <c r="AJ47" s="122"/>
      <c r="AK47" s="128"/>
      <c r="AL47" s="115"/>
      <c r="AM47" s="119"/>
      <c r="AN47" s="119"/>
      <c r="AO47" s="126"/>
      <c r="AP47" s="74"/>
      <c r="AQ47" s="496"/>
      <c r="AR47" s="497"/>
      <c r="AS47" s="497"/>
      <c r="AT47" s="497"/>
      <c r="AU47" s="128"/>
      <c r="AV47" s="128"/>
      <c r="AW47" s="497"/>
      <c r="AX47" s="123"/>
      <c r="AY47" s="483"/>
      <c r="AZ47" s="483"/>
      <c r="BA47" s="483">
        <v>1182972.6</v>
      </c>
      <c r="BB47" s="483"/>
      <c r="BC47" s="483">
        <f t="shared" si="3"/>
        <v>1182972.6</v>
      </c>
      <c r="BD47" s="115"/>
      <c r="BE47" s="115"/>
      <c r="BF47" s="115"/>
      <c r="BG47" s="115"/>
      <c r="BJ47" s="74"/>
      <c r="BR47" s="93">
        <f t="shared" si="4"/>
        <v>0</v>
      </c>
    </row>
    <row r="48" s="75" customFormat="1" ht="14.45" customHeight="1" outlineLevel="1" spans="1:70">
      <c r="C48" s="387">
        <v>45132</v>
      </c>
      <c r="D48" s="76" t="s">
        <v>99</v>
      </c>
      <c r="E48" s="113"/>
      <c r="F48" s="76" t="s">
        <v>99</v>
      </c>
      <c r="G48" s="479"/>
      <c r="H48" s="113"/>
      <c r="I48" s="113"/>
      <c r="J48" s="117"/>
      <c r="K48" s="117"/>
      <c r="L48" s="117"/>
      <c r="M48" s="117"/>
      <c r="N48" s="115"/>
      <c r="O48" s="115"/>
      <c r="P48" s="74"/>
      <c r="Q48" s="74"/>
      <c r="R48" s="115"/>
      <c r="S48" s="115"/>
      <c r="T48" s="496"/>
      <c r="U48" s="496"/>
      <c r="V48" s="496"/>
      <c r="W48" s="115"/>
      <c r="X48" s="115"/>
      <c r="Y48" s="115"/>
      <c r="Z48" s="119"/>
      <c r="AA48" s="119"/>
      <c r="AB48" s="119"/>
      <c r="AC48" s="119"/>
      <c r="AD48" s="120"/>
      <c r="AE48" s="119"/>
      <c r="AF48" s="119"/>
      <c r="AG48" s="119"/>
      <c r="AH48" s="121"/>
      <c r="AI48" s="74"/>
      <c r="AJ48" s="122"/>
      <c r="AK48" s="128"/>
      <c r="AL48" s="115"/>
      <c r="AM48" s="119"/>
      <c r="AN48" s="119"/>
      <c r="AO48" s="126"/>
      <c r="AP48" s="74"/>
      <c r="AQ48" s="496"/>
      <c r="AR48" s="497"/>
      <c r="AS48" s="497"/>
      <c r="AT48" s="497"/>
      <c r="AU48" s="128"/>
      <c r="AV48" s="128"/>
      <c r="AW48" s="497"/>
      <c r="AX48" s="123"/>
      <c r="AY48" s="483"/>
      <c r="AZ48" s="483"/>
      <c r="BA48" s="483">
        <v>500000</v>
      </c>
      <c r="BB48" s="483"/>
      <c r="BC48" s="483">
        <f t="shared" si="3"/>
        <v>500000</v>
      </c>
      <c r="BD48" s="115"/>
      <c r="BE48" s="115"/>
      <c r="BF48" s="115"/>
      <c r="BG48" s="115"/>
      <c r="BJ48" s="74"/>
      <c r="BR48" s="93">
        <f t="shared" si="4"/>
        <v>0</v>
      </c>
    </row>
    <row r="49" s="75" customFormat="1" ht="14.45" customHeight="1" outlineLevel="1" spans="1:70">
      <c r="C49" s="387">
        <v>45190</v>
      </c>
      <c r="D49" s="76" t="s">
        <v>99</v>
      </c>
      <c r="E49" s="113"/>
      <c r="F49" s="76" t="s">
        <v>99</v>
      </c>
      <c r="G49" s="479"/>
      <c r="H49" s="113"/>
      <c r="I49" s="113"/>
      <c r="J49" s="117"/>
      <c r="K49" s="117"/>
      <c r="L49" s="117"/>
      <c r="M49" s="117"/>
      <c r="N49" s="115"/>
      <c r="O49" s="115"/>
      <c r="P49" s="74"/>
      <c r="Q49" s="74"/>
      <c r="R49" s="115"/>
      <c r="S49" s="115"/>
      <c r="T49" s="496"/>
      <c r="U49" s="496"/>
      <c r="V49" s="496"/>
      <c r="W49" s="115"/>
      <c r="X49" s="115"/>
      <c r="Y49" s="115"/>
      <c r="Z49" s="119"/>
      <c r="AA49" s="119"/>
      <c r="AB49" s="119"/>
      <c r="AC49" s="119"/>
      <c r="AD49" s="120"/>
      <c r="AE49" s="119"/>
      <c r="AF49" s="119"/>
      <c r="AG49" s="119"/>
      <c r="AH49" s="121"/>
      <c r="AI49" s="74"/>
      <c r="AJ49" s="122"/>
      <c r="AK49" s="128"/>
      <c r="AL49" s="115"/>
      <c r="AM49" s="119"/>
      <c r="AN49" s="119"/>
      <c r="AO49" s="126"/>
      <c r="AP49" s="74"/>
      <c r="AQ49" s="496"/>
      <c r="AR49" s="497"/>
      <c r="AS49" s="497"/>
      <c r="AT49" s="497"/>
      <c r="AU49" s="128"/>
      <c r="AV49" s="128"/>
      <c r="AW49" s="497"/>
      <c r="AX49" s="123"/>
      <c r="AY49" s="483"/>
      <c r="AZ49" s="483"/>
      <c r="BA49" s="483">
        <v>151166.07</v>
      </c>
      <c r="BB49" s="483"/>
      <c r="BC49" s="483">
        <f t="shared" si="3"/>
        <v>151166.07</v>
      </c>
      <c r="BD49" s="115"/>
      <c r="BE49" s="115"/>
      <c r="BF49" s="115"/>
      <c r="BG49" s="115"/>
      <c r="BJ49" s="74"/>
      <c r="BR49" s="93">
        <f t="shared" si="4"/>
        <v>0</v>
      </c>
    </row>
    <row r="50" s="418" customFormat="1" ht="14.45" customHeight="1" spans="1:70">
      <c r="A50" s="418">
        <v>2</v>
      </c>
      <c r="C50" s="517" t="s">
        <v>69</v>
      </c>
      <c r="D50" s="502" t="s">
        <v>105</v>
      </c>
      <c r="E50" s="503" t="s">
        <v>106</v>
      </c>
      <c r="F50" s="502" t="s">
        <v>105</v>
      </c>
      <c r="G50" s="504"/>
      <c r="H50" s="503" t="s">
        <v>93</v>
      </c>
      <c r="I50" s="503" t="s">
        <v>106</v>
      </c>
      <c r="J50" s="505">
        <f>SUM(J43:J45)</f>
        <v>321.222</v>
      </c>
      <c r="K50" s="505"/>
      <c r="L50" s="505"/>
      <c r="M50" s="505"/>
      <c r="N50" s="506"/>
      <c r="O50" s="506"/>
      <c r="P50" s="74"/>
      <c r="Q50" s="74"/>
      <c r="R50" s="506"/>
      <c r="S50" s="506"/>
      <c r="T50" s="507"/>
      <c r="U50" s="507"/>
      <c r="V50" s="507"/>
      <c r="W50" s="506"/>
      <c r="X50" s="508"/>
      <c r="Y50" s="506"/>
      <c r="Z50" s="509"/>
      <c r="AA50" s="509"/>
      <c r="AB50" s="509"/>
      <c r="AC50" s="509"/>
      <c r="AD50" s="510"/>
      <c r="AE50" s="509"/>
      <c r="AF50" s="509"/>
      <c r="AG50" s="509"/>
      <c r="AH50" s="511"/>
      <c r="AI50" s="74"/>
      <c r="AJ50" s="472"/>
      <c r="AK50" s="512"/>
      <c r="AL50" s="506"/>
      <c r="AM50" s="509"/>
      <c r="AN50" s="509"/>
      <c r="AO50" s="513"/>
      <c r="AP50" s="74"/>
      <c r="AQ50" s="507"/>
      <c r="AR50" s="514"/>
      <c r="AS50" s="514"/>
      <c r="AT50" s="514"/>
      <c r="AU50" s="512"/>
      <c r="AV50" s="512"/>
      <c r="AW50" s="514"/>
      <c r="AX50" s="515">
        <f>SUM(AX43:AX49)</f>
        <v>321.222</v>
      </c>
      <c r="AY50" s="516"/>
      <c r="AZ50" s="516">
        <f>SUM(AZ43:AZ49)</f>
        <v>2510837.46</v>
      </c>
      <c r="BA50" s="516">
        <f>SUM(BA43:BA49)</f>
        <v>2510837.46</v>
      </c>
      <c r="BB50" s="516"/>
      <c r="BC50" s="516">
        <f>SUM(BC43:BC49)</f>
        <v>1.74622982740402e-10</v>
      </c>
      <c r="BD50" s="506"/>
      <c r="BE50" s="506"/>
      <c r="BF50" s="506"/>
      <c r="BG50" s="506"/>
      <c r="BI50" s="418" t="s">
        <v>60</v>
      </c>
      <c r="BJ50" s="74"/>
    </row>
    <row r="51" s="75" customFormat="1" ht="13.15" customHeight="1" outlineLevel="1" spans="1:70">
      <c r="C51" s="387">
        <v>45257</v>
      </c>
      <c r="D51" s="76" t="s">
        <v>107</v>
      </c>
      <c r="E51" s="113" t="s">
        <v>101</v>
      </c>
      <c r="F51" s="76" t="s">
        <v>107</v>
      </c>
      <c r="G51" s="479"/>
      <c r="H51" s="113" t="s">
        <v>93</v>
      </c>
      <c r="I51" s="113" t="s">
        <v>101</v>
      </c>
      <c r="J51" s="483">
        <v>19.695</v>
      </c>
      <c r="K51" s="124">
        <v>6950</v>
      </c>
      <c r="L51" s="117">
        <f>J51*K51</f>
        <v>136880.25</v>
      </c>
      <c r="M51" s="117"/>
      <c r="N51" s="115"/>
      <c r="O51" s="115"/>
      <c r="P51" s="74"/>
      <c r="Q51" s="74"/>
      <c r="R51" s="115" t="s">
        <v>66</v>
      </c>
      <c r="S51" s="115" t="s">
        <v>108</v>
      </c>
      <c r="T51" s="496">
        <v>45069</v>
      </c>
      <c r="U51" s="496"/>
      <c r="V51" s="496"/>
      <c r="W51" s="115"/>
      <c r="X51" s="115"/>
      <c r="Y51" s="483">
        <v>98.873</v>
      </c>
      <c r="Z51" s="124">
        <v>6760</v>
      </c>
      <c r="AA51" s="125">
        <f>Z51*Y51</f>
        <v>668381.48</v>
      </c>
      <c r="AB51" s="119"/>
      <c r="AC51" s="119"/>
      <c r="AD51" s="120"/>
      <c r="AE51" s="119"/>
      <c r="AF51" s="119"/>
      <c r="AG51" s="119"/>
      <c r="AH51" s="121"/>
      <c r="AI51" s="74"/>
      <c r="AJ51" s="122"/>
      <c r="AK51" s="123">
        <v>19.695</v>
      </c>
      <c r="AL51" s="124">
        <v>6950</v>
      </c>
      <c r="AM51" s="125">
        <f>AL51*AK51</f>
        <v>136880.25</v>
      </c>
      <c r="AN51" s="119"/>
      <c r="AO51" s="126"/>
      <c r="AP51" s="74"/>
      <c r="AQ51" s="496"/>
      <c r="AR51" s="497"/>
      <c r="AS51" s="497"/>
      <c r="AT51" s="497"/>
      <c r="AU51" s="128"/>
      <c r="AV51" s="128"/>
      <c r="AW51" s="497"/>
      <c r="AX51" s="123">
        <v>19.695</v>
      </c>
      <c r="AY51" s="124">
        <v>6950</v>
      </c>
      <c r="AZ51" s="125">
        <f>AY51*AX51</f>
        <v>136880.25</v>
      </c>
      <c r="BA51" s="125">
        <v>0</v>
      </c>
      <c r="BB51" s="125"/>
      <c r="BC51" s="127">
        <f>BA51-AZ51</f>
        <v>-136880.25</v>
      </c>
      <c r="BD51" s="115"/>
      <c r="BE51" s="115"/>
      <c r="BF51" s="115"/>
      <c r="BG51" s="115"/>
      <c r="BJ51" s="74"/>
      <c r="BR51" s="93">
        <f>M51</f>
        <v>0</v>
      </c>
    </row>
    <row r="52" s="75" customFormat="1" ht="13.15" customHeight="1" outlineLevel="1" spans="1:70">
      <c r="C52" s="387">
        <v>45282</v>
      </c>
      <c r="D52" s="76" t="s">
        <v>109</v>
      </c>
      <c r="E52" s="113" t="s">
        <v>101</v>
      </c>
      <c r="F52" s="76" t="s">
        <v>109</v>
      </c>
      <c r="G52" s="479"/>
      <c r="H52" s="113" t="s">
        <v>93</v>
      </c>
      <c r="I52" s="113" t="s">
        <v>101</v>
      </c>
      <c r="J52" s="483">
        <v>72.467</v>
      </c>
      <c r="K52" s="124">
        <v>6950</v>
      </c>
      <c r="L52" s="117">
        <f>J52*K52</f>
        <v>503645.65</v>
      </c>
      <c r="M52" s="117"/>
      <c r="N52" s="115"/>
      <c r="O52" s="115"/>
      <c r="P52" s="74"/>
      <c r="Q52" s="74"/>
      <c r="R52" s="115"/>
      <c r="S52" s="115"/>
      <c r="T52" s="496"/>
      <c r="U52" s="496"/>
      <c r="V52" s="496"/>
      <c r="W52" s="115"/>
      <c r="X52" s="115"/>
      <c r="Y52" s="483"/>
      <c r="Z52" s="124"/>
      <c r="AA52" s="125"/>
      <c r="AB52" s="119"/>
      <c r="AC52" s="119"/>
      <c r="AD52" s="120"/>
      <c r="AE52" s="119"/>
      <c r="AF52" s="119"/>
      <c r="AG52" s="119"/>
      <c r="AH52" s="121"/>
      <c r="AI52" s="74"/>
      <c r="AJ52" s="122"/>
      <c r="AK52" s="123">
        <v>72.467</v>
      </c>
      <c r="AL52" s="124">
        <f>AM52/AK52</f>
        <v>6950</v>
      </c>
      <c r="AM52" s="125">
        <v>503645.65</v>
      </c>
      <c r="AN52" s="119"/>
      <c r="AO52" s="126"/>
      <c r="AP52" s="74"/>
      <c r="AQ52" s="496"/>
      <c r="AR52" s="497"/>
      <c r="AS52" s="497"/>
      <c r="AT52" s="497"/>
      <c r="AU52" s="128"/>
      <c r="AV52" s="128"/>
      <c r="AW52" s="497"/>
      <c r="AX52" s="123">
        <v>72.467</v>
      </c>
      <c r="AY52" s="124">
        <f>AZ52/AX52</f>
        <v>6950</v>
      </c>
      <c r="AZ52" s="125">
        <v>503645.65</v>
      </c>
      <c r="BA52" s="125">
        <v>202800</v>
      </c>
      <c r="BB52" s="125"/>
      <c r="BC52" s="127">
        <f>BA52-AZ52</f>
        <v>-300845.65</v>
      </c>
      <c r="BD52" s="115"/>
      <c r="BE52" s="115"/>
      <c r="BF52" s="115"/>
      <c r="BG52" s="115"/>
      <c r="BJ52" s="74"/>
      <c r="BR52" s="93">
        <f>M52</f>
        <v>0</v>
      </c>
    </row>
    <row r="53" s="75" customFormat="1" ht="13.15" customHeight="1" outlineLevel="1" spans="1:70">
      <c r="C53" s="387">
        <v>45370</v>
      </c>
      <c r="D53" s="76" t="s">
        <v>110</v>
      </c>
      <c r="E53" s="113" t="s">
        <v>111</v>
      </c>
      <c r="F53" s="76" t="s">
        <v>110</v>
      </c>
      <c r="G53" s="479"/>
      <c r="H53" s="113" t="s">
        <v>93</v>
      </c>
      <c r="I53" s="113" t="s">
        <v>111</v>
      </c>
      <c r="J53" s="483">
        <v>6.711</v>
      </c>
      <c r="K53" s="124">
        <v>8500</v>
      </c>
      <c r="L53" s="117">
        <f>J53*K53</f>
        <v>57043.5</v>
      </c>
      <c r="M53" s="117"/>
      <c r="N53" s="115"/>
      <c r="O53" s="115"/>
      <c r="P53" s="74"/>
      <c r="Q53" s="74"/>
      <c r="R53" s="115"/>
      <c r="S53" s="115"/>
      <c r="T53" s="496"/>
      <c r="U53" s="496"/>
      <c r="V53" s="496"/>
      <c r="W53" s="115"/>
      <c r="X53" s="115"/>
      <c r="Y53" s="483"/>
      <c r="Z53" s="124"/>
      <c r="AA53" s="125"/>
      <c r="AB53" s="119"/>
      <c r="AC53" s="119"/>
      <c r="AD53" s="120"/>
      <c r="AE53" s="119"/>
      <c r="AF53" s="119"/>
      <c r="AG53" s="119"/>
      <c r="AH53" s="121"/>
      <c r="AI53" s="74"/>
      <c r="AJ53" s="122"/>
      <c r="AK53" s="123">
        <v>6.711</v>
      </c>
      <c r="AL53" s="124">
        <v>8500</v>
      </c>
      <c r="AM53" s="125">
        <f>AL53*AK53</f>
        <v>57043.5</v>
      </c>
      <c r="AN53" s="119"/>
      <c r="AO53" s="126"/>
      <c r="AP53" s="74"/>
      <c r="AQ53" s="496"/>
      <c r="AR53" s="497"/>
      <c r="AS53" s="497"/>
      <c r="AT53" s="497"/>
      <c r="AU53" s="128"/>
      <c r="AV53" s="128"/>
      <c r="AW53" s="497"/>
      <c r="AX53" s="123">
        <v>6.711</v>
      </c>
      <c r="AY53" s="124">
        <v>8500</v>
      </c>
      <c r="AZ53" s="125">
        <f>AY53*AX53</f>
        <v>57043.5</v>
      </c>
      <c r="BA53" s="125">
        <v>202800</v>
      </c>
      <c r="BB53" s="125"/>
      <c r="BC53" s="127">
        <f>BA53-AZ53</f>
        <v>145756.5</v>
      </c>
      <c r="BD53" s="115"/>
      <c r="BE53" s="115"/>
      <c r="BF53" s="115"/>
      <c r="BG53" s="115"/>
      <c r="BJ53" s="74"/>
      <c r="BR53" s="93">
        <f>M53</f>
        <v>0</v>
      </c>
    </row>
    <row r="54" s="75" customFormat="1" ht="13.15" customHeight="1" outlineLevel="1" spans="1:70">
      <c r="C54" s="387">
        <v>45148</v>
      </c>
      <c r="D54" s="76" t="s">
        <v>99</v>
      </c>
      <c r="E54" s="113"/>
      <c r="F54" s="76" t="s">
        <v>99</v>
      </c>
      <c r="G54" s="479"/>
      <c r="H54" s="113"/>
      <c r="I54" s="113"/>
      <c r="J54" s="117"/>
      <c r="K54" s="117"/>
      <c r="L54" s="117"/>
      <c r="M54" s="117"/>
      <c r="N54" s="115"/>
      <c r="O54" s="115"/>
      <c r="P54" s="74"/>
      <c r="Q54" s="74"/>
      <c r="R54" s="115"/>
      <c r="S54" s="115"/>
      <c r="T54" s="496"/>
      <c r="U54" s="496"/>
      <c r="V54" s="496"/>
      <c r="W54" s="115"/>
      <c r="X54" s="115"/>
      <c r="Y54" s="115"/>
      <c r="Z54" s="119"/>
      <c r="AA54" s="119"/>
      <c r="AB54" s="119"/>
      <c r="AC54" s="119"/>
      <c r="AD54" s="120"/>
      <c r="AE54" s="119"/>
      <c r="AF54" s="119"/>
      <c r="AG54" s="119"/>
      <c r="AH54" s="121"/>
      <c r="AI54" s="74"/>
      <c r="AJ54" s="122"/>
      <c r="AK54" s="128"/>
      <c r="AL54" s="115"/>
      <c r="AM54" s="119"/>
      <c r="AN54" s="119"/>
      <c r="AO54" s="126"/>
      <c r="AP54" s="74"/>
      <c r="AQ54" s="496"/>
      <c r="AR54" s="497"/>
      <c r="AS54" s="497"/>
      <c r="AT54" s="497"/>
      <c r="AU54" s="128"/>
      <c r="AV54" s="128"/>
      <c r="AW54" s="497"/>
      <c r="AX54" s="123"/>
      <c r="AY54" s="124"/>
      <c r="AZ54" s="125"/>
      <c r="BA54" s="125">
        <v>270866.44</v>
      </c>
      <c r="BB54" s="125"/>
      <c r="BC54" s="127">
        <f>BA54-AZ54</f>
        <v>270866.44</v>
      </c>
      <c r="BD54" s="115"/>
      <c r="BE54" s="115"/>
      <c r="BF54" s="115"/>
      <c r="BG54" s="115"/>
      <c r="BJ54" s="74"/>
      <c r="BR54" s="93">
        <f>M54</f>
        <v>0</v>
      </c>
    </row>
    <row r="55" s="75" customFormat="1" ht="13.15" customHeight="1" outlineLevel="1" spans="1:70">
      <c r="C55" s="387">
        <v>45471</v>
      </c>
      <c r="D55" s="76" t="s">
        <v>99</v>
      </c>
      <c r="E55" s="113"/>
      <c r="F55" s="76" t="s">
        <v>99</v>
      </c>
      <c r="G55" s="479"/>
      <c r="H55" s="113"/>
      <c r="I55" s="113"/>
      <c r="J55" s="117"/>
      <c r="K55" s="117"/>
      <c r="L55" s="117"/>
      <c r="M55" s="117"/>
      <c r="N55" s="115"/>
      <c r="O55" s="115"/>
      <c r="P55" s="74"/>
      <c r="Q55" s="74"/>
      <c r="R55" s="115"/>
      <c r="S55" s="115"/>
      <c r="T55" s="496"/>
      <c r="U55" s="496"/>
      <c r="V55" s="496"/>
      <c r="W55" s="115"/>
      <c r="X55" s="115"/>
      <c r="Y55" s="115"/>
      <c r="Z55" s="119"/>
      <c r="AA55" s="119"/>
      <c r="AB55" s="119"/>
      <c r="AC55" s="119"/>
      <c r="AD55" s="120"/>
      <c r="AE55" s="119"/>
      <c r="AF55" s="119"/>
      <c r="AG55" s="119"/>
      <c r="AH55" s="121"/>
      <c r="AI55" s="74"/>
      <c r="AJ55" s="122"/>
      <c r="AK55" s="128"/>
      <c r="AL55" s="115"/>
      <c r="AM55" s="119"/>
      <c r="AN55" s="119"/>
      <c r="AO55" s="126"/>
      <c r="AP55" s="74"/>
      <c r="AQ55" s="496"/>
      <c r="AR55" s="497"/>
      <c r="AS55" s="497"/>
      <c r="AT55" s="497"/>
      <c r="AU55" s="128"/>
      <c r="AV55" s="128"/>
      <c r="AW55" s="497"/>
      <c r="AX55" s="123"/>
      <c r="AY55" s="124"/>
      <c r="AZ55" s="125"/>
      <c r="BA55" s="518">
        <v>27560.73</v>
      </c>
      <c r="BB55" s="125"/>
      <c r="BC55" s="127">
        <f>BA55-AZ55</f>
        <v>27560.73</v>
      </c>
      <c r="BD55" s="115"/>
      <c r="BE55" s="115"/>
      <c r="BF55" s="115"/>
      <c r="BG55" s="115"/>
      <c r="BJ55" s="74"/>
      <c r="BR55" s="93">
        <f>M55</f>
        <v>0</v>
      </c>
    </row>
    <row r="56" s="151" customFormat="1" ht="14.45" customHeight="1" spans="1:70">
      <c r="A56" s="151">
        <v>3</v>
      </c>
      <c r="C56" s="463" t="s">
        <v>69</v>
      </c>
      <c r="D56" s="79" t="s">
        <v>112</v>
      </c>
      <c r="E56" s="116" t="s">
        <v>113</v>
      </c>
      <c r="F56" s="79" t="s">
        <v>112</v>
      </c>
      <c r="G56" s="486"/>
      <c r="H56" s="116" t="s">
        <v>93</v>
      </c>
      <c r="I56" s="116" t="s">
        <v>113</v>
      </c>
      <c r="J56" s="505">
        <f>AX56</f>
        <v>98.873</v>
      </c>
      <c r="K56" s="466"/>
      <c r="L56" s="466"/>
      <c r="M56" s="466"/>
      <c r="N56" s="464"/>
      <c r="O56" s="464"/>
      <c r="P56" s="74"/>
      <c r="Q56" s="74"/>
      <c r="R56" s="464"/>
      <c r="S56" s="464"/>
      <c r="T56" s="467"/>
      <c r="U56" s="467"/>
      <c r="V56" s="467"/>
      <c r="W56" s="464"/>
      <c r="X56" s="468"/>
      <c r="Y56" s="476">
        <f>SUM(Y51:Y55)</f>
        <v>98.873</v>
      </c>
      <c r="Z56" s="469"/>
      <c r="AA56" s="469"/>
      <c r="AB56" s="469"/>
      <c r="AC56" s="469"/>
      <c r="AD56" s="470"/>
      <c r="AE56" s="469"/>
      <c r="AF56" s="469"/>
      <c r="AG56" s="469"/>
      <c r="AH56" s="471"/>
      <c r="AI56" s="74"/>
      <c r="AJ56" s="472"/>
      <c r="AK56" s="476">
        <f>SUM(AK51:AK55)</f>
        <v>98.873</v>
      </c>
      <c r="AL56" s="464"/>
      <c r="AM56" s="469"/>
      <c r="AN56" s="469"/>
      <c r="AO56" s="474"/>
      <c r="AP56" s="74"/>
      <c r="AQ56" s="467"/>
      <c r="AR56" s="475"/>
      <c r="AS56" s="475"/>
      <c r="AT56" s="475"/>
      <c r="AU56" s="473"/>
      <c r="AV56" s="473"/>
      <c r="AW56" s="475"/>
      <c r="AX56" s="519">
        <f>SUM(AX51:AX55)</f>
        <v>98.873</v>
      </c>
      <c r="AY56" s="520"/>
      <c r="AZ56" s="521">
        <f>SUM(AZ51:AZ55)</f>
        <v>697569.4</v>
      </c>
      <c r="BA56" s="521">
        <f>SUM(BA51:BA55)</f>
        <v>704027.17</v>
      </c>
      <c r="BB56" s="521"/>
      <c r="BC56" s="477">
        <f>SUM(BC51,BC52,BC53,BC54,BC55)</f>
        <v>6457.76999999998</v>
      </c>
      <c r="BD56" s="464"/>
      <c r="BE56" s="464"/>
      <c r="BF56" s="464"/>
      <c r="BG56" s="464"/>
      <c r="BI56" s="418" t="s">
        <v>60</v>
      </c>
      <c r="BJ56" s="74"/>
    </row>
    <row r="57" s="75" customFormat="1" ht="14.45" customHeight="1" outlineLevel="1" spans="1:70">
      <c r="C57" s="387"/>
      <c r="D57" s="76"/>
      <c r="E57" s="113"/>
      <c r="F57" s="76"/>
      <c r="G57" s="479"/>
      <c r="H57" s="116" t="s">
        <v>93</v>
      </c>
      <c r="I57" s="113"/>
      <c r="J57" s="117"/>
      <c r="K57" s="117"/>
      <c r="L57" s="117"/>
      <c r="M57" s="117"/>
      <c r="N57" s="115"/>
      <c r="O57" s="115"/>
      <c r="P57" s="74"/>
      <c r="Q57" s="74"/>
      <c r="R57" s="115"/>
      <c r="S57" s="115"/>
      <c r="T57" s="496"/>
      <c r="U57" s="496"/>
      <c r="V57" s="496"/>
      <c r="W57" s="115"/>
      <c r="X57" s="115"/>
      <c r="Y57" s="115"/>
      <c r="Z57" s="119"/>
      <c r="AA57" s="119"/>
      <c r="AB57" s="119"/>
      <c r="AC57" s="119"/>
      <c r="AD57" s="120"/>
      <c r="AE57" s="119"/>
      <c r="AF57" s="119"/>
      <c r="AG57" s="119"/>
      <c r="AH57" s="121"/>
      <c r="AI57" s="74"/>
      <c r="AJ57" s="122"/>
      <c r="AK57" s="128"/>
      <c r="AL57" s="115"/>
      <c r="AM57" s="119"/>
      <c r="AN57" s="119"/>
      <c r="AO57" s="126"/>
      <c r="AP57" s="74"/>
      <c r="AQ57" s="496"/>
      <c r="AR57" s="497"/>
      <c r="AS57" s="497"/>
      <c r="AT57" s="497"/>
      <c r="AU57" s="128"/>
      <c r="AV57" s="128"/>
      <c r="AW57" s="497"/>
      <c r="AX57" s="123"/>
      <c r="AY57" s="124"/>
      <c r="AZ57" s="125"/>
      <c r="BA57" s="125"/>
      <c r="BB57" s="125"/>
      <c r="BC57" s="127"/>
      <c r="BD57" s="115"/>
      <c r="BE57" s="115"/>
      <c r="BF57" s="115"/>
      <c r="BG57" s="115"/>
      <c r="BJ57" s="74"/>
      <c r="BR57" s="93">
        <f t="shared" ref="BR57:BR62" si="5">M57</f>
        <v>0</v>
      </c>
    </row>
    <row r="58" s="75" customFormat="1" ht="14.45" customHeight="1" outlineLevel="1" spans="1:70">
      <c r="C58" s="387">
        <v>45215</v>
      </c>
      <c r="D58" s="76" t="s">
        <v>114</v>
      </c>
      <c r="E58" s="113" t="s">
        <v>115</v>
      </c>
      <c r="F58" s="76" t="s">
        <v>114</v>
      </c>
      <c r="G58" s="479"/>
      <c r="H58" s="116" t="s">
        <v>93</v>
      </c>
      <c r="I58" s="113" t="s">
        <v>115</v>
      </c>
      <c r="J58" s="117">
        <v>25</v>
      </c>
      <c r="K58" s="117">
        <v>6760</v>
      </c>
      <c r="L58" s="117">
        <f>J58*K58</f>
        <v>169000</v>
      </c>
      <c r="M58" s="117"/>
      <c r="N58" s="115"/>
      <c r="O58" s="115"/>
      <c r="P58" s="74"/>
      <c r="Q58" s="74"/>
      <c r="R58" s="115" t="s">
        <v>66</v>
      </c>
      <c r="S58" s="115" t="s">
        <v>108</v>
      </c>
      <c r="T58" s="496">
        <v>45069</v>
      </c>
      <c r="U58" s="496"/>
      <c r="V58" s="496"/>
      <c r="W58" s="115"/>
      <c r="X58" s="115"/>
      <c r="Y58" s="115">
        <v>21.87</v>
      </c>
      <c r="Z58" s="119">
        <v>6760</v>
      </c>
      <c r="AA58" s="125">
        <f>Z58*Y58</f>
        <v>147841.2</v>
      </c>
      <c r="AB58" s="119"/>
      <c r="AC58" s="119"/>
      <c r="AD58" s="120"/>
      <c r="AE58" s="119"/>
      <c r="AF58" s="119"/>
      <c r="AG58" s="119"/>
      <c r="AH58" s="121"/>
      <c r="AI58" s="74"/>
      <c r="AJ58" s="122"/>
      <c r="AK58" s="123">
        <v>21</v>
      </c>
      <c r="AL58" s="124">
        <v>6920</v>
      </c>
      <c r="AM58" s="125">
        <f>AL58*AK58</f>
        <v>145320</v>
      </c>
      <c r="AN58" s="119"/>
      <c r="AO58" s="126"/>
      <c r="AP58" s="74"/>
      <c r="AQ58" s="496"/>
      <c r="AR58" s="497"/>
      <c r="AS58" s="497"/>
      <c r="AT58" s="497"/>
      <c r="AU58" s="128"/>
      <c r="AV58" s="128"/>
      <c r="AW58" s="497"/>
      <c r="AX58" s="123">
        <v>21</v>
      </c>
      <c r="AY58" s="124">
        <v>6920</v>
      </c>
      <c r="AZ58" s="125">
        <f>AY58*AX58</f>
        <v>145320</v>
      </c>
      <c r="BA58" s="125">
        <v>0</v>
      </c>
      <c r="BB58" s="125"/>
      <c r="BC58" s="127">
        <f>BA58-AZ58</f>
        <v>-145320</v>
      </c>
      <c r="BD58" s="115"/>
      <c r="BE58" s="115"/>
      <c r="BF58" s="115"/>
      <c r="BG58" s="115"/>
      <c r="BJ58" s="74"/>
      <c r="BR58" s="93">
        <f t="shared" si="5"/>
        <v>0</v>
      </c>
    </row>
    <row r="59" s="75" customFormat="1" ht="14.45" customHeight="1" outlineLevel="1" spans="1:70">
      <c r="C59" s="387">
        <v>45257</v>
      </c>
      <c r="D59" s="76" t="s">
        <v>116</v>
      </c>
      <c r="E59" s="113"/>
      <c r="F59" s="76" t="s">
        <v>116</v>
      </c>
      <c r="G59" s="479"/>
      <c r="H59" s="116" t="s">
        <v>93</v>
      </c>
      <c r="I59" s="113"/>
      <c r="J59" s="117"/>
      <c r="K59" s="117"/>
      <c r="L59" s="117"/>
      <c r="M59" s="117"/>
      <c r="N59" s="115"/>
      <c r="O59" s="115"/>
      <c r="P59" s="74"/>
      <c r="Q59" s="74"/>
      <c r="R59" s="115"/>
      <c r="S59" s="115"/>
      <c r="T59" s="496"/>
      <c r="U59" s="496"/>
      <c r="V59" s="496"/>
      <c r="W59" s="115"/>
      <c r="X59" s="115"/>
      <c r="Y59" s="115"/>
      <c r="Z59" s="119"/>
      <c r="AA59" s="119"/>
      <c r="AB59" s="119"/>
      <c r="AC59" s="119"/>
      <c r="AD59" s="120"/>
      <c r="AE59" s="119"/>
      <c r="AF59" s="119"/>
      <c r="AG59" s="119"/>
      <c r="AH59" s="121"/>
      <c r="AI59" s="74"/>
      <c r="AJ59" s="122"/>
      <c r="AK59" s="123">
        <v>0.87</v>
      </c>
      <c r="AL59" s="124">
        <v>6920</v>
      </c>
      <c r="AM59" s="125">
        <f>AL59*AK59</f>
        <v>6020.4</v>
      </c>
      <c r="AN59" s="119"/>
      <c r="AO59" s="126"/>
      <c r="AP59" s="74"/>
      <c r="AQ59" s="496"/>
      <c r="AR59" s="497"/>
      <c r="AS59" s="497"/>
      <c r="AT59" s="497"/>
      <c r="AU59" s="128"/>
      <c r="AV59" s="128"/>
      <c r="AW59" s="497"/>
      <c r="AX59" s="123">
        <v>0.87</v>
      </c>
      <c r="AY59" s="124">
        <v>6920</v>
      </c>
      <c r="AZ59" s="125">
        <f>AY59*AX59</f>
        <v>6020.4</v>
      </c>
      <c r="BA59" s="125">
        <v>50700</v>
      </c>
      <c r="BB59" s="125"/>
      <c r="BC59" s="127">
        <f>BA59-AZ59</f>
        <v>44679.6</v>
      </c>
      <c r="BD59" s="115"/>
      <c r="BE59" s="115"/>
      <c r="BF59" s="115"/>
      <c r="BG59" s="115"/>
      <c r="BJ59" s="74"/>
      <c r="BR59" s="93">
        <f t="shared" si="5"/>
        <v>0</v>
      </c>
    </row>
    <row r="60" s="75" customFormat="1" ht="14.45" customHeight="1" outlineLevel="1" spans="1:70">
      <c r="C60" s="387">
        <v>45142</v>
      </c>
      <c r="D60" s="76" t="s">
        <v>99</v>
      </c>
      <c r="E60" s="113"/>
      <c r="F60" s="76" t="s">
        <v>99</v>
      </c>
      <c r="G60" s="479"/>
      <c r="H60" s="116" t="s">
        <v>93</v>
      </c>
      <c r="I60" s="113"/>
      <c r="J60" s="117"/>
      <c r="K60" s="117"/>
      <c r="L60" s="117"/>
      <c r="M60" s="117"/>
      <c r="N60" s="115"/>
      <c r="O60" s="115"/>
      <c r="P60" s="74"/>
      <c r="Q60" s="74"/>
      <c r="R60" s="115"/>
      <c r="S60" s="115"/>
      <c r="T60" s="496"/>
      <c r="U60" s="496"/>
      <c r="V60" s="496"/>
      <c r="W60" s="115"/>
      <c r="X60" s="115"/>
      <c r="Y60" s="115"/>
      <c r="Z60" s="119"/>
      <c r="AA60" s="119"/>
      <c r="AB60" s="119"/>
      <c r="AC60" s="119"/>
      <c r="AD60" s="120"/>
      <c r="AE60" s="119"/>
      <c r="AF60" s="119"/>
      <c r="AG60" s="119"/>
      <c r="AH60" s="121"/>
      <c r="AI60" s="74"/>
      <c r="AJ60" s="122"/>
      <c r="AK60" s="128"/>
      <c r="AL60" s="115"/>
      <c r="AM60" s="119"/>
      <c r="AN60" s="119"/>
      <c r="AO60" s="126"/>
      <c r="AP60" s="74"/>
      <c r="AQ60" s="496"/>
      <c r="AR60" s="497"/>
      <c r="AS60" s="497"/>
      <c r="AT60" s="497"/>
      <c r="AU60" s="128"/>
      <c r="AV60" s="128"/>
      <c r="AW60" s="497"/>
      <c r="AX60" s="123"/>
      <c r="AY60" s="124"/>
      <c r="AZ60" s="125"/>
      <c r="BA60" s="125">
        <v>50700</v>
      </c>
      <c r="BB60" s="125"/>
      <c r="BC60" s="127">
        <f>BA60-AZ60</f>
        <v>50700</v>
      </c>
      <c r="BD60" s="115"/>
      <c r="BE60" s="115"/>
      <c r="BF60" s="115"/>
      <c r="BG60" s="115"/>
      <c r="BJ60" s="74"/>
      <c r="BR60" s="93">
        <f t="shared" si="5"/>
        <v>0</v>
      </c>
    </row>
    <row r="61" s="75" customFormat="1" ht="14.45" customHeight="1" outlineLevel="1" spans="1:70">
      <c r="C61" s="387">
        <v>45148</v>
      </c>
      <c r="D61" s="76" t="s">
        <v>99</v>
      </c>
      <c r="E61" s="113"/>
      <c r="F61" s="76" t="s">
        <v>99</v>
      </c>
      <c r="G61" s="479"/>
      <c r="H61" s="116" t="s">
        <v>93</v>
      </c>
      <c r="I61" s="113"/>
      <c r="J61" s="117"/>
      <c r="K61" s="117"/>
      <c r="L61" s="117"/>
      <c r="M61" s="117"/>
      <c r="N61" s="115"/>
      <c r="O61" s="115"/>
      <c r="P61" s="74"/>
      <c r="Q61" s="74"/>
      <c r="R61" s="115"/>
      <c r="S61" s="115"/>
      <c r="T61" s="496"/>
      <c r="U61" s="496"/>
      <c r="V61" s="496"/>
      <c r="W61" s="115"/>
      <c r="X61" s="115"/>
      <c r="Y61" s="115"/>
      <c r="Z61" s="119"/>
      <c r="AA61" s="119"/>
      <c r="AB61" s="119"/>
      <c r="AC61" s="119"/>
      <c r="AD61" s="120"/>
      <c r="AE61" s="119"/>
      <c r="AF61" s="119"/>
      <c r="AG61" s="119"/>
      <c r="AH61" s="121"/>
      <c r="AI61" s="74"/>
      <c r="AJ61" s="122"/>
      <c r="AK61" s="128"/>
      <c r="AL61" s="115"/>
      <c r="AM61" s="119"/>
      <c r="AN61" s="119"/>
      <c r="AO61" s="126"/>
      <c r="AP61" s="74"/>
      <c r="AQ61" s="496"/>
      <c r="AR61" s="497"/>
      <c r="AS61" s="497"/>
      <c r="AT61" s="497"/>
      <c r="AU61" s="128"/>
      <c r="AV61" s="128"/>
      <c r="AW61" s="497"/>
      <c r="AX61" s="123"/>
      <c r="AY61" s="124"/>
      <c r="AZ61" s="125"/>
      <c r="BA61" s="125">
        <v>46495.28</v>
      </c>
      <c r="BB61" s="125"/>
      <c r="BC61" s="127">
        <f>BA61-AZ61</f>
        <v>46495.28</v>
      </c>
      <c r="BD61" s="115"/>
      <c r="BE61" s="115"/>
      <c r="BF61" s="115"/>
      <c r="BG61" s="115"/>
      <c r="BJ61" s="74"/>
      <c r="BR61" s="93">
        <f t="shared" si="5"/>
        <v>0</v>
      </c>
    </row>
    <row r="62" s="75" customFormat="1" ht="14.45" customHeight="1" outlineLevel="1" spans="1:70">
      <c r="C62" s="387">
        <v>45471</v>
      </c>
      <c r="D62" s="76" t="s">
        <v>99</v>
      </c>
      <c r="E62" s="113"/>
      <c r="F62" s="76" t="s">
        <v>99</v>
      </c>
      <c r="G62" s="479"/>
      <c r="H62" s="116" t="s">
        <v>93</v>
      </c>
      <c r="I62" s="113"/>
      <c r="J62" s="117"/>
      <c r="K62" s="117"/>
      <c r="L62" s="117"/>
      <c r="M62" s="117"/>
      <c r="N62" s="115"/>
      <c r="O62" s="115"/>
      <c r="P62" s="74"/>
      <c r="Q62" s="74"/>
      <c r="R62" s="115"/>
      <c r="S62" s="115"/>
      <c r="T62" s="496"/>
      <c r="U62" s="496"/>
      <c r="V62" s="496"/>
      <c r="W62" s="115"/>
      <c r="X62" s="115"/>
      <c r="Y62" s="115"/>
      <c r="Z62" s="119"/>
      <c r="AA62" s="119"/>
      <c r="AB62" s="119"/>
      <c r="AC62" s="119"/>
      <c r="AD62" s="120"/>
      <c r="AE62" s="119"/>
      <c r="AF62" s="119"/>
      <c r="AG62" s="119"/>
      <c r="AH62" s="121"/>
      <c r="AI62" s="74"/>
      <c r="AJ62" s="122"/>
      <c r="AK62" s="128"/>
      <c r="AL62" s="115"/>
      <c r="AM62" s="119"/>
      <c r="AN62" s="119"/>
      <c r="AO62" s="126"/>
      <c r="AP62" s="74"/>
      <c r="AQ62" s="496"/>
      <c r="AR62" s="497"/>
      <c r="AS62" s="497"/>
      <c r="AT62" s="497"/>
      <c r="AU62" s="128"/>
      <c r="AV62" s="128"/>
      <c r="AW62" s="497"/>
      <c r="AX62" s="123"/>
      <c r="AY62" s="124"/>
      <c r="AZ62" s="125"/>
      <c r="BA62" s="518">
        <v>4298.05</v>
      </c>
      <c r="BB62" s="125"/>
      <c r="BC62" s="127">
        <f>BA62-AZ62</f>
        <v>4298.05</v>
      </c>
      <c r="BD62" s="115"/>
      <c r="BE62" s="115"/>
      <c r="BF62" s="115"/>
      <c r="BG62" s="115"/>
      <c r="BJ62" s="74"/>
      <c r="BR62" s="93">
        <f t="shared" si="5"/>
        <v>0</v>
      </c>
    </row>
    <row r="63" s="151" customFormat="1" ht="14.45" customHeight="1" spans="1:70">
      <c r="A63" s="151">
        <v>4</v>
      </c>
      <c r="C63" s="463" t="s">
        <v>69</v>
      </c>
      <c r="D63" s="79" t="s">
        <v>117</v>
      </c>
      <c r="E63" s="116" t="s">
        <v>118</v>
      </c>
      <c r="F63" s="79" t="s">
        <v>117</v>
      </c>
      <c r="G63" s="486"/>
      <c r="H63" s="116" t="s">
        <v>93</v>
      </c>
      <c r="I63" s="116" t="s">
        <v>118</v>
      </c>
      <c r="J63" s="505">
        <f>AX63</f>
        <v>21.87</v>
      </c>
      <c r="K63" s="466"/>
      <c r="L63" s="466"/>
      <c r="M63" s="466"/>
      <c r="N63" s="464"/>
      <c r="O63" s="464"/>
      <c r="P63" s="74"/>
      <c r="Q63" s="74"/>
      <c r="R63" s="464"/>
      <c r="S63" s="464"/>
      <c r="T63" s="467"/>
      <c r="U63" s="467"/>
      <c r="V63" s="467"/>
      <c r="W63" s="464"/>
      <c r="X63" s="468"/>
      <c r="Y63" s="464"/>
      <c r="Z63" s="469"/>
      <c r="AA63" s="469"/>
      <c r="AB63" s="469"/>
      <c r="AC63" s="469"/>
      <c r="AD63" s="470"/>
      <c r="AE63" s="469"/>
      <c r="AF63" s="469"/>
      <c r="AG63" s="469"/>
      <c r="AH63" s="471"/>
      <c r="AI63" s="74"/>
      <c r="AJ63" s="472"/>
      <c r="AK63" s="473"/>
      <c r="AL63" s="464"/>
      <c r="AM63" s="469"/>
      <c r="AN63" s="469"/>
      <c r="AO63" s="474"/>
      <c r="AP63" s="74"/>
      <c r="AQ63" s="467"/>
      <c r="AR63" s="475"/>
      <c r="AS63" s="475"/>
      <c r="AT63" s="475"/>
      <c r="AU63" s="473"/>
      <c r="AV63" s="473"/>
      <c r="AW63" s="475"/>
      <c r="AX63" s="519">
        <f>SUM(AX58:AX62)</f>
        <v>21.87</v>
      </c>
      <c r="AY63" s="520"/>
      <c r="AZ63" s="521">
        <f>SUM(AZ58:AZ62)</f>
        <v>151340.4</v>
      </c>
      <c r="BA63" s="521">
        <f>SUM(BA58:BA62)</f>
        <v>152193.33</v>
      </c>
      <c r="BB63" s="521"/>
      <c r="BC63" s="477">
        <f>SUM(BC58:BC62)</f>
        <v>852.930000000005</v>
      </c>
      <c r="BD63" s="464"/>
      <c r="BE63" s="464"/>
      <c r="BF63" s="464"/>
      <c r="BG63" s="464"/>
      <c r="BI63" s="418" t="s">
        <v>60</v>
      </c>
      <c r="BJ63" s="74"/>
    </row>
    <row r="64" s="75" customFormat="1" ht="14.45" customHeight="1" outlineLevel="1" spans="1:70">
      <c r="C64" s="387"/>
      <c r="D64" s="76"/>
      <c r="E64" s="113"/>
      <c r="F64" s="76"/>
      <c r="G64" s="479"/>
      <c r="H64" s="116" t="s">
        <v>93</v>
      </c>
      <c r="I64" s="113"/>
      <c r="J64" s="117"/>
      <c r="K64" s="117"/>
      <c r="L64" s="117"/>
      <c r="M64" s="117"/>
      <c r="N64" s="115"/>
      <c r="O64" s="115"/>
      <c r="P64" s="74"/>
      <c r="Q64" s="74"/>
      <c r="R64" s="115" t="s">
        <v>88</v>
      </c>
      <c r="S64" s="115"/>
      <c r="T64" s="496"/>
      <c r="U64" s="496"/>
      <c r="V64" s="496"/>
      <c r="W64" s="115"/>
      <c r="X64" s="115"/>
      <c r="Y64" s="115">
        <v>54.296</v>
      </c>
      <c r="Z64" s="119">
        <v>6520</v>
      </c>
      <c r="AA64" s="119">
        <f>Y64*Z64</f>
        <v>354009.92</v>
      </c>
      <c r="AB64" s="119"/>
      <c r="AC64" s="119"/>
      <c r="AD64" s="120"/>
      <c r="AE64" s="119"/>
      <c r="AF64" s="119"/>
      <c r="AG64" s="119"/>
      <c r="AH64" s="121"/>
      <c r="AI64" s="74"/>
      <c r="AJ64" s="122"/>
      <c r="AK64" s="128"/>
      <c r="AL64" s="115"/>
      <c r="AM64" s="119"/>
      <c r="AN64" s="119"/>
      <c r="AO64" s="126"/>
      <c r="AP64" s="74"/>
      <c r="AQ64" s="496"/>
      <c r="AR64" s="497"/>
      <c r="AS64" s="497"/>
      <c r="AT64" s="497"/>
      <c r="AU64" s="128"/>
      <c r="AV64" s="128"/>
      <c r="AW64" s="497"/>
      <c r="AX64" s="123"/>
      <c r="AY64" s="124"/>
      <c r="AZ64" s="125"/>
      <c r="BA64" s="125"/>
      <c r="BB64" s="125"/>
      <c r="BC64" s="522"/>
      <c r="BD64" s="115"/>
      <c r="BE64" s="115"/>
      <c r="BF64" s="115"/>
      <c r="BG64" s="115"/>
      <c r="BJ64" s="74"/>
      <c r="BR64" s="93">
        <f>M64</f>
        <v>0</v>
      </c>
    </row>
    <row r="65" s="75" customFormat="1" ht="14.45" customHeight="1" outlineLevel="1" spans="1:70">
      <c r="C65" s="387">
        <v>45177</v>
      </c>
      <c r="D65" s="76" t="s">
        <v>119</v>
      </c>
      <c r="E65" s="113" t="s">
        <v>120</v>
      </c>
      <c r="F65" s="76" t="s">
        <v>119</v>
      </c>
      <c r="G65" s="479"/>
      <c r="H65" s="116" t="s">
        <v>93</v>
      </c>
      <c r="I65" s="113" t="s">
        <v>120</v>
      </c>
      <c r="J65" s="117">
        <v>27</v>
      </c>
      <c r="K65" s="117">
        <v>8650</v>
      </c>
      <c r="L65" s="117"/>
      <c r="M65" s="117"/>
      <c r="N65" s="115"/>
      <c r="O65" s="115"/>
      <c r="P65" s="74"/>
      <c r="Q65" s="74"/>
      <c r="R65" s="115"/>
      <c r="S65" s="115"/>
      <c r="T65" s="496"/>
      <c r="U65" s="496"/>
      <c r="V65" s="496"/>
      <c r="W65" s="115"/>
      <c r="X65" s="115"/>
      <c r="Y65" s="115"/>
      <c r="Z65" s="119"/>
      <c r="AA65" s="119"/>
      <c r="AB65" s="119"/>
      <c r="AC65" s="119"/>
      <c r="AD65" s="120"/>
      <c r="AE65" s="119"/>
      <c r="AF65" s="119"/>
      <c r="AG65" s="119"/>
      <c r="AH65" s="121"/>
      <c r="AI65" s="74"/>
      <c r="AJ65" s="122"/>
      <c r="AK65" s="123">
        <f>23.604+3.688</f>
        <v>27.292</v>
      </c>
      <c r="AL65" s="124">
        <f>AM65/AK65</f>
        <v>7671.11974204895</v>
      </c>
      <c r="AM65" s="125">
        <v>209360.2</v>
      </c>
      <c r="AN65" s="119"/>
      <c r="AO65" s="126"/>
      <c r="AP65" s="74"/>
      <c r="AQ65" s="496"/>
      <c r="AR65" s="497"/>
      <c r="AS65" s="497"/>
      <c r="AT65" s="497"/>
      <c r="AU65" s="128"/>
      <c r="AV65" s="128"/>
      <c r="AW65" s="497"/>
      <c r="AX65" s="123">
        <f>23.604+3.688</f>
        <v>27.292</v>
      </c>
      <c r="AY65" s="124">
        <f>AZ65/AX65</f>
        <v>7671.11974204895</v>
      </c>
      <c r="AZ65" s="125">
        <v>209360.2</v>
      </c>
      <c r="BA65" s="125">
        <v>0</v>
      </c>
      <c r="BB65" s="125"/>
      <c r="BC65" s="127">
        <f>BA65-AZ65</f>
        <v>-209360.2</v>
      </c>
      <c r="BD65" s="115"/>
      <c r="BE65" s="115"/>
      <c r="BF65" s="115"/>
      <c r="BG65" s="115"/>
      <c r="BJ65" s="74"/>
      <c r="BR65" s="93">
        <f>M65</f>
        <v>0</v>
      </c>
    </row>
    <row r="66" s="75" customFormat="1" ht="14.45" customHeight="1" outlineLevel="1" spans="1:70">
      <c r="C66" s="387">
        <v>45215</v>
      </c>
      <c r="D66" s="76" t="s">
        <v>121</v>
      </c>
      <c r="E66" s="113" t="s">
        <v>120</v>
      </c>
      <c r="F66" s="76" t="s">
        <v>121</v>
      </c>
      <c r="G66" s="479"/>
      <c r="H66" s="116" t="s">
        <v>93</v>
      </c>
      <c r="I66" s="113" t="s">
        <v>120</v>
      </c>
      <c r="J66" s="117">
        <v>8.5</v>
      </c>
      <c r="K66" s="117">
        <v>8585</v>
      </c>
      <c r="L66" s="117"/>
      <c r="M66" s="117"/>
      <c r="N66" s="115"/>
      <c r="O66" s="115"/>
      <c r="P66" s="74"/>
      <c r="Q66" s="74"/>
      <c r="R66" s="115"/>
      <c r="S66" s="115"/>
      <c r="T66" s="496"/>
      <c r="U66" s="496"/>
      <c r="V66" s="496"/>
      <c r="W66" s="115"/>
      <c r="X66" s="115"/>
      <c r="Y66" s="115"/>
      <c r="Z66" s="119"/>
      <c r="AA66" s="119"/>
      <c r="AB66" s="119"/>
      <c r="AC66" s="119"/>
      <c r="AD66" s="120"/>
      <c r="AE66" s="119"/>
      <c r="AF66" s="119"/>
      <c r="AG66" s="119"/>
      <c r="AH66" s="121"/>
      <c r="AI66" s="74"/>
      <c r="AJ66" s="122"/>
      <c r="AK66" s="123">
        <v>27.004</v>
      </c>
      <c r="AL66" s="124">
        <f>AM66/AK66</f>
        <v>9732.86698266923</v>
      </c>
      <c r="AM66" s="125">
        <v>262826.34</v>
      </c>
      <c r="AN66" s="119"/>
      <c r="AO66" s="126"/>
      <c r="AP66" s="74"/>
      <c r="AQ66" s="496"/>
      <c r="AR66" s="497"/>
      <c r="AS66" s="497"/>
      <c r="AT66" s="497"/>
      <c r="AU66" s="128"/>
      <c r="AV66" s="128"/>
      <c r="AW66" s="497"/>
      <c r="AX66" s="123">
        <v>27.004</v>
      </c>
      <c r="AY66" s="124">
        <f>AZ66/AX66</f>
        <v>9732.86698266923</v>
      </c>
      <c r="AZ66" s="125">
        <v>262826.34</v>
      </c>
      <c r="BA66" s="125">
        <v>105624</v>
      </c>
      <c r="BB66" s="125"/>
      <c r="BC66" s="127">
        <f>BA66-AZ66</f>
        <v>-157202.34</v>
      </c>
      <c r="BD66" s="115"/>
      <c r="BE66" s="115"/>
      <c r="BF66" s="115"/>
      <c r="BG66" s="115"/>
      <c r="BJ66" s="74"/>
      <c r="BR66" s="93">
        <f>M66</f>
        <v>0</v>
      </c>
    </row>
    <row r="67" s="75" customFormat="1" ht="14.45" customHeight="1" outlineLevel="1" spans="1:70">
      <c r="C67" s="387">
        <v>45190</v>
      </c>
      <c r="D67" s="76" t="s">
        <v>99</v>
      </c>
      <c r="E67" s="113" t="s">
        <v>120</v>
      </c>
      <c r="F67" s="76" t="s">
        <v>99</v>
      </c>
      <c r="G67" s="479"/>
      <c r="H67" s="116" t="s">
        <v>93</v>
      </c>
      <c r="I67" s="113" t="s">
        <v>120</v>
      </c>
      <c r="J67" s="117">
        <v>10.5</v>
      </c>
      <c r="K67" s="117">
        <v>8740</v>
      </c>
      <c r="L67" s="117"/>
      <c r="M67" s="117"/>
      <c r="N67" s="115"/>
      <c r="O67" s="115"/>
      <c r="P67" s="74"/>
      <c r="Q67" s="74"/>
      <c r="R67" s="115"/>
      <c r="S67" s="115"/>
      <c r="T67" s="496"/>
      <c r="U67" s="496"/>
      <c r="V67" s="496"/>
      <c r="W67" s="115"/>
      <c r="X67" s="115"/>
      <c r="Y67" s="115"/>
      <c r="Z67" s="119"/>
      <c r="AA67" s="119"/>
      <c r="AB67" s="119"/>
      <c r="AC67" s="119"/>
      <c r="AD67" s="120"/>
      <c r="AE67" s="119"/>
      <c r="AF67" s="119"/>
      <c r="AG67" s="119"/>
      <c r="AH67" s="121"/>
      <c r="AI67" s="74"/>
      <c r="AJ67" s="122"/>
      <c r="AK67" s="128"/>
      <c r="AL67" s="115"/>
      <c r="AM67" s="119"/>
      <c r="AN67" s="119"/>
      <c r="AO67" s="126"/>
      <c r="AP67" s="74"/>
      <c r="AQ67" s="496"/>
      <c r="AR67" s="497"/>
      <c r="AS67" s="497"/>
      <c r="AT67" s="497"/>
      <c r="AU67" s="128"/>
      <c r="AV67" s="128"/>
      <c r="AW67" s="497"/>
      <c r="AX67" s="123"/>
      <c r="AY67" s="124"/>
      <c r="AZ67" s="125"/>
      <c r="BA67" s="125">
        <v>140000</v>
      </c>
      <c r="BB67" s="125"/>
      <c r="BC67" s="127">
        <f>BA67-AZ67</f>
        <v>140000</v>
      </c>
      <c r="BD67" s="115"/>
      <c r="BE67" s="115"/>
      <c r="BF67" s="115"/>
      <c r="BG67" s="115"/>
      <c r="BJ67" s="74"/>
      <c r="BR67" s="93">
        <f>M67</f>
        <v>0</v>
      </c>
    </row>
    <row r="68" s="75" customFormat="1" ht="14.45" customHeight="1" outlineLevel="1" spans="1:70">
      <c r="C68" s="387">
        <v>45216</v>
      </c>
      <c r="D68" s="76" t="s">
        <v>99</v>
      </c>
      <c r="E68" s="113" t="s">
        <v>120</v>
      </c>
      <c r="F68" s="76" t="s">
        <v>99</v>
      </c>
      <c r="G68" s="479"/>
      <c r="H68" s="116" t="s">
        <v>93</v>
      </c>
      <c r="I68" s="113" t="s">
        <v>120</v>
      </c>
      <c r="J68" s="117">
        <v>8.5</v>
      </c>
      <c r="K68" s="117">
        <v>8888</v>
      </c>
      <c r="L68" s="117"/>
      <c r="M68" s="117"/>
      <c r="N68" s="115"/>
      <c r="O68" s="115"/>
      <c r="P68" s="74"/>
      <c r="Q68" s="74"/>
      <c r="R68" s="115"/>
      <c r="S68" s="115"/>
      <c r="T68" s="496"/>
      <c r="U68" s="496"/>
      <c r="V68" s="496"/>
      <c r="W68" s="115"/>
      <c r="X68" s="115"/>
      <c r="Y68" s="115"/>
      <c r="Z68" s="119"/>
      <c r="AA68" s="119"/>
      <c r="AB68" s="119"/>
      <c r="AC68" s="119"/>
      <c r="AD68" s="120"/>
      <c r="AE68" s="119"/>
      <c r="AF68" s="119"/>
      <c r="AG68" s="119"/>
      <c r="AH68" s="121"/>
      <c r="AI68" s="74"/>
      <c r="AJ68" s="122"/>
      <c r="AK68" s="128"/>
      <c r="AL68" s="115"/>
      <c r="AM68" s="119"/>
      <c r="AN68" s="119"/>
      <c r="AO68" s="126"/>
      <c r="AP68" s="74"/>
      <c r="AQ68" s="496"/>
      <c r="AR68" s="497"/>
      <c r="AS68" s="497"/>
      <c r="AT68" s="497"/>
      <c r="AU68" s="128"/>
      <c r="AV68" s="128"/>
      <c r="AW68" s="497"/>
      <c r="AX68" s="123"/>
      <c r="AY68" s="124"/>
      <c r="AZ68" s="125"/>
      <c r="BA68" s="125">
        <v>226562.54</v>
      </c>
      <c r="BB68" s="125"/>
      <c r="BC68" s="127">
        <f>BA68-AZ68</f>
        <v>226562.54</v>
      </c>
      <c r="BD68" s="115"/>
      <c r="BE68" s="115"/>
      <c r="BF68" s="115"/>
      <c r="BG68" s="115"/>
      <c r="BJ68" s="74"/>
      <c r="BR68" s="93">
        <f>M68</f>
        <v>0</v>
      </c>
    </row>
    <row r="69" s="151" customFormat="1" ht="14.45" customHeight="1" spans="1:70">
      <c r="A69" s="79">
        <v>5</v>
      </c>
      <c r="B69" s="79"/>
      <c r="C69" s="463" t="s">
        <v>69</v>
      </c>
      <c r="D69" s="79" t="s">
        <v>122</v>
      </c>
      <c r="E69" s="116" t="s">
        <v>120</v>
      </c>
      <c r="F69" s="79" t="s">
        <v>122</v>
      </c>
      <c r="G69" s="486"/>
      <c r="H69" s="116" t="s">
        <v>93</v>
      </c>
      <c r="I69" s="116" t="s">
        <v>120</v>
      </c>
      <c r="J69" s="505">
        <f>AX69</f>
        <v>54.296</v>
      </c>
      <c r="K69" s="466"/>
      <c r="L69" s="466"/>
      <c r="M69" s="466"/>
      <c r="N69" s="464"/>
      <c r="O69" s="464"/>
      <c r="P69" s="74"/>
      <c r="Q69" s="74"/>
      <c r="R69" s="464"/>
      <c r="S69" s="464"/>
      <c r="T69" s="467"/>
      <c r="U69" s="467"/>
      <c r="V69" s="467"/>
      <c r="W69" s="464"/>
      <c r="X69" s="468"/>
      <c r="Y69" s="464"/>
      <c r="Z69" s="469"/>
      <c r="AA69" s="469"/>
      <c r="AB69" s="469"/>
      <c r="AC69" s="469"/>
      <c r="AD69" s="470"/>
      <c r="AE69" s="469"/>
      <c r="AF69" s="469"/>
      <c r="AG69" s="469"/>
      <c r="AH69" s="471"/>
      <c r="AI69" s="74"/>
      <c r="AJ69" s="472"/>
      <c r="AK69" s="473"/>
      <c r="AL69" s="464"/>
      <c r="AM69" s="469"/>
      <c r="AN69" s="469"/>
      <c r="AO69" s="474"/>
      <c r="AP69" s="74"/>
      <c r="AQ69" s="467"/>
      <c r="AR69" s="475"/>
      <c r="AS69" s="475"/>
      <c r="AT69" s="475"/>
      <c r="AU69" s="473"/>
      <c r="AV69" s="473"/>
      <c r="AW69" s="475"/>
      <c r="AX69" s="519">
        <f>SUM(AX65:AX68)</f>
        <v>54.296</v>
      </c>
      <c r="AY69" s="520"/>
      <c r="AZ69" s="521">
        <f>SUM(AZ65:AZ68)</f>
        <v>472186.54</v>
      </c>
      <c r="BA69" s="521">
        <f>SUM(BA65:BA68)</f>
        <v>472186.54</v>
      </c>
      <c r="BB69" s="521"/>
      <c r="BC69" s="521">
        <f>SUM(BC65:BC68)</f>
        <v>0</v>
      </c>
      <c r="BD69" s="464"/>
      <c r="BE69" s="464"/>
      <c r="BF69" s="464"/>
      <c r="BG69" s="464"/>
      <c r="BI69" s="418" t="s">
        <v>60</v>
      </c>
      <c r="BJ69" s="74"/>
    </row>
    <row r="70" s="75" customFormat="1" ht="14.45" customHeight="1" outlineLevel="1" spans="1:70">
      <c r="A70" s="76"/>
      <c r="B70" s="76"/>
      <c r="C70" s="387"/>
      <c r="D70" s="76"/>
      <c r="E70" s="113"/>
      <c r="F70" s="76"/>
      <c r="G70" s="479"/>
      <c r="H70" s="116" t="s">
        <v>93</v>
      </c>
      <c r="I70" s="113"/>
      <c r="J70" s="117"/>
      <c r="K70" s="117"/>
      <c r="L70" s="117"/>
      <c r="M70" s="117"/>
      <c r="N70" s="115"/>
      <c r="O70" s="115"/>
      <c r="P70" s="74"/>
      <c r="Q70" s="74"/>
      <c r="R70" s="115"/>
      <c r="S70" s="115"/>
      <c r="T70" s="496"/>
      <c r="U70" s="496"/>
      <c r="V70" s="496"/>
      <c r="W70" s="115"/>
      <c r="X70" s="115"/>
      <c r="Y70" s="115"/>
      <c r="Z70" s="119"/>
      <c r="AA70" s="119"/>
      <c r="AB70" s="119"/>
      <c r="AC70" s="119"/>
      <c r="AD70" s="120"/>
      <c r="AE70" s="119"/>
      <c r="AF70" s="119"/>
      <c r="AG70" s="119"/>
      <c r="AH70" s="121"/>
      <c r="AI70" s="74"/>
      <c r="AJ70" s="122"/>
      <c r="AK70" s="128"/>
      <c r="AL70" s="115"/>
      <c r="AM70" s="119"/>
      <c r="AN70" s="119"/>
      <c r="AO70" s="126"/>
      <c r="AP70" s="74"/>
      <c r="AQ70" s="496"/>
      <c r="AR70" s="497"/>
      <c r="AS70" s="497"/>
      <c r="AT70" s="497"/>
      <c r="AU70" s="128"/>
      <c r="AV70" s="128"/>
      <c r="AW70" s="497"/>
      <c r="AX70" s="123"/>
      <c r="AY70" s="124"/>
      <c r="AZ70" s="125"/>
      <c r="BA70" s="125"/>
      <c r="BB70" s="125"/>
      <c r="BC70" s="522"/>
      <c r="BD70" s="115"/>
      <c r="BE70" s="115"/>
      <c r="BF70" s="115"/>
      <c r="BG70" s="115"/>
      <c r="BJ70" s="74"/>
      <c r="BR70" s="93">
        <f>M70</f>
        <v>0</v>
      </c>
    </row>
    <row r="71" s="75" customFormat="1" ht="14.45" customHeight="1" outlineLevel="1" spans="1:70">
      <c r="A71" s="76"/>
      <c r="B71" s="76"/>
      <c r="C71" s="387">
        <v>45215</v>
      </c>
      <c r="D71" s="76" t="s">
        <v>123</v>
      </c>
      <c r="E71" s="113" t="s">
        <v>124</v>
      </c>
      <c r="F71" s="76" t="s">
        <v>123</v>
      </c>
      <c r="G71" s="479"/>
      <c r="H71" s="116" t="s">
        <v>93</v>
      </c>
      <c r="I71" s="113" t="s">
        <v>124</v>
      </c>
      <c r="J71" s="117">
        <v>25</v>
      </c>
      <c r="K71" s="117">
        <v>9700</v>
      </c>
      <c r="L71" s="117">
        <f>J71*K71</f>
        <v>242500</v>
      </c>
      <c r="M71" s="117"/>
      <c r="N71" s="115"/>
      <c r="O71" s="115"/>
      <c r="P71" s="74"/>
      <c r="Q71" s="74"/>
      <c r="R71" s="115" t="s">
        <v>66</v>
      </c>
      <c r="S71" s="115" t="s">
        <v>125</v>
      </c>
      <c r="T71" s="496"/>
      <c r="U71" s="496"/>
      <c r="V71" s="496"/>
      <c r="W71" s="115"/>
      <c r="X71" s="115"/>
      <c r="Y71" s="115">
        <v>25</v>
      </c>
      <c r="Z71" s="119">
        <v>6860</v>
      </c>
      <c r="AA71" s="119">
        <f>Y71*Z71</f>
        <v>171500</v>
      </c>
      <c r="AB71" s="119"/>
      <c r="AC71" s="119"/>
      <c r="AD71" s="120"/>
      <c r="AE71" s="119"/>
      <c r="AF71" s="119"/>
      <c r="AG71" s="119"/>
      <c r="AH71" s="121"/>
      <c r="AI71" s="74"/>
      <c r="AJ71" s="122"/>
      <c r="AK71" s="123">
        <v>33.095</v>
      </c>
      <c r="AL71" s="124">
        <v>9700</v>
      </c>
      <c r="AM71" s="125">
        <f>AL71*AK71</f>
        <v>321021.5</v>
      </c>
      <c r="AN71" s="119"/>
      <c r="AO71" s="126"/>
      <c r="AP71" s="74"/>
      <c r="AQ71" s="496"/>
      <c r="AR71" s="497"/>
      <c r="AS71" s="497"/>
      <c r="AT71" s="497"/>
      <c r="AU71" s="128"/>
      <c r="AV71" s="128"/>
      <c r="AW71" s="497"/>
      <c r="AX71" s="123">
        <v>33.095</v>
      </c>
      <c r="AY71" s="124">
        <v>9700</v>
      </c>
      <c r="AZ71" s="125">
        <f>AY71*AX71</f>
        <v>321021.5</v>
      </c>
      <c r="BA71" s="125">
        <v>0</v>
      </c>
      <c r="BB71" s="125"/>
      <c r="BC71" s="127">
        <f>BA71-AZ71</f>
        <v>-321021.5</v>
      </c>
      <c r="BD71" s="115"/>
      <c r="BE71" s="115"/>
      <c r="BF71" s="115"/>
      <c r="BG71" s="115"/>
      <c r="BJ71" s="74"/>
      <c r="BR71" s="93">
        <f>M71</f>
        <v>0</v>
      </c>
    </row>
    <row r="72" s="75" customFormat="1" ht="14.45" customHeight="1" outlineLevel="1" spans="1:70">
      <c r="A72" s="76"/>
      <c r="B72" s="76"/>
      <c r="C72" s="387">
        <v>45083</v>
      </c>
      <c r="D72" s="76" t="s">
        <v>99</v>
      </c>
      <c r="E72" s="113"/>
      <c r="F72" s="76" t="s">
        <v>99</v>
      </c>
      <c r="G72" s="479"/>
      <c r="H72" s="116" t="s">
        <v>93</v>
      </c>
      <c r="I72" s="113"/>
      <c r="J72" s="117"/>
      <c r="K72" s="117"/>
      <c r="L72" s="117"/>
      <c r="M72" s="117"/>
      <c r="N72" s="115"/>
      <c r="O72" s="115"/>
      <c r="P72" s="74"/>
      <c r="Q72" s="74"/>
      <c r="R72" s="115" t="s">
        <v>88</v>
      </c>
      <c r="S72" s="115"/>
      <c r="T72" s="496"/>
      <c r="U72" s="496"/>
      <c r="V72" s="496"/>
      <c r="W72" s="115"/>
      <c r="X72" s="115"/>
      <c r="Y72" s="115">
        <v>33.095</v>
      </c>
      <c r="Z72" s="119">
        <v>2650</v>
      </c>
      <c r="AA72" s="119">
        <f>Y72*Z72</f>
        <v>87701.75</v>
      </c>
      <c r="AB72" s="119"/>
      <c r="AC72" s="119"/>
      <c r="AD72" s="120"/>
      <c r="AE72" s="119"/>
      <c r="AF72" s="119"/>
      <c r="AG72" s="119"/>
      <c r="AH72" s="121"/>
      <c r="AI72" s="74"/>
      <c r="AJ72" s="122"/>
      <c r="AK72" s="128"/>
      <c r="AL72" s="115"/>
      <c r="AM72" s="119"/>
      <c r="AN72" s="119"/>
      <c r="AO72" s="126"/>
      <c r="AP72" s="74"/>
      <c r="AQ72" s="496"/>
      <c r="AR72" s="497"/>
      <c r="AS72" s="497"/>
      <c r="AT72" s="497"/>
      <c r="AU72" s="128"/>
      <c r="AV72" s="128"/>
      <c r="AW72" s="497"/>
      <c r="AX72" s="123"/>
      <c r="AY72" s="124"/>
      <c r="AZ72" s="125"/>
      <c r="BA72" s="125">
        <v>51450</v>
      </c>
      <c r="BB72" s="125"/>
      <c r="BC72" s="127">
        <f>BA72-AZ72</f>
        <v>51450</v>
      </c>
      <c r="BD72" s="115"/>
      <c r="BE72" s="115"/>
      <c r="BF72" s="115"/>
      <c r="BG72" s="115"/>
      <c r="BJ72" s="74"/>
      <c r="BR72" s="93">
        <f>M72</f>
        <v>0</v>
      </c>
    </row>
    <row r="73" s="75" customFormat="1" ht="14.45" customHeight="1" outlineLevel="1" spans="1:70">
      <c r="A73" s="76"/>
      <c r="B73" s="76"/>
      <c r="C73" s="387">
        <v>45170</v>
      </c>
      <c r="D73" s="76" t="s">
        <v>99</v>
      </c>
      <c r="E73" s="113"/>
      <c r="F73" s="76" t="s">
        <v>99</v>
      </c>
      <c r="G73" s="479"/>
      <c r="H73" s="116" t="s">
        <v>93</v>
      </c>
      <c r="I73" s="113"/>
      <c r="J73" s="117"/>
      <c r="K73" s="117"/>
      <c r="L73" s="117"/>
      <c r="M73" s="117"/>
      <c r="N73" s="115"/>
      <c r="O73" s="115"/>
      <c r="P73" s="74"/>
      <c r="Q73" s="74"/>
      <c r="R73" s="115"/>
      <c r="S73" s="115"/>
      <c r="T73" s="496"/>
      <c r="U73" s="496"/>
      <c r="V73" s="496"/>
      <c r="W73" s="115"/>
      <c r="X73" s="115"/>
      <c r="Y73" s="115"/>
      <c r="Z73" s="119"/>
      <c r="AA73" s="119"/>
      <c r="AB73" s="119"/>
      <c r="AC73" s="119"/>
      <c r="AD73" s="120"/>
      <c r="AE73" s="119"/>
      <c r="AF73" s="119"/>
      <c r="AG73" s="119"/>
      <c r="AH73" s="121"/>
      <c r="AI73" s="74"/>
      <c r="AJ73" s="122"/>
      <c r="AK73" s="128"/>
      <c r="AL73" s="115"/>
      <c r="AM73" s="119"/>
      <c r="AN73" s="119"/>
      <c r="AO73" s="126"/>
      <c r="AP73" s="74"/>
      <c r="AQ73" s="496"/>
      <c r="AR73" s="497"/>
      <c r="AS73" s="497"/>
      <c r="AT73" s="497"/>
      <c r="AU73" s="128"/>
      <c r="AV73" s="128"/>
      <c r="AW73" s="497"/>
      <c r="AX73" s="123"/>
      <c r="AY73" s="124"/>
      <c r="AZ73" s="125"/>
      <c r="BA73" s="125">
        <v>157611.24</v>
      </c>
      <c r="BB73" s="125"/>
      <c r="BC73" s="127">
        <f>BA73-AZ73</f>
        <v>157611.24</v>
      </c>
      <c r="BD73" s="115"/>
      <c r="BE73" s="115"/>
      <c r="BF73" s="115"/>
      <c r="BG73" s="115"/>
      <c r="BJ73" s="74"/>
      <c r="BR73" s="93">
        <f>M73</f>
        <v>0</v>
      </c>
    </row>
    <row r="74" s="75" customFormat="1" ht="14.45" customHeight="1" outlineLevel="1" spans="1:70">
      <c r="A74" s="76"/>
      <c r="B74" s="76"/>
      <c r="C74" s="387">
        <v>45216</v>
      </c>
      <c r="D74" s="76" t="s">
        <v>99</v>
      </c>
      <c r="E74" s="113"/>
      <c r="F74" s="76" t="s">
        <v>99</v>
      </c>
      <c r="G74" s="479"/>
      <c r="H74" s="116" t="s">
        <v>93</v>
      </c>
      <c r="I74" s="113"/>
      <c r="J74" s="117"/>
      <c r="K74" s="117"/>
      <c r="L74" s="117"/>
      <c r="M74" s="117"/>
      <c r="N74" s="115"/>
      <c r="O74" s="115"/>
      <c r="P74" s="74"/>
      <c r="Q74" s="74"/>
      <c r="R74" s="115"/>
      <c r="S74" s="115"/>
      <c r="T74" s="496"/>
      <c r="U74" s="496"/>
      <c r="V74" s="496"/>
      <c r="W74" s="115"/>
      <c r="X74" s="115"/>
      <c r="Y74" s="115"/>
      <c r="Z74" s="119"/>
      <c r="AA74" s="119"/>
      <c r="AB74" s="119"/>
      <c r="AC74" s="119"/>
      <c r="AD74" s="120"/>
      <c r="AE74" s="119"/>
      <c r="AF74" s="119"/>
      <c r="AG74" s="119"/>
      <c r="AH74" s="121"/>
      <c r="AI74" s="74"/>
      <c r="AJ74" s="122"/>
      <c r="AK74" s="128"/>
      <c r="AL74" s="115"/>
      <c r="AM74" s="119"/>
      <c r="AN74" s="119"/>
      <c r="AO74" s="126"/>
      <c r="AP74" s="74"/>
      <c r="AQ74" s="496"/>
      <c r="AR74" s="497"/>
      <c r="AS74" s="497"/>
      <c r="AT74" s="497"/>
      <c r="AU74" s="128"/>
      <c r="AV74" s="128"/>
      <c r="AW74" s="497"/>
      <c r="AX74" s="123"/>
      <c r="AY74" s="124"/>
      <c r="AZ74" s="125"/>
      <c r="BA74" s="125">
        <v>111960.26</v>
      </c>
      <c r="BB74" s="125"/>
      <c r="BC74" s="127">
        <f>BA74-AZ74</f>
        <v>111960.26</v>
      </c>
      <c r="BD74" s="115"/>
      <c r="BE74" s="115"/>
      <c r="BF74" s="115"/>
      <c r="BG74" s="115"/>
      <c r="BJ74" s="74"/>
      <c r="BR74" s="93">
        <f>M74</f>
        <v>0</v>
      </c>
    </row>
    <row r="75" s="151" customFormat="1" ht="14.45" customHeight="1" spans="1:70">
      <c r="A75" s="79">
        <v>6</v>
      </c>
      <c r="B75" s="79"/>
      <c r="C75" s="463" t="s">
        <v>69</v>
      </c>
      <c r="D75" s="79" t="s">
        <v>126</v>
      </c>
      <c r="E75" s="116" t="s">
        <v>124</v>
      </c>
      <c r="F75" s="79" t="s">
        <v>126</v>
      </c>
      <c r="G75" s="486"/>
      <c r="H75" s="116" t="s">
        <v>93</v>
      </c>
      <c r="I75" s="116" t="s">
        <v>124</v>
      </c>
      <c r="J75" s="505">
        <f>AX75</f>
        <v>33.095</v>
      </c>
      <c r="K75" s="466"/>
      <c r="L75" s="466"/>
      <c r="M75" s="466"/>
      <c r="N75" s="464"/>
      <c r="O75" s="464"/>
      <c r="P75" s="74"/>
      <c r="Q75" s="74"/>
      <c r="R75" s="464"/>
      <c r="S75" s="464"/>
      <c r="T75" s="467"/>
      <c r="U75" s="467"/>
      <c r="V75" s="467"/>
      <c r="W75" s="464"/>
      <c r="X75" s="468"/>
      <c r="Y75" s="464"/>
      <c r="Z75" s="469"/>
      <c r="AA75" s="469"/>
      <c r="AB75" s="469"/>
      <c r="AC75" s="469"/>
      <c r="AD75" s="470"/>
      <c r="AE75" s="469"/>
      <c r="AF75" s="469"/>
      <c r="AG75" s="469"/>
      <c r="AH75" s="471"/>
      <c r="AI75" s="74"/>
      <c r="AJ75" s="472"/>
      <c r="AK75" s="473"/>
      <c r="AL75" s="464"/>
      <c r="AM75" s="469"/>
      <c r="AN75" s="469"/>
      <c r="AO75" s="474"/>
      <c r="AP75" s="74"/>
      <c r="AQ75" s="467"/>
      <c r="AR75" s="475"/>
      <c r="AS75" s="475"/>
      <c r="AT75" s="475"/>
      <c r="AU75" s="473"/>
      <c r="AV75" s="473"/>
      <c r="AW75" s="475"/>
      <c r="AX75" s="519">
        <f>SUM(AX71:AX74)</f>
        <v>33.095</v>
      </c>
      <c r="AY75" s="520"/>
      <c r="AZ75" s="521">
        <f>SUM(AZ71:AZ74)</f>
        <v>321021.5</v>
      </c>
      <c r="BA75" s="521">
        <f>SUM(BA71:BA74)</f>
        <v>321021.5</v>
      </c>
      <c r="BB75" s="521"/>
      <c r="BC75" s="477">
        <f>SUM(BC71:BC74)</f>
        <v>0</v>
      </c>
      <c r="BD75" s="464"/>
      <c r="BE75" s="464"/>
      <c r="BF75" s="464"/>
      <c r="BG75" s="464"/>
      <c r="BI75" s="418" t="s">
        <v>60</v>
      </c>
      <c r="BJ75" s="74"/>
    </row>
    <row r="76" s="75" customFormat="1" ht="14.45" customHeight="1" outlineLevel="1" spans="1:70">
      <c r="A76" s="76"/>
      <c r="B76" s="76"/>
      <c r="C76" s="387"/>
      <c r="D76" s="76"/>
      <c r="E76" s="113"/>
      <c r="F76" s="76"/>
      <c r="G76" s="479"/>
      <c r="H76" s="116" t="s">
        <v>93</v>
      </c>
      <c r="I76" s="113"/>
      <c r="J76" s="117"/>
      <c r="K76" s="117"/>
      <c r="L76" s="117"/>
      <c r="M76" s="117"/>
      <c r="N76" s="115"/>
      <c r="O76" s="115"/>
      <c r="P76" s="74"/>
      <c r="Q76" s="74"/>
      <c r="R76" s="115"/>
      <c r="S76" s="115"/>
      <c r="T76" s="496"/>
      <c r="U76" s="496"/>
      <c r="V76" s="496"/>
      <c r="W76" s="115"/>
      <c r="X76" s="115"/>
      <c r="Y76" s="115"/>
      <c r="Z76" s="119"/>
      <c r="AA76" s="119"/>
      <c r="AB76" s="119"/>
      <c r="AC76" s="119"/>
      <c r="AD76" s="120"/>
      <c r="AE76" s="119"/>
      <c r="AF76" s="119"/>
      <c r="AG76" s="119"/>
      <c r="AH76" s="121"/>
      <c r="AI76" s="74"/>
      <c r="AJ76" s="122"/>
      <c r="AK76" s="128"/>
      <c r="AL76" s="115"/>
      <c r="AM76" s="119"/>
      <c r="AN76" s="119"/>
      <c r="AO76" s="126"/>
      <c r="AP76" s="74"/>
      <c r="AQ76" s="496"/>
      <c r="AR76" s="497"/>
      <c r="AS76" s="497"/>
      <c r="AT76" s="497"/>
      <c r="AU76" s="128"/>
      <c r="AV76" s="128"/>
      <c r="AW76" s="497"/>
      <c r="AX76" s="123"/>
      <c r="AY76" s="124"/>
      <c r="AZ76" s="125"/>
      <c r="BA76" s="125"/>
      <c r="BB76" s="125"/>
      <c r="BC76" s="522"/>
      <c r="BD76" s="115"/>
      <c r="BE76" s="115"/>
      <c r="BF76" s="115"/>
      <c r="BG76" s="115"/>
      <c r="BJ76" s="74"/>
      <c r="BR76" s="93">
        <f t="shared" ref="BR76:BR81" si="6">M76</f>
        <v>0</v>
      </c>
    </row>
    <row r="77" s="75" customFormat="1" ht="14.45" customHeight="1" outlineLevel="1" spans="1:70">
      <c r="A77" s="76"/>
      <c r="B77" s="76"/>
      <c r="C77" s="387">
        <v>45142</v>
      </c>
      <c r="D77" s="76" t="s">
        <v>127</v>
      </c>
      <c r="E77" s="113" t="s">
        <v>92</v>
      </c>
      <c r="F77" s="76" t="s">
        <v>127</v>
      </c>
      <c r="G77" s="479"/>
      <c r="H77" s="116" t="s">
        <v>93</v>
      </c>
      <c r="I77" s="113" t="s">
        <v>92</v>
      </c>
      <c r="J77" s="117">
        <v>957600</v>
      </c>
      <c r="K77" s="117">
        <v>0.2439</v>
      </c>
      <c r="L77" s="117">
        <f>J77*K77</f>
        <v>233558.64</v>
      </c>
      <c r="M77" s="117"/>
      <c r="N77" s="115"/>
      <c r="O77" s="115"/>
      <c r="P77" s="74"/>
      <c r="Q77" s="74"/>
      <c r="R77" s="115" t="s">
        <v>88</v>
      </c>
      <c r="S77" s="115" t="s">
        <v>128</v>
      </c>
      <c r="T77" s="496">
        <v>45098</v>
      </c>
      <c r="U77" s="496"/>
      <c r="V77" s="496"/>
      <c r="W77" s="115"/>
      <c r="X77" s="115"/>
      <c r="Y77" s="115">
        <v>957600</v>
      </c>
      <c r="Z77" s="119">
        <v>0.27</v>
      </c>
      <c r="AA77" s="119">
        <f>Y77*Z77</f>
        <v>258552</v>
      </c>
      <c r="AB77" s="119"/>
      <c r="AC77" s="119"/>
      <c r="AD77" s="120"/>
      <c r="AE77" s="119"/>
      <c r="AF77" s="119"/>
      <c r="AG77" s="119"/>
      <c r="AH77" s="121"/>
      <c r="AI77" s="74"/>
      <c r="AJ77" s="122"/>
      <c r="AK77" s="123">
        <v>957600</v>
      </c>
      <c r="AL77" s="523">
        <v>0.244</v>
      </c>
      <c r="AM77" s="125">
        <f>AL77*AK77</f>
        <v>233654.4</v>
      </c>
      <c r="AN77" s="125">
        <v>154931.2</v>
      </c>
      <c r="AO77" s="126"/>
      <c r="AP77" s="74"/>
      <c r="AQ77" s="496"/>
      <c r="AR77" s="497"/>
      <c r="AS77" s="497"/>
      <c r="AT77" s="497"/>
      <c r="AU77" s="128"/>
      <c r="AV77" s="128"/>
      <c r="AW77" s="497"/>
      <c r="AX77" s="123">
        <v>957600</v>
      </c>
      <c r="AY77" s="523">
        <v>0.244</v>
      </c>
      <c r="AZ77" s="125">
        <f>AY77*AX77</f>
        <v>233654.4</v>
      </c>
      <c r="BA77" s="125">
        <v>154931.2</v>
      </c>
      <c r="BB77" s="125"/>
      <c r="BC77" s="127">
        <f>BA77-AZ77</f>
        <v>-78723.2</v>
      </c>
      <c r="BD77" s="115"/>
      <c r="BE77" s="115"/>
      <c r="BF77" s="115"/>
      <c r="BG77" s="115"/>
      <c r="BJ77" s="74"/>
      <c r="BR77" s="93">
        <f t="shared" si="6"/>
        <v>0</v>
      </c>
    </row>
    <row r="78" s="75" customFormat="1" ht="14.45" customHeight="1" outlineLevel="1" spans="1:70">
      <c r="A78" s="76"/>
      <c r="B78" s="76"/>
      <c r="C78" s="387"/>
      <c r="D78" s="76"/>
      <c r="E78" s="113"/>
      <c r="F78" s="76"/>
      <c r="G78" s="479"/>
      <c r="H78" s="116"/>
      <c r="I78" s="113"/>
      <c r="J78" s="117"/>
      <c r="K78" s="117"/>
      <c r="L78" s="117"/>
      <c r="M78" s="117"/>
      <c r="N78" s="115"/>
      <c r="O78" s="115"/>
      <c r="P78" s="74"/>
      <c r="Q78" s="74"/>
      <c r="R78" s="501" t="s">
        <v>95</v>
      </c>
      <c r="S78" s="115"/>
      <c r="T78" s="496"/>
      <c r="U78" s="496"/>
      <c r="V78" s="496"/>
      <c r="W78" s="115"/>
      <c r="X78" s="115"/>
      <c r="Y78" s="115"/>
      <c r="Z78" s="119"/>
      <c r="AA78" s="119">
        <f>-(AZ77*0.13/1.13)</f>
        <v>-26880.5946902655</v>
      </c>
      <c r="AB78" s="119"/>
      <c r="AC78" s="119"/>
      <c r="AD78" s="120"/>
      <c r="AE78" s="119"/>
      <c r="AF78" s="119"/>
      <c r="AG78" s="119"/>
      <c r="AH78" s="121"/>
      <c r="AI78" s="74"/>
      <c r="AJ78" s="122"/>
      <c r="AK78" s="123"/>
      <c r="AL78" s="523"/>
      <c r="AM78" s="125"/>
      <c r="AN78" s="125"/>
      <c r="AO78" s="126"/>
      <c r="AP78" s="74"/>
      <c r="AQ78" s="496"/>
      <c r="AR78" s="497"/>
      <c r="AS78" s="497"/>
      <c r="AT78" s="497"/>
      <c r="AU78" s="128"/>
      <c r="AV78" s="128"/>
      <c r="AW78" s="497"/>
      <c r="AX78" s="123"/>
      <c r="AY78" s="523"/>
      <c r="AZ78" s="125"/>
      <c r="BA78" s="125"/>
      <c r="BB78" s="125"/>
      <c r="BC78" s="127"/>
      <c r="BD78" s="115"/>
      <c r="BE78" s="115"/>
      <c r="BF78" s="115"/>
      <c r="BG78" s="115"/>
      <c r="BJ78" s="74"/>
      <c r="BR78" s="93">
        <f t="shared" si="6"/>
        <v>0</v>
      </c>
    </row>
    <row r="79" s="75" customFormat="1" ht="14.45" customHeight="1" outlineLevel="1" spans="1:70">
      <c r="A79" s="76"/>
      <c r="B79" s="76"/>
      <c r="C79" s="387">
        <v>45151</v>
      </c>
      <c r="D79" s="76" t="s">
        <v>129</v>
      </c>
      <c r="E79" s="113" t="s">
        <v>92</v>
      </c>
      <c r="F79" s="76" t="s">
        <v>129</v>
      </c>
      <c r="G79" s="479"/>
      <c r="H79" s="116" t="s">
        <v>93</v>
      </c>
      <c r="I79" s="113" t="s">
        <v>92</v>
      </c>
      <c r="J79" s="117">
        <v>957600</v>
      </c>
      <c r="K79" s="117">
        <v>0.2439</v>
      </c>
      <c r="L79" s="117">
        <f>J79*K79</f>
        <v>233558.64</v>
      </c>
      <c r="M79" s="117"/>
      <c r="N79" s="115"/>
      <c r="O79" s="115"/>
      <c r="P79" s="74"/>
      <c r="Q79" s="74"/>
      <c r="R79" s="115" t="s">
        <v>88</v>
      </c>
      <c r="S79" s="115" t="s">
        <v>128</v>
      </c>
      <c r="T79" s="496">
        <v>45098</v>
      </c>
      <c r="U79" s="496"/>
      <c r="V79" s="496"/>
      <c r="W79" s="115"/>
      <c r="X79" s="115"/>
      <c r="Y79" s="115">
        <v>957600</v>
      </c>
      <c r="Z79" s="119">
        <v>0.27</v>
      </c>
      <c r="AA79" s="119">
        <f>Y79*Z79</f>
        <v>258552</v>
      </c>
      <c r="AB79" s="119"/>
      <c r="AC79" s="119"/>
      <c r="AD79" s="120"/>
      <c r="AE79" s="119"/>
      <c r="AF79" s="119"/>
      <c r="AG79" s="119"/>
      <c r="AH79" s="121"/>
      <c r="AI79" s="74"/>
      <c r="AJ79" s="122"/>
      <c r="AK79" s="123">
        <v>957600</v>
      </c>
      <c r="AL79" s="523">
        <v>0.244</v>
      </c>
      <c r="AM79" s="125">
        <f>AL79*AK79</f>
        <v>233654.4</v>
      </c>
      <c r="AN79" s="125">
        <v>241896.8</v>
      </c>
      <c r="AO79" s="126"/>
      <c r="AP79" s="74"/>
      <c r="AQ79" s="496"/>
      <c r="AR79" s="497"/>
      <c r="AS79" s="497"/>
      <c r="AT79" s="497"/>
      <c r="AU79" s="128"/>
      <c r="AV79" s="128"/>
      <c r="AW79" s="497"/>
      <c r="AX79" s="123">
        <v>957600</v>
      </c>
      <c r="AY79" s="523">
        <v>0.244</v>
      </c>
      <c r="AZ79" s="125">
        <f>AY79*AX79</f>
        <v>233654.4</v>
      </c>
      <c r="BA79" s="125">
        <v>241896.8</v>
      </c>
      <c r="BB79" s="125"/>
      <c r="BC79" s="127">
        <f>BA79-AZ79</f>
        <v>8242.39999999999</v>
      </c>
      <c r="BD79" s="115"/>
      <c r="BE79" s="115"/>
      <c r="BF79" s="115"/>
      <c r="BG79" s="115"/>
      <c r="BJ79" s="74"/>
      <c r="BR79" s="93">
        <f t="shared" si="6"/>
        <v>0</v>
      </c>
    </row>
    <row r="80" s="75" customFormat="1" ht="14.45" customHeight="1" outlineLevel="1" spans="1:70">
      <c r="A80" s="76"/>
      <c r="B80" s="76"/>
      <c r="C80" s="387"/>
      <c r="D80" s="76"/>
      <c r="E80" s="113"/>
      <c r="F80" s="76"/>
      <c r="G80" s="479"/>
      <c r="H80" s="116"/>
      <c r="I80" s="113"/>
      <c r="J80" s="117"/>
      <c r="K80" s="117"/>
      <c r="L80" s="117"/>
      <c r="M80" s="117"/>
      <c r="N80" s="115"/>
      <c r="O80" s="115"/>
      <c r="P80" s="74"/>
      <c r="Q80" s="74"/>
      <c r="R80" s="501" t="s">
        <v>95</v>
      </c>
      <c r="S80" s="115"/>
      <c r="T80" s="496"/>
      <c r="U80" s="496"/>
      <c r="V80" s="496"/>
      <c r="W80" s="115"/>
      <c r="X80" s="115"/>
      <c r="Y80" s="115"/>
      <c r="Z80" s="119"/>
      <c r="AA80" s="119">
        <f>-(AZ79*0.13/1.13)</f>
        <v>-26880.5946902655</v>
      </c>
      <c r="AB80" s="119"/>
      <c r="AC80" s="119"/>
      <c r="AD80" s="120"/>
      <c r="AE80" s="119"/>
      <c r="AF80" s="119"/>
      <c r="AG80" s="119"/>
      <c r="AH80" s="121"/>
      <c r="AI80" s="74"/>
      <c r="AJ80" s="122"/>
      <c r="AK80" s="123"/>
      <c r="AL80" s="523"/>
      <c r="AM80" s="125"/>
      <c r="AN80" s="125"/>
      <c r="AO80" s="126"/>
      <c r="AP80" s="74"/>
      <c r="AQ80" s="496"/>
      <c r="AR80" s="497"/>
      <c r="AS80" s="497"/>
      <c r="AT80" s="497"/>
      <c r="AU80" s="128"/>
      <c r="AV80" s="128"/>
      <c r="AW80" s="497"/>
      <c r="AX80" s="123"/>
      <c r="AY80" s="523"/>
      <c r="AZ80" s="125"/>
      <c r="BA80" s="125"/>
      <c r="BB80" s="125"/>
      <c r="BC80" s="127"/>
      <c r="BD80" s="115"/>
      <c r="BE80" s="115"/>
      <c r="BF80" s="115"/>
      <c r="BG80" s="115"/>
      <c r="BJ80" s="74"/>
      <c r="BR80" s="93">
        <f t="shared" si="6"/>
        <v>0</v>
      </c>
    </row>
    <row r="81" s="75" customFormat="1" ht="12.95" customHeight="1" outlineLevel="1" spans="1:70">
      <c r="A81" s="76"/>
      <c r="B81" s="76"/>
      <c r="C81" s="387">
        <v>45170</v>
      </c>
      <c r="D81" s="76" t="s">
        <v>99</v>
      </c>
      <c r="E81" s="113"/>
      <c r="F81" s="76" t="s">
        <v>99</v>
      </c>
      <c r="G81" s="479"/>
      <c r="H81" s="116" t="s">
        <v>93</v>
      </c>
      <c r="I81" s="113"/>
      <c r="J81" s="117"/>
      <c r="K81" s="117"/>
      <c r="L81" s="117"/>
      <c r="M81" s="117"/>
      <c r="N81" s="115"/>
      <c r="O81" s="115"/>
      <c r="P81" s="74"/>
      <c r="Q81" s="74"/>
      <c r="R81" s="115"/>
      <c r="S81" s="115"/>
      <c r="T81" s="496"/>
      <c r="U81" s="496"/>
      <c r="V81" s="496"/>
      <c r="W81" s="115"/>
      <c r="X81" s="115"/>
      <c r="Y81" s="115"/>
      <c r="Z81" s="119"/>
      <c r="AA81" s="119"/>
      <c r="AB81" s="119"/>
      <c r="AC81" s="119"/>
      <c r="AD81" s="120"/>
      <c r="AE81" s="119"/>
      <c r="AF81" s="119"/>
      <c r="AG81" s="119"/>
      <c r="AH81" s="121"/>
      <c r="AI81" s="74"/>
      <c r="AJ81" s="122"/>
      <c r="AK81" s="128"/>
      <c r="AL81" s="115"/>
      <c r="AM81" s="119"/>
      <c r="AN81" s="125">
        <v>70480.8</v>
      </c>
      <c r="AO81" s="126"/>
      <c r="AP81" s="74"/>
      <c r="AQ81" s="496"/>
      <c r="AR81" s="497"/>
      <c r="AS81" s="497"/>
      <c r="AT81" s="497"/>
      <c r="AU81" s="128"/>
      <c r="AV81" s="128"/>
      <c r="AW81" s="497"/>
      <c r="AX81" s="123"/>
      <c r="AY81" s="124"/>
      <c r="AZ81" s="125"/>
      <c r="BA81" s="125">
        <v>70480.8</v>
      </c>
      <c r="BB81" s="125"/>
      <c r="BC81" s="127">
        <f>BA81-AZ81</f>
        <v>70480.8</v>
      </c>
      <c r="BD81" s="115"/>
      <c r="BE81" s="115"/>
      <c r="BF81" s="115"/>
      <c r="BG81" s="115"/>
      <c r="BJ81" s="74"/>
      <c r="BR81" s="93">
        <f t="shared" si="6"/>
        <v>0</v>
      </c>
    </row>
    <row r="82" s="151" customFormat="1" ht="14.45" customHeight="1" spans="1:70">
      <c r="A82" s="79">
        <v>7</v>
      </c>
      <c r="B82" s="79"/>
      <c r="C82" s="463" t="s">
        <v>69</v>
      </c>
      <c r="D82" s="79" t="s">
        <v>130</v>
      </c>
      <c r="E82" s="116" t="s">
        <v>92</v>
      </c>
      <c r="F82" s="79" t="s">
        <v>130</v>
      </c>
      <c r="G82" s="486"/>
      <c r="H82" s="116" t="s">
        <v>93</v>
      </c>
      <c r="I82" s="116" t="s">
        <v>92</v>
      </c>
      <c r="J82" s="505">
        <f>AX82</f>
        <v>1915200</v>
      </c>
      <c r="K82" s="466"/>
      <c r="L82" s="466"/>
      <c r="M82" s="466"/>
      <c r="N82" s="464"/>
      <c r="O82" s="464"/>
      <c r="P82" s="74"/>
      <c r="Q82" s="74"/>
      <c r="R82" s="464"/>
      <c r="S82" s="464"/>
      <c r="T82" s="467"/>
      <c r="U82" s="467"/>
      <c r="V82" s="467"/>
      <c r="W82" s="464"/>
      <c r="X82" s="468"/>
      <c r="Y82" s="524">
        <f>SUM(Y76:Y81)</f>
        <v>1915200</v>
      </c>
      <c r="Z82" s="469"/>
      <c r="AA82" s="469">
        <f>SUM(AA76:AA81)</f>
        <v>463342.810619469</v>
      </c>
      <c r="AB82" s="469"/>
      <c r="AC82" s="469"/>
      <c r="AD82" s="470"/>
      <c r="AE82" s="469"/>
      <c r="AF82" s="469"/>
      <c r="AG82" s="469"/>
      <c r="AH82" s="471"/>
      <c r="AI82" s="74"/>
      <c r="AJ82" s="472"/>
      <c r="AK82" s="473"/>
      <c r="AL82" s="464"/>
      <c r="AM82" s="469">
        <f>SUM(AM76:AM81)</f>
        <v>467308.8</v>
      </c>
      <c r="AN82" s="469">
        <f>SUM(AN76:AN81)</f>
        <v>467308.8</v>
      </c>
      <c r="AO82" s="474"/>
      <c r="AP82" s="74"/>
      <c r="AQ82" s="467"/>
      <c r="AR82" s="475"/>
      <c r="AS82" s="475"/>
      <c r="AT82" s="475"/>
      <c r="AU82" s="473"/>
      <c r="AV82" s="473"/>
      <c r="AW82" s="475"/>
      <c r="AX82" s="519">
        <f>SUM(AX77:AX81)</f>
        <v>1915200</v>
      </c>
      <c r="AY82" s="520"/>
      <c r="AZ82" s="521">
        <f>SUM(AZ77:AZ81)</f>
        <v>467308.8</v>
      </c>
      <c r="BA82" s="521">
        <f>SUM(BA77:BA81)</f>
        <v>467308.8</v>
      </c>
      <c r="BB82" s="521"/>
      <c r="BC82" s="477">
        <f>SUM(BC77:BC81)</f>
        <v>0</v>
      </c>
      <c r="BD82" s="464"/>
      <c r="BE82" s="464"/>
      <c r="BF82" s="464"/>
      <c r="BG82" s="464"/>
      <c r="BI82" s="418" t="s">
        <v>60</v>
      </c>
      <c r="BJ82" s="74"/>
    </row>
    <row r="83" s="75" customFormat="1" ht="14.45" customHeight="1" outlineLevel="2" spans="1:70">
      <c r="A83" s="76"/>
      <c r="B83" s="76"/>
      <c r="C83" s="387">
        <v>45215</v>
      </c>
      <c r="D83" s="76" t="s">
        <v>131</v>
      </c>
      <c r="E83" s="113" t="s">
        <v>101</v>
      </c>
      <c r="F83" s="76" t="s">
        <v>131</v>
      </c>
      <c r="G83" s="479"/>
      <c r="H83" s="116" t="s">
        <v>93</v>
      </c>
      <c r="I83" s="113" t="s">
        <v>101</v>
      </c>
      <c r="J83" s="117">
        <v>81</v>
      </c>
      <c r="K83" s="117">
        <v>6950</v>
      </c>
      <c r="L83" s="117">
        <f>J83*K83</f>
        <v>562950</v>
      </c>
      <c r="M83" s="117"/>
      <c r="N83" s="115"/>
      <c r="O83" s="115"/>
      <c r="P83" s="74"/>
      <c r="Q83" s="74"/>
      <c r="R83" s="115" t="s">
        <v>88</v>
      </c>
      <c r="S83" s="115"/>
      <c r="T83" s="496"/>
      <c r="U83" s="496"/>
      <c r="V83" s="496"/>
      <c r="W83" s="115"/>
      <c r="X83" s="115"/>
      <c r="Y83" s="115">
        <v>81.81</v>
      </c>
      <c r="Z83" s="119">
        <v>6750</v>
      </c>
      <c r="AA83" s="119">
        <f>Y83*Z83</f>
        <v>552217.5</v>
      </c>
      <c r="AB83" s="119"/>
      <c r="AC83" s="119"/>
      <c r="AD83" s="120"/>
      <c r="AE83" s="119"/>
      <c r="AF83" s="119"/>
      <c r="AG83" s="119"/>
      <c r="AH83" s="121"/>
      <c r="AI83" s="74"/>
      <c r="AJ83" s="122"/>
      <c r="AK83" s="123">
        <v>81.81</v>
      </c>
      <c r="AL83" s="124">
        <v>6950</v>
      </c>
      <c r="AM83" s="125">
        <f>AL83*AK83</f>
        <v>568579.5</v>
      </c>
      <c r="AN83" s="119"/>
      <c r="AO83" s="126"/>
      <c r="AP83" s="74"/>
      <c r="AQ83" s="496"/>
      <c r="AR83" s="497"/>
      <c r="AS83" s="497"/>
      <c r="AT83" s="497"/>
      <c r="AU83" s="128"/>
      <c r="AV83" s="128"/>
      <c r="AW83" s="497"/>
      <c r="AX83" s="123">
        <v>81.81</v>
      </c>
      <c r="AY83" s="124">
        <v>6950</v>
      </c>
      <c r="AZ83" s="125">
        <f>AY83*AX83</f>
        <v>568579.5</v>
      </c>
      <c r="BA83" s="125">
        <v>0</v>
      </c>
      <c r="BB83" s="125"/>
      <c r="BC83" s="127">
        <f t="shared" ref="BC83:BC89" si="7">BA83-AZ83</f>
        <v>-568579.5</v>
      </c>
      <c r="BD83" s="115"/>
      <c r="BE83" s="115"/>
      <c r="BF83" s="115"/>
      <c r="BG83" s="115"/>
      <c r="BJ83" s="74"/>
      <c r="BR83" s="93">
        <f>M83</f>
        <v>0</v>
      </c>
    </row>
    <row r="84" s="75" customFormat="1" ht="14.45" customHeight="1" outlineLevel="2" spans="1:70">
      <c r="A84" s="76"/>
      <c r="B84" s="76"/>
      <c r="C84" s="387">
        <v>45215</v>
      </c>
      <c r="D84" s="76" t="s">
        <v>132</v>
      </c>
      <c r="E84" s="113" t="s">
        <v>101</v>
      </c>
      <c r="F84" s="76" t="s">
        <v>132</v>
      </c>
      <c r="G84" s="479"/>
      <c r="H84" s="116" t="s">
        <v>93</v>
      </c>
      <c r="I84" s="113" t="s">
        <v>101</v>
      </c>
      <c r="J84" s="117">
        <v>81</v>
      </c>
      <c r="K84" s="117">
        <v>6950</v>
      </c>
      <c r="L84" s="117">
        <f>J84*K84</f>
        <v>562950</v>
      </c>
      <c r="M84" s="117"/>
      <c r="N84" s="115"/>
      <c r="O84" s="115"/>
      <c r="P84" s="74"/>
      <c r="Q84" s="74"/>
      <c r="R84" s="115" t="s">
        <v>88</v>
      </c>
      <c r="S84" s="115"/>
      <c r="T84" s="496"/>
      <c r="U84" s="496"/>
      <c r="V84" s="496"/>
      <c r="W84" s="115"/>
      <c r="X84" s="115"/>
      <c r="Y84" s="115">
        <v>82.298</v>
      </c>
      <c r="Z84" s="119">
        <v>6750</v>
      </c>
      <c r="AA84" s="119">
        <f>Y84*Z84</f>
        <v>555511.5</v>
      </c>
      <c r="AB84" s="119"/>
      <c r="AC84" s="119"/>
      <c r="AD84" s="120"/>
      <c r="AE84" s="119"/>
      <c r="AF84" s="119"/>
      <c r="AG84" s="119"/>
      <c r="AH84" s="121"/>
      <c r="AI84" s="74"/>
      <c r="AJ84" s="122"/>
      <c r="AK84" s="123">
        <v>82.298</v>
      </c>
      <c r="AL84" s="124">
        <v>6950</v>
      </c>
      <c r="AM84" s="125">
        <f>AL84*AK84</f>
        <v>571971.1</v>
      </c>
      <c r="AN84" s="119"/>
      <c r="AO84" s="126"/>
      <c r="AP84" s="74"/>
      <c r="AQ84" s="496"/>
      <c r="AR84" s="497"/>
      <c r="AS84" s="497"/>
      <c r="AT84" s="497"/>
      <c r="AU84" s="128"/>
      <c r="AV84" s="128"/>
      <c r="AW84" s="497"/>
      <c r="AX84" s="123">
        <v>82.298</v>
      </c>
      <c r="AY84" s="124">
        <v>6950</v>
      </c>
      <c r="AZ84" s="125">
        <f>AY84*AX84</f>
        <v>571971.1</v>
      </c>
      <c r="BA84" s="125">
        <v>607500</v>
      </c>
      <c r="BB84" s="125"/>
      <c r="BC84" s="127">
        <f t="shared" si="7"/>
        <v>35528.9</v>
      </c>
      <c r="BD84" s="115"/>
      <c r="BE84" s="115"/>
      <c r="BF84" s="115"/>
      <c r="BG84" s="115"/>
      <c r="BJ84" s="74"/>
      <c r="BR84" s="93">
        <f>M84</f>
        <v>0</v>
      </c>
    </row>
    <row r="85" s="75" customFormat="1" ht="14.45" customHeight="1" outlineLevel="2" spans="1:70">
      <c r="A85" s="76"/>
      <c r="B85" s="76"/>
      <c r="C85" s="387">
        <v>45215</v>
      </c>
      <c r="D85" s="76" t="s">
        <v>133</v>
      </c>
      <c r="E85" s="113" t="s">
        <v>103</v>
      </c>
      <c r="F85" s="76" t="s">
        <v>133</v>
      </c>
      <c r="G85" s="479"/>
      <c r="H85" s="116" t="s">
        <v>93</v>
      </c>
      <c r="I85" s="113" t="s">
        <v>103</v>
      </c>
      <c r="J85" s="117">
        <v>81</v>
      </c>
      <c r="K85" s="117">
        <v>9375</v>
      </c>
      <c r="L85" s="117">
        <f>J85*K85</f>
        <v>759375</v>
      </c>
      <c r="M85" s="117"/>
      <c r="N85" s="115"/>
      <c r="O85" s="115"/>
      <c r="P85" s="74"/>
      <c r="Q85" s="74"/>
      <c r="R85" s="115" t="s">
        <v>88</v>
      </c>
      <c r="S85" s="115"/>
      <c r="T85" s="496"/>
      <c r="U85" s="496"/>
      <c r="V85" s="496"/>
      <c r="W85" s="115"/>
      <c r="X85" s="115"/>
      <c r="Y85" s="115">
        <v>81.651</v>
      </c>
      <c r="Z85" s="119">
        <v>9150</v>
      </c>
      <c r="AA85" s="119">
        <f>Y85*Z85</f>
        <v>747106.65</v>
      </c>
      <c r="AB85" s="119"/>
      <c r="AC85" s="119"/>
      <c r="AD85" s="120"/>
      <c r="AE85" s="119"/>
      <c r="AF85" s="119"/>
      <c r="AG85" s="119"/>
      <c r="AH85" s="121"/>
      <c r="AI85" s="74"/>
      <c r="AJ85" s="122"/>
      <c r="AK85" s="123">
        <v>81.651</v>
      </c>
      <c r="AL85" s="124">
        <v>9375</v>
      </c>
      <c r="AM85" s="125">
        <f>AL85*AK85</f>
        <v>765478.125</v>
      </c>
      <c r="AN85" s="119"/>
      <c r="AO85" s="126"/>
      <c r="AP85" s="74"/>
      <c r="AQ85" s="496"/>
      <c r="AR85" s="497"/>
      <c r="AS85" s="497"/>
      <c r="AT85" s="497"/>
      <c r="AU85" s="128"/>
      <c r="AV85" s="128"/>
      <c r="AW85" s="497"/>
      <c r="AX85" s="123">
        <v>81.651</v>
      </c>
      <c r="AY85" s="124">
        <v>9375</v>
      </c>
      <c r="AZ85" s="125">
        <f>AY85*AX85</f>
        <v>765478.125</v>
      </c>
      <c r="BA85" s="125">
        <v>59489.84</v>
      </c>
      <c r="BB85" s="125"/>
      <c r="BC85" s="127">
        <f t="shared" si="7"/>
        <v>-705988.285</v>
      </c>
      <c r="BD85" s="115"/>
      <c r="BE85" s="115"/>
      <c r="BF85" s="115"/>
      <c r="BG85" s="115"/>
      <c r="BJ85" s="74"/>
      <c r="BR85" s="93">
        <f>M85</f>
        <v>0</v>
      </c>
    </row>
    <row r="86" s="75" customFormat="1" ht="14.45" customHeight="1" outlineLevel="2" spans="1:70">
      <c r="A86" s="76"/>
      <c r="B86" s="76"/>
      <c r="C86" s="387">
        <v>45215</v>
      </c>
      <c r="D86" s="76" t="s">
        <v>134</v>
      </c>
      <c r="E86" s="113" t="s">
        <v>103</v>
      </c>
      <c r="F86" s="76" t="s">
        <v>134</v>
      </c>
      <c r="G86" s="479"/>
      <c r="H86" s="116" t="s">
        <v>93</v>
      </c>
      <c r="I86" s="113" t="s">
        <v>103</v>
      </c>
      <c r="J86" s="117">
        <v>81</v>
      </c>
      <c r="K86" s="117">
        <v>9375</v>
      </c>
      <c r="L86" s="117">
        <f>J86*K86</f>
        <v>759375</v>
      </c>
      <c r="M86" s="117"/>
      <c r="N86" s="115"/>
      <c r="O86" s="115"/>
      <c r="P86" s="74"/>
      <c r="Q86" s="74"/>
      <c r="R86" s="115" t="s">
        <v>88</v>
      </c>
      <c r="S86" s="115"/>
      <c r="T86" s="496"/>
      <c r="U86" s="496"/>
      <c r="V86" s="496"/>
      <c r="W86" s="115"/>
      <c r="X86" s="115"/>
      <c r="Y86" s="115">
        <v>81.473</v>
      </c>
      <c r="Z86" s="119">
        <v>9150</v>
      </c>
      <c r="AA86" s="119">
        <f>Y86*Z86</f>
        <v>745477.95</v>
      </c>
      <c r="AB86" s="119"/>
      <c r="AC86" s="119"/>
      <c r="AD86" s="120"/>
      <c r="AE86" s="119"/>
      <c r="AF86" s="119"/>
      <c r="AG86" s="119"/>
      <c r="AH86" s="121"/>
      <c r="AI86" s="74"/>
      <c r="AJ86" s="122"/>
      <c r="AK86" s="123">
        <v>81.473</v>
      </c>
      <c r="AL86" s="124">
        <v>9375</v>
      </c>
      <c r="AM86" s="125">
        <f>AL86*AK86</f>
        <v>763809.375</v>
      </c>
      <c r="AN86" s="119"/>
      <c r="AO86" s="126"/>
      <c r="AP86" s="74"/>
      <c r="AQ86" s="496"/>
      <c r="AR86" s="497"/>
      <c r="AS86" s="497"/>
      <c r="AT86" s="497"/>
      <c r="AU86" s="128"/>
      <c r="AV86" s="128"/>
      <c r="AW86" s="497"/>
      <c r="AX86" s="123">
        <v>81.473</v>
      </c>
      <c r="AY86" s="124">
        <v>9375</v>
      </c>
      <c r="AZ86" s="125">
        <f>AY86*AX86</f>
        <v>763809.375</v>
      </c>
      <c r="BA86" s="125">
        <v>1800000</v>
      </c>
      <c r="BB86" s="125"/>
      <c r="BC86" s="127">
        <f t="shared" si="7"/>
        <v>1036190.625</v>
      </c>
      <c r="BD86" s="115"/>
      <c r="BE86" s="115"/>
      <c r="BF86" s="115"/>
      <c r="BG86" s="115"/>
      <c r="BJ86" s="74"/>
      <c r="BR86" s="93">
        <f>M86</f>
        <v>0</v>
      </c>
    </row>
    <row r="87" s="75" customFormat="1" ht="14.45" customHeight="1" outlineLevel="2" spans="1:70">
      <c r="A87" s="76"/>
      <c r="B87" s="76"/>
      <c r="C87" s="387">
        <v>45216</v>
      </c>
      <c r="D87" s="76" t="s">
        <v>99</v>
      </c>
      <c r="E87" s="113"/>
      <c r="F87" s="76" t="s">
        <v>99</v>
      </c>
      <c r="G87" s="479"/>
      <c r="H87" s="116" t="s">
        <v>93</v>
      </c>
      <c r="I87" s="113"/>
      <c r="J87" s="117"/>
      <c r="K87" s="117"/>
      <c r="L87" s="117"/>
      <c r="M87" s="117"/>
      <c r="N87" s="115"/>
      <c r="O87" s="115"/>
      <c r="P87" s="74"/>
      <c r="Q87" s="74"/>
      <c r="R87" s="115"/>
      <c r="S87" s="115"/>
      <c r="T87" s="496"/>
      <c r="U87" s="496"/>
      <c r="V87" s="496"/>
      <c r="W87" s="115"/>
      <c r="X87" s="115"/>
      <c r="Y87" s="115"/>
      <c r="Z87" s="119"/>
      <c r="AA87" s="119"/>
      <c r="AB87" s="119"/>
      <c r="AC87" s="119"/>
      <c r="AD87" s="120"/>
      <c r="AE87" s="119"/>
      <c r="AF87" s="119"/>
      <c r="AG87" s="119"/>
      <c r="AH87" s="121"/>
      <c r="AI87" s="74"/>
      <c r="AJ87" s="122"/>
      <c r="AK87" s="128"/>
      <c r="AL87" s="115"/>
      <c r="AM87" s="119"/>
      <c r="AN87" s="119"/>
      <c r="AO87" s="126"/>
      <c r="AP87" s="74"/>
      <c r="AQ87" s="496"/>
      <c r="AR87" s="497"/>
      <c r="AS87" s="497"/>
      <c r="AT87" s="497"/>
      <c r="AU87" s="128"/>
      <c r="AV87" s="128"/>
      <c r="AW87" s="497"/>
      <c r="AX87" s="123"/>
      <c r="AY87" s="124"/>
      <c r="AZ87" s="125"/>
      <c r="BA87" s="125">
        <v>202848.26</v>
      </c>
      <c r="BB87" s="125"/>
      <c r="BC87" s="127">
        <f t="shared" si="7"/>
        <v>202848.26</v>
      </c>
      <c r="BD87" s="115"/>
      <c r="BE87" s="115"/>
      <c r="BF87" s="115"/>
      <c r="BG87" s="115"/>
      <c r="BJ87" s="74"/>
      <c r="BR87" s="93">
        <f>M87</f>
        <v>0</v>
      </c>
    </row>
    <row r="88" s="151" customFormat="1" ht="14.45" customHeight="1" spans="1:70">
      <c r="A88" s="79">
        <v>8</v>
      </c>
      <c r="B88" s="79"/>
      <c r="C88" s="463" t="s">
        <v>69</v>
      </c>
      <c r="D88" s="79" t="s">
        <v>135</v>
      </c>
      <c r="E88" s="116" t="s">
        <v>136</v>
      </c>
      <c r="F88" s="79" t="s">
        <v>135</v>
      </c>
      <c r="G88" s="486"/>
      <c r="H88" s="116" t="s">
        <v>93</v>
      </c>
      <c r="I88" s="116" t="s">
        <v>136</v>
      </c>
      <c r="J88" s="505">
        <f>AX88</f>
        <v>327.232</v>
      </c>
      <c r="K88" s="466"/>
      <c r="L88" s="466"/>
      <c r="M88" s="466"/>
      <c r="N88" s="464"/>
      <c r="O88" s="464"/>
      <c r="P88" s="74"/>
      <c r="Q88" s="74"/>
      <c r="R88" s="464"/>
      <c r="S88" s="464"/>
      <c r="T88" s="467"/>
      <c r="U88" s="467"/>
      <c r="V88" s="467"/>
      <c r="W88" s="464"/>
      <c r="X88" s="468"/>
      <c r="Y88" s="464"/>
      <c r="Z88" s="469"/>
      <c r="AA88" s="469"/>
      <c r="AB88" s="469"/>
      <c r="AC88" s="469"/>
      <c r="AD88" s="470"/>
      <c r="AE88" s="469"/>
      <c r="AF88" s="469"/>
      <c r="AG88" s="469"/>
      <c r="AH88" s="471"/>
      <c r="AI88" s="74"/>
      <c r="AJ88" s="472"/>
      <c r="AK88" s="473"/>
      <c r="AL88" s="464"/>
      <c r="AM88" s="469"/>
      <c r="AN88" s="469"/>
      <c r="AO88" s="474"/>
      <c r="AP88" s="74"/>
      <c r="AQ88" s="467"/>
      <c r="AR88" s="475"/>
      <c r="AS88" s="475"/>
      <c r="AT88" s="475"/>
      <c r="AU88" s="473"/>
      <c r="AV88" s="473"/>
      <c r="AW88" s="475"/>
      <c r="AX88" s="519">
        <f>SUM(AX83:AX87)</f>
        <v>327.232</v>
      </c>
      <c r="AY88" s="520"/>
      <c r="AZ88" s="521">
        <f>SUM(AZ83:AZ87)</f>
        <v>2669838.1</v>
      </c>
      <c r="BA88" s="521">
        <f>SUM(BA83:BA87)</f>
        <v>2669838.1</v>
      </c>
      <c r="BB88" s="521"/>
      <c r="BC88" s="477">
        <f t="shared" si="7"/>
        <v>0</v>
      </c>
      <c r="BD88" s="464"/>
      <c r="BE88" s="464"/>
      <c r="BF88" s="464"/>
      <c r="BG88" s="464"/>
      <c r="BI88" s="418" t="s">
        <v>60</v>
      </c>
      <c r="BJ88" s="74"/>
    </row>
    <row r="89" s="75" customFormat="1" ht="14.45" customHeight="1" outlineLevel="1" spans="1:70">
      <c r="A89" s="76"/>
      <c r="B89" s="76"/>
      <c r="C89" s="387">
        <v>45177</v>
      </c>
      <c r="D89" s="76" t="s">
        <v>137</v>
      </c>
      <c r="E89" s="113" t="s">
        <v>92</v>
      </c>
      <c r="F89" s="76" t="s">
        <v>137</v>
      </c>
      <c r="G89" s="479"/>
      <c r="H89" s="113" t="s">
        <v>93</v>
      </c>
      <c r="I89" s="113" t="s">
        <v>92</v>
      </c>
      <c r="J89" s="117">
        <v>957600</v>
      </c>
      <c r="K89" s="117">
        <v>0.2524</v>
      </c>
      <c r="L89" s="117">
        <f>J89*K89</f>
        <v>241698.24</v>
      </c>
      <c r="M89" s="117"/>
      <c r="N89" s="115"/>
      <c r="O89" s="115"/>
      <c r="P89" s="74"/>
      <c r="Q89" s="74"/>
      <c r="R89" s="115" t="s">
        <v>88</v>
      </c>
      <c r="S89" s="115"/>
      <c r="T89" s="496"/>
      <c r="U89" s="496"/>
      <c r="V89" s="496"/>
      <c r="W89" s="115"/>
      <c r="X89" s="115"/>
      <c r="Y89" s="115">
        <v>957600</v>
      </c>
      <c r="Z89" s="119">
        <v>0.27</v>
      </c>
      <c r="AA89" s="119">
        <f>Y89*Z89</f>
        <v>258552</v>
      </c>
      <c r="AB89" s="119"/>
      <c r="AC89" s="119"/>
      <c r="AD89" s="120"/>
      <c r="AE89" s="119"/>
      <c r="AF89" s="119"/>
      <c r="AG89" s="119"/>
      <c r="AH89" s="121"/>
      <c r="AI89" s="74"/>
      <c r="AJ89" s="122"/>
      <c r="AK89" s="123">
        <v>957600</v>
      </c>
      <c r="AL89" s="523">
        <v>0.2524</v>
      </c>
      <c r="AM89" s="125">
        <f>AL89*AK89</f>
        <v>241698.24</v>
      </c>
      <c r="AN89" s="125">
        <v>154931.2</v>
      </c>
      <c r="AO89" s="126"/>
      <c r="AP89" s="74"/>
      <c r="AQ89" s="496"/>
      <c r="AR89" s="497"/>
      <c r="AS89" s="497"/>
      <c r="AT89" s="497"/>
      <c r="AU89" s="128"/>
      <c r="AV89" s="128"/>
      <c r="AW89" s="497"/>
      <c r="AX89" s="123">
        <v>957600</v>
      </c>
      <c r="AY89" s="523">
        <v>0.2524</v>
      </c>
      <c r="AZ89" s="125">
        <f>AY89*AX89</f>
        <v>241698.24</v>
      </c>
      <c r="BA89" s="125">
        <v>154931.2</v>
      </c>
      <c r="BB89" s="125"/>
      <c r="BC89" s="127">
        <f t="shared" si="7"/>
        <v>-86767.04</v>
      </c>
      <c r="BD89" s="115"/>
      <c r="BE89" s="115"/>
      <c r="BF89" s="115"/>
      <c r="BG89" s="115"/>
      <c r="BJ89" s="74"/>
    </row>
    <row r="90" s="75" customFormat="1" ht="14.45" customHeight="1" outlineLevel="1" spans="1:70">
      <c r="A90" s="76"/>
      <c r="B90" s="76"/>
      <c r="C90" s="387"/>
      <c r="D90" s="76"/>
      <c r="E90" s="113"/>
      <c r="F90" s="76"/>
      <c r="G90" s="479"/>
      <c r="H90" s="113"/>
      <c r="I90" s="113"/>
      <c r="J90" s="117"/>
      <c r="K90" s="117"/>
      <c r="L90" s="117"/>
      <c r="M90" s="117"/>
      <c r="N90" s="115"/>
      <c r="O90" s="115"/>
      <c r="P90" s="74"/>
      <c r="Q90" s="74"/>
      <c r="R90" s="115"/>
      <c r="S90" s="115"/>
      <c r="T90" s="496"/>
      <c r="U90" s="496"/>
      <c r="V90" s="496"/>
      <c r="W90" s="115"/>
      <c r="X90" s="115"/>
      <c r="Y90" s="115"/>
      <c r="Z90" s="119"/>
      <c r="AA90" s="119">
        <f>-(AZ89*0.13/1.13)</f>
        <v>-27805.9922123894</v>
      </c>
      <c r="AB90" s="119"/>
      <c r="AC90" s="119"/>
      <c r="AD90" s="120"/>
      <c r="AE90" s="119"/>
      <c r="AF90" s="119"/>
      <c r="AG90" s="119"/>
      <c r="AH90" s="121"/>
      <c r="AI90" s="74"/>
      <c r="AJ90" s="122"/>
      <c r="AK90" s="123"/>
      <c r="AL90" s="523"/>
      <c r="AM90" s="125"/>
      <c r="AN90" s="125"/>
      <c r="AO90" s="126"/>
      <c r="AP90" s="74"/>
      <c r="AQ90" s="496"/>
      <c r="AR90" s="497"/>
      <c r="AS90" s="497"/>
      <c r="AT90" s="497"/>
      <c r="AU90" s="128"/>
      <c r="AV90" s="128"/>
      <c r="AW90" s="497"/>
      <c r="AX90" s="123"/>
      <c r="AY90" s="523"/>
      <c r="AZ90" s="125"/>
      <c r="BA90" s="125"/>
      <c r="BB90" s="125"/>
      <c r="BC90" s="127"/>
      <c r="BD90" s="115"/>
      <c r="BE90" s="115"/>
      <c r="BF90" s="115"/>
      <c r="BG90" s="115"/>
      <c r="BJ90" s="74"/>
    </row>
    <row r="91" s="75" customFormat="1" ht="14.45" customHeight="1" outlineLevel="1" spans="1:70">
      <c r="A91" s="76"/>
      <c r="B91" s="76"/>
      <c r="C91" s="387">
        <v>45191</v>
      </c>
      <c r="D91" s="76" t="s">
        <v>138</v>
      </c>
      <c r="E91" s="113" t="s">
        <v>92</v>
      </c>
      <c r="F91" s="76" t="s">
        <v>138</v>
      </c>
      <c r="G91" s="479"/>
      <c r="H91" s="113" t="s">
        <v>93</v>
      </c>
      <c r="I91" s="113" t="s">
        <v>92</v>
      </c>
      <c r="J91" s="117">
        <v>957600</v>
      </c>
      <c r="K91" s="117">
        <v>0.2524</v>
      </c>
      <c r="L91" s="117">
        <f>J91*K91</f>
        <v>241698.24</v>
      </c>
      <c r="M91" s="117"/>
      <c r="N91" s="115"/>
      <c r="O91" s="115"/>
      <c r="P91" s="74"/>
      <c r="Q91" s="74"/>
      <c r="R91" s="115" t="s">
        <v>88</v>
      </c>
      <c r="S91" s="115"/>
      <c r="T91" s="496"/>
      <c r="U91" s="496"/>
      <c r="V91" s="496"/>
      <c r="W91" s="115"/>
      <c r="X91" s="115"/>
      <c r="Y91" s="115">
        <v>957600</v>
      </c>
      <c r="Z91" s="119">
        <v>0.27</v>
      </c>
      <c r="AA91" s="119">
        <f>Y91*Z91</f>
        <v>258552</v>
      </c>
      <c r="AB91" s="119"/>
      <c r="AC91" s="119"/>
      <c r="AD91" s="120"/>
      <c r="AE91" s="119"/>
      <c r="AF91" s="119"/>
      <c r="AG91" s="119"/>
      <c r="AH91" s="121"/>
      <c r="AI91" s="74"/>
      <c r="AJ91" s="122"/>
      <c r="AK91" s="123">
        <v>957600</v>
      </c>
      <c r="AL91" s="523">
        <v>0.2524</v>
      </c>
      <c r="AM91" s="125">
        <f>AL91*AK91</f>
        <v>241698.24</v>
      </c>
      <c r="AN91" s="125">
        <v>232698.6</v>
      </c>
      <c r="AO91" s="126"/>
      <c r="AP91" s="74"/>
      <c r="AQ91" s="496"/>
      <c r="AR91" s="497"/>
      <c r="AS91" s="497"/>
      <c r="AT91" s="497"/>
      <c r="AU91" s="128"/>
      <c r="AV91" s="128"/>
      <c r="AW91" s="497"/>
      <c r="AX91" s="123">
        <v>957600</v>
      </c>
      <c r="AY91" s="523">
        <v>0.2524</v>
      </c>
      <c r="AZ91" s="125">
        <f>AY91*AX91</f>
        <v>241698.24</v>
      </c>
      <c r="BA91" s="125">
        <v>232698.6</v>
      </c>
      <c r="BB91" s="125"/>
      <c r="BC91" s="127">
        <f>BA91-AZ91</f>
        <v>-8999.64000000001</v>
      </c>
      <c r="BD91" s="115"/>
      <c r="BE91" s="115"/>
      <c r="BF91" s="115"/>
      <c r="BG91" s="115"/>
      <c r="BJ91" s="74"/>
    </row>
    <row r="92" s="75" customFormat="1" ht="14.45" customHeight="1" outlineLevel="1" spans="1:70">
      <c r="A92" s="76"/>
      <c r="B92" s="76"/>
      <c r="C92" s="387"/>
      <c r="D92" s="76"/>
      <c r="E92" s="113"/>
      <c r="F92" s="76"/>
      <c r="G92" s="479"/>
      <c r="H92" s="113"/>
      <c r="I92" s="113"/>
      <c r="J92" s="117"/>
      <c r="K92" s="117"/>
      <c r="L92" s="117"/>
      <c r="M92" s="117"/>
      <c r="N92" s="115"/>
      <c r="O92" s="115"/>
      <c r="P92" s="74"/>
      <c r="Q92" s="74"/>
      <c r="R92" s="115"/>
      <c r="S92" s="115"/>
      <c r="T92" s="496"/>
      <c r="U92" s="496"/>
      <c r="V92" s="496"/>
      <c r="W92" s="115"/>
      <c r="X92" s="115"/>
      <c r="Y92" s="115"/>
      <c r="Z92" s="119"/>
      <c r="AA92" s="119">
        <f>-(AZ91*0.13/1.13)</f>
        <v>-27805.9922123894</v>
      </c>
      <c r="AB92" s="119"/>
      <c r="AC92" s="119"/>
      <c r="AD92" s="120"/>
      <c r="AE92" s="119"/>
      <c r="AF92" s="119"/>
      <c r="AG92" s="119"/>
      <c r="AH92" s="121"/>
      <c r="AI92" s="74"/>
      <c r="AJ92" s="122"/>
      <c r="AK92" s="123"/>
      <c r="AL92" s="523"/>
      <c r="AM92" s="125"/>
      <c r="AN92" s="125"/>
      <c r="AO92" s="126"/>
      <c r="AP92" s="74"/>
      <c r="AQ92" s="496"/>
      <c r="AR92" s="497"/>
      <c r="AS92" s="497"/>
      <c r="AT92" s="497"/>
      <c r="AU92" s="128"/>
      <c r="AV92" s="128"/>
      <c r="AW92" s="497"/>
      <c r="AX92" s="123"/>
      <c r="AY92" s="523"/>
      <c r="AZ92" s="125"/>
      <c r="BA92" s="125"/>
      <c r="BB92" s="125"/>
      <c r="BC92" s="127"/>
      <c r="BD92" s="115"/>
      <c r="BE92" s="115"/>
      <c r="BF92" s="115"/>
      <c r="BG92" s="115"/>
      <c r="BJ92" s="74"/>
    </row>
    <row r="93" s="151" customFormat="1" ht="14.45" customHeight="1" spans="1:70">
      <c r="A93" s="79">
        <v>9</v>
      </c>
      <c r="B93" s="79"/>
      <c r="C93" s="463" t="s">
        <v>69</v>
      </c>
      <c r="D93" s="79" t="s">
        <v>139</v>
      </c>
      <c r="E93" s="116" t="s">
        <v>92</v>
      </c>
      <c r="F93" s="79" t="s">
        <v>139</v>
      </c>
      <c r="G93" s="486"/>
      <c r="H93" s="116" t="s">
        <v>93</v>
      </c>
      <c r="I93" s="116" t="s">
        <v>92</v>
      </c>
      <c r="J93" s="505">
        <f>AX93</f>
        <v>1915200</v>
      </c>
      <c r="K93" s="466"/>
      <c r="L93" s="466"/>
      <c r="M93" s="466"/>
      <c r="N93" s="464"/>
      <c r="O93" s="464"/>
      <c r="P93" s="74"/>
      <c r="Q93" s="74"/>
      <c r="R93" s="464"/>
      <c r="S93" s="464"/>
      <c r="T93" s="467"/>
      <c r="U93" s="467"/>
      <c r="V93" s="467"/>
      <c r="W93" s="464"/>
      <c r="X93" s="468"/>
      <c r="Y93" s="524">
        <f>SUM(Y89:Y92)</f>
        <v>1915200</v>
      </c>
      <c r="Z93" s="469"/>
      <c r="AA93" s="469">
        <f>SUM(AA89:AA92)</f>
        <v>461492.015575221</v>
      </c>
      <c r="AB93" s="469"/>
      <c r="AC93" s="469"/>
      <c r="AD93" s="470"/>
      <c r="AE93" s="469"/>
      <c r="AF93" s="469"/>
      <c r="AG93" s="469"/>
      <c r="AH93" s="471"/>
      <c r="AI93" s="74"/>
      <c r="AJ93" s="472"/>
      <c r="AK93" s="473"/>
      <c r="AL93" s="464"/>
      <c r="AM93" s="469">
        <f>SUM(AM89:AM92)</f>
        <v>483396.48</v>
      </c>
      <c r="AN93" s="469">
        <f>SUM(AN89:AN92)</f>
        <v>387629.8</v>
      </c>
      <c r="AO93" s="474"/>
      <c r="AP93" s="74"/>
      <c r="AQ93" s="467"/>
      <c r="AR93" s="475"/>
      <c r="AS93" s="475"/>
      <c r="AT93" s="475"/>
      <c r="AU93" s="473"/>
      <c r="AV93" s="473"/>
      <c r="AW93" s="475"/>
      <c r="AX93" s="519">
        <f>SUM(AX89:AX91)</f>
        <v>1915200</v>
      </c>
      <c r="AY93" s="520"/>
      <c r="AZ93" s="521">
        <f>SUM(AZ89:AZ91)</f>
        <v>483396.48</v>
      </c>
      <c r="BA93" s="521">
        <f>SUM(BA89:BA91)</f>
        <v>387629.8</v>
      </c>
      <c r="BB93" s="521"/>
      <c r="BC93" s="521">
        <f>SUM(BC89:BC91)</f>
        <v>-95766.68</v>
      </c>
      <c r="BD93" s="464"/>
      <c r="BE93" s="464"/>
      <c r="BF93" s="464"/>
      <c r="BG93" s="464"/>
      <c r="BI93" s="418" t="s">
        <v>60</v>
      </c>
      <c r="BJ93" s="74"/>
    </row>
    <row r="94" s="75" customFormat="1" ht="14.45" customHeight="1" outlineLevel="1" spans="1:70">
      <c r="A94" s="76"/>
      <c r="B94" s="76"/>
      <c r="C94" s="387">
        <v>45218</v>
      </c>
      <c r="D94" s="76" t="s">
        <v>140</v>
      </c>
      <c r="E94" s="113" t="s">
        <v>141</v>
      </c>
      <c r="F94" s="76" t="s">
        <v>140</v>
      </c>
      <c r="G94" s="479"/>
      <c r="H94" s="113" t="s">
        <v>142</v>
      </c>
      <c r="I94" s="113" t="s">
        <v>141</v>
      </c>
      <c r="J94" s="117">
        <v>1747200</v>
      </c>
      <c r="K94" s="117">
        <v>0.02123</v>
      </c>
      <c r="L94" s="117">
        <f>J94*K94</f>
        <v>37093.056</v>
      </c>
      <c r="M94" s="117"/>
      <c r="N94" s="115"/>
      <c r="O94" s="115"/>
      <c r="P94" s="74"/>
      <c r="Q94" s="74"/>
      <c r="R94" s="115" t="s">
        <v>88</v>
      </c>
      <c r="S94" s="115"/>
      <c r="T94" s="496"/>
      <c r="U94" s="496"/>
      <c r="V94" s="496"/>
      <c r="W94" s="115"/>
      <c r="X94" s="115"/>
      <c r="Y94" s="525">
        <v>1738240</v>
      </c>
      <c r="Z94" s="119">
        <v>0.155</v>
      </c>
      <c r="AA94" s="119">
        <f>Y94*Z94</f>
        <v>269427.2</v>
      </c>
      <c r="AB94" s="119"/>
      <c r="AC94" s="119"/>
      <c r="AD94" s="120"/>
      <c r="AE94" s="119"/>
      <c r="AF94" s="119"/>
      <c r="AG94" s="119"/>
      <c r="AH94" s="121"/>
      <c r="AI94" s="74"/>
      <c r="AJ94" s="122"/>
      <c r="AK94" s="525">
        <v>1738240</v>
      </c>
      <c r="AL94" s="526">
        <v>0.02123</v>
      </c>
      <c r="AM94" s="125">
        <f>AL94*AK94</f>
        <v>36902.8352</v>
      </c>
      <c r="AN94" s="125">
        <v>7458.61</v>
      </c>
      <c r="AO94" s="126"/>
      <c r="AP94" s="74"/>
      <c r="AQ94" s="496"/>
      <c r="AR94" s="497"/>
      <c r="AS94" s="497"/>
      <c r="AT94" s="497"/>
      <c r="AU94" s="128"/>
      <c r="AV94" s="128"/>
      <c r="AW94" s="497"/>
      <c r="AX94" s="123">
        <v>1738240</v>
      </c>
      <c r="AY94" s="526">
        <v>0.02123</v>
      </c>
      <c r="AZ94" s="125">
        <f>AY94*AX94</f>
        <v>36902.8352</v>
      </c>
      <c r="BA94" s="125">
        <v>7458.61</v>
      </c>
      <c r="BB94" s="125"/>
      <c r="BC94" s="127">
        <f>BA94-AZ94</f>
        <v>-29444.2252</v>
      </c>
      <c r="BD94" s="115"/>
      <c r="BE94" s="115"/>
      <c r="BF94" s="115"/>
      <c r="BG94" s="115"/>
      <c r="BJ94" s="74"/>
    </row>
    <row r="95" s="75" customFormat="1" ht="14.45" customHeight="1" outlineLevel="1" spans="1:70">
      <c r="A95" s="76"/>
      <c r="B95" s="76"/>
      <c r="C95" s="387"/>
      <c r="D95" s="76"/>
      <c r="E95" s="113"/>
      <c r="F95" s="76"/>
      <c r="G95" s="479"/>
      <c r="H95" s="113"/>
      <c r="I95" s="113"/>
      <c r="J95" s="117"/>
      <c r="K95" s="117"/>
      <c r="L95" s="117"/>
      <c r="M95" s="117"/>
      <c r="N95" s="115"/>
      <c r="O95" s="115"/>
      <c r="P95" s="74"/>
      <c r="Q95" s="74"/>
      <c r="R95" s="501" t="s">
        <v>95</v>
      </c>
      <c r="S95" s="115"/>
      <c r="T95" s="496"/>
      <c r="U95" s="496"/>
      <c r="V95" s="496"/>
      <c r="W95" s="115"/>
      <c r="X95" s="115"/>
      <c r="Y95" s="115"/>
      <c r="Z95" s="119"/>
      <c r="AA95" s="119">
        <f>-(AZ94*0.13/1.13)*7.18</f>
        <v>-30482.3950227257</v>
      </c>
      <c r="AB95" s="119"/>
      <c r="AC95" s="119"/>
      <c r="AD95" s="120"/>
      <c r="AE95" s="119"/>
      <c r="AF95" s="119"/>
      <c r="AG95" s="119"/>
      <c r="AH95" s="121"/>
      <c r="AI95" s="74"/>
      <c r="AJ95" s="122"/>
      <c r="AK95" s="128"/>
      <c r="AL95" s="115"/>
      <c r="AM95" s="119"/>
      <c r="AN95" s="125">
        <v>29444.23</v>
      </c>
      <c r="AO95" s="126"/>
      <c r="AP95" s="74"/>
      <c r="AQ95" s="496"/>
      <c r="AR95" s="497"/>
      <c r="AS95" s="497"/>
      <c r="AT95" s="497"/>
      <c r="AU95" s="128"/>
      <c r="AV95" s="128"/>
      <c r="AW95" s="497"/>
      <c r="AX95" s="123"/>
      <c r="AY95" s="124"/>
      <c r="AZ95" s="125"/>
      <c r="BA95" s="125">
        <v>29444.23</v>
      </c>
      <c r="BB95" s="125"/>
      <c r="BC95" s="127">
        <f>BA95-AZ95</f>
        <v>29444.23</v>
      </c>
      <c r="BD95" s="115"/>
      <c r="BE95" s="115"/>
      <c r="BF95" s="115"/>
      <c r="BG95" s="115"/>
      <c r="BJ95" s="74"/>
    </row>
    <row r="96" s="151" customFormat="1" ht="14.45" customHeight="1" spans="1:70">
      <c r="A96" s="79">
        <v>10</v>
      </c>
      <c r="B96" s="79"/>
      <c r="C96" s="463" t="s">
        <v>69</v>
      </c>
      <c r="D96" s="79" t="s">
        <v>140</v>
      </c>
      <c r="E96" s="116" t="s">
        <v>141</v>
      </c>
      <c r="F96" s="79" t="s">
        <v>140</v>
      </c>
      <c r="G96" s="486"/>
      <c r="H96" s="116" t="s">
        <v>142</v>
      </c>
      <c r="I96" s="116" t="s">
        <v>141</v>
      </c>
      <c r="J96" s="505">
        <f>AX96</f>
        <v>1738240</v>
      </c>
      <c r="K96" s="466"/>
      <c r="L96" s="466"/>
      <c r="M96" s="466"/>
      <c r="N96" s="464"/>
      <c r="O96" s="464"/>
      <c r="P96" s="74"/>
      <c r="Q96" s="74"/>
      <c r="R96" s="464"/>
      <c r="S96" s="464"/>
      <c r="T96" s="467"/>
      <c r="U96" s="467"/>
      <c r="V96" s="467"/>
      <c r="W96" s="464"/>
      <c r="X96" s="468"/>
      <c r="Y96" s="464"/>
      <c r="Z96" s="469"/>
      <c r="AA96" s="469">
        <f>SUM(AA94:AA95)</f>
        <v>238944.804977274</v>
      </c>
      <c r="AB96" s="469"/>
      <c r="AC96" s="469"/>
      <c r="AD96" s="470"/>
      <c r="AE96" s="469"/>
      <c r="AF96" s="469"/>
      <c r="AG96" s="469"/>
      <c r="AH96" s="471"/>
      <c r="AI96" s="74"/>
      <c r="AJ96" s="472"/>
      <c r="AK96" s="473"/>
      <c r="AL96" s="464"/>
      <c r="AM96" s="469">
        <f>SUM(AM94:AM95)</f>
        <v>36902.8352</v>
      </c>
      <c r="AN96" s="469">
        <f>SUM(AN94:AN95)</f>
        <v>36902.84</v>
      </c>
      <c r="AO96" s="474"/>
      <c r="AP96" s="74"/>
      <c r="AQ96" s="467"/>
      <c r="AR96" s="475"/>
      <c r="AS96" s="475"/>
      <c r="AT96" s="475"/>
      <c r="AU96" s="473"/>
      <c r="AV96" s="473"/>
      <c r="AW96" s="475"/>
      <c r="AX96" s="519">
        <f>SUM(AX94:AX95)</f>
        <v>1738240</v>
      </c>
      <c r="AY96" s="520"/>
      <c r="AZ96" s="521">
        <f>SUM(AZ94:AZ95)</f>
        <v>36902.8352</v>
      </c>
      <c r="BA96" s="521">
        <f>SUM(BA94:BA95)</f>
        <v>36902.84</v>
      </c>
      <c r="BB96" s="521"/>
      <c r="BC96" s="477">
        <f>SUM(BC94:BC95)</f>
        <v>0.0047999999987951</v>
      </c>
      <c r="BD96" s="464"/>
      <c r="BE96" s="464"/>
      <c r="BF96" s="464"/>
      <c r="BG96" s="464"/>
      <c r="BI96" s="418" t="s">
        <v>60</v>
      </c>
      <c r="BJ96" s="74"/>
    </row>
    <row r="97" s="76" customFormat="1" ht="14.45" customHeight="1" outlineLevel="2" spans="1:62">
      <c r="C97" s="387">
        <v>45212</v>
      </c>
      <c r="D97" s="76" t="s">
        <v>143</v>
      </c>
      <c r="E97" s="76" t="s">
        <v>144</v>
      </c>
      <c r="F97" s="76" t="s">
        <v>143</v>
      </c>
      <c r="G97" s="479"/>
      <c r="H97" s="76" t="s">
        <v>93</v>
      </c>
      <c r="I97" s="76" t="s">
        <v>144</v>
      </c>
      <c r="J97" s="129">
        <v>933520</v>
      </c>
      <c r="K97" s="130">
        <v>0.27</v>
      </c>
      <c r="L97" s="130">
        <f>J97*K97</f>
        <v>252050.4</v>
      </c>
      <c r="M97" s="130"/>
      <c r="N97" s="131"/>
      <c r="O97" s="132"/>
      <c r="P97" s="91"/>
      <c r="Q97" s="91"/>
      <c r="R97" s="76" t="s">
        <v>88</v>
      </c>
      <c r="T97" s="387"/>
      <c r="U97" s="387"/>
      <c r="V97" s="387"/>
      <c r="X97" s="112"/>
      <c r="Y97" s="129">
        <v>933520</v>
      </c>
      <c r="Z97" s="130">
        <v>0.27</v>
      </c>
      <c r="AA97" s="130">
        <f>Y97*Z97</f>
        <v>252050.4</v>
      </c>
      <c r="AB97" s="134"/>
      <c r="AC97" s="134"/>
      <c r="AD97" s="135"/>
      <c r="AE97" s="134"/>
      <c r="AF97" s="134"/>
      <c r="AG97" s="134"/>
      <c r="AH97" s="136"/>
      <c r="AI97" s="91"/>
      <c r="AJ97" s="137"/>
      <c r="AK97" s="137">
        <v>933520</v>
      </c>
      <c r="AL97" s="138">
        <v>0.244</v>
      </c>
      <c r="AM97" s="114">
        <f>AK97*AL97</f>
        <v>227778.88</v>
      </c>
      <c r="AN97" s="127">
        <v>152976.6</v>
      </c>
      <c r="AO97" s="139"/>
      <c r="AP97" s="91"/>
      <c r="AQ97" s="387"/>
      <c r="AR97" s="482"/>
      <c r="AS97" s="482"/>
      <c r="AT97" s="482"/>
      <c r="AU97" s="137"/>
      <c r="AV97" s="137"/>
      <c r="AW97" s="482"/>
      <c r="AX97" s="137">
        <v>933520</v>
      </c>
      <c r="AY97" s="138">
        <v>0.244</v>
      </c>
      <c r="AZ97" s="114">
        <f>AX97*AY97</f>
        <v>227778.88</v>
      </c>
      <c r="BA97" s="127">
        <v>152976.6</v>
      </c>
      <c r="BB97" s="127"/>
      <c r="BC97" s="127">
        <f>BA97-AZ97</f>
        <v>-74802.28</v>
      </c>
      <c r="BF97" s="112"/>
      <c r="BI97" s="75"/>
      <c r="BJ97" s="91"/>
    </row>
    <row r="98" s="76" customFormat="1" ht="14.45" customHeight="1" outlineLevel="2" spans="1:62">
      <c r="C98" s="387"/>
      <c r="G98" s="479"/>
      <c r="J98" s="129"/>
      <c r="K98" s="130"/>
      <c r="L98" s="130"/>
      <c r="M98" s="130"/>
      <c r="N98" s="131"/>
      <c r="O98" s="132"/>
      <c r="P98" s="91"/>
      <c r="Q98" s="91"/>
      <c r="R98" s="501" t="s">
        <v>95</v>
      </c>
      <c r="T98" s="387"/>
      <c r="U98" s="387"/>
      <c r="V98" s="387"/>
      <c r="X98" s="112"/>
      <c r="Y98" s="129"/>
      <c r="Z98" s="130"/>
      <c r="AA98" s="119">
        <f>-(AZ97*0.13/1.13)</f>
        <v>-26204.6499115044</v>
      </c>
      <c r="AB98" s="134"/>
      <c r="AC98" s="134"/>
      <c r="AD98" s="135"/>
      <c r="AE98" s="134"/>
      <c r="AF98" s="134"/>
      <c r="AG98" s="134"/>
      <c r="AH98" s="136"/>
      <c r="AI98" s="91"/>
      <c r="AJ98" s="137"/>
      <c r="AK98" s="137"/>
      <c r="AL98" s="138"/>
      <c r="AM98" s="114"/>
      <c r="AN98" s="127"/>
      <c r="AO98" s="139"/>
      <c r="AP98" s="91"/>
      <c r="AQ98" s="387"/>
      <c r="AR98" s="482"/>
      <c r="AS98" s="482"/>
      <c r="AT98" s="482"/>
      <c r="AU98" s="137"/>
      <c r="AV98" s="137"/>
      <c r="AW98" s="482"/>
      <c r="AX98" s="137"/>
      <c r="AY98" s="138"/>
      <c r="AZ98" s="114"/>
      <c r="BA98" s="127"/>
      <c r="BB98" s="127"/>
      <c r="BC98" s="127"/>
      <c r="BF98" s="112"/>
      <c r="BI98" s="75"/>
      <c r="BJ98" s="91"/>
    </row>
    <row r="99" s="76" customFormat="1" ht="14.45" customHeight="1" outlineLevel="2" spans="1:62">
      <c r="C99" s="387"/>
      <c r="E99" s="76" t="s">
        <v>145</v>
      </c>
      <c r="G99" s="479"/>
      <c r="I99" s="76" t="s">
        <v>145</v>
      </c>
      <c r="J99" s="129">
        <v>478800</v>
      </c>
      <c r="K99" s="130">
        <v>0.265</v>
      </c>
      <c r="L99" s="130">
        <f>J99*K99</f>
        <v>126882</v>
      </c>
      <c r="M99" s="130"/>
      <c r="N99" s="131"/>
      <c r="O99" s="132"/>
      <c r="P99" s="91"/>
      <c r="Q99" s="91"/>
      <c r="R99" s="76" t="s">
        <v>88</v>
      </c>
      <c r="T99" s="387"/>
      <c r="U99" s="387"/>
      <c r="V99" s="387"/>
      <c r="X99" s="112"/>
      <c r="Y99" s="129">
        <v>478800</v>
      </c>
      <c r="Z99" s="130">
        <v>0.265</v>
      </c>
      <c r="AA99" s="130">
        <f>Y99*Z99</f>
        <v>126882</v>
      </c>
      <c r="AB99" s="134"/>
      <c r="AC99" s="134"/>
      <c r="AD99" s="135"/>
      <c r="AE99" s="134"/>
      <c r="AF99" s="134"/>
      <c r="AG99" s="134"/>
      <c r="AH99" s="136"/>
      <c r="AI99" s="91"/>
      <c r="AJ99" s="137"/>
      <c r="AK99" s="137">
        <v>478800</v>
      </c>
      <c r="AL99" s="138">
        <v>0.24</v>
      </c>
      <c r="AM99" s="114">
        <f>AK99*AL99</f>
        <v>114912</v>
      </c>
      <c r="AN99" s="127"/>
      <c r="AO99" s="139"/>
      <c r="AP99" s="91"/>
      <c r="AQ99" s="387"/>
      <c r="AR99" s="482"/>
      <c r="AS99" s="482"/>
      <c r="AT99" s="482"/>
      <c r="AU99" s="137"/>
      <c r="AV99" s="137"/>
      <c r="AW99" s="482"/>
      <c r="AX99" s="137">
        <v>478800</v>
      </c>
      <c r="AY99" s="138">
        <v>0.24</v>
      </c>
      <c r="AZ99" s="114">
        <f>AX99*AY99</f>
        <v>114912</v>
      </c>
      <c r="BA99" s="127"/>
      <c r="BB99" s="127"/>
      <c r="BC99" s="127">
        <f>BA99-AZ99</f>
        <v>-114912</v>
      </c>
      <c r="BF99" s="112"/>
      <c r="BI99" s="75"/>
      <c r="BJ99" s="91"/>
    </row>
    <row r="100" s="76" customFormat="1" ht="14.45" customHeight="1" outlineLevel="2" spans="1:62">
      <c r="C100" s="387"/>
      <c r="G100" s="479"/>
      <c r="J100" s="129"/>
      <c r="K100" s="130"/>
      <c r="L100" s="130"/>
      <c r="M100" s="130"/>
      <c r="N100" s="131"/>
      <c r="O100" s="132"/>
      <c r="P100" s="91"/>
      <c r="Q100" s="91"/>
      <c r="R100" s="501" t="s">
        <v>95</v>
      </c>
      <c r="T100" s="387"/>
      <c r="U100" s="387"/>
      <c r="V100" s="387"/>
      <c r="X100" s="112"/>
      <c r="Y100" s="129"/>
      <c r="Z100" s="130"/>
      <c r="AA100" s="119">
        <f>-(AZ99*0.13/1.13)</f>
        <v>-13219.9646017699</v>
      </c>
      <c r="AB100" s="134"/>
      <c r="AC100" s="134"/>
      <c r="AD100" s="135"/>
      <c r="AE100" s="134"/>
      <c r="AF100" s="134"/>
      <c r="AG100" s="134"/>
      <c r="AH100" s="136"/>
      <c r="AI100" s="91"/>
      <c r="AJ100" s="137"/>
      <c r="AK100" s="137"/>
      <c r="AL100" s="138"/>
      <c r="AM100" s="114"/>
      <c r="AN100" s="127"/>
      <c r="AO100" s="139"/>
      <c r="AP100" s="91"/>
      <c r="AQ100" s="387"/>
      <c r="AR100" s="482"/>
      <c r="AS100" s="482"/>
      <c r="AT100" s="482"/>
      <c r="AU100" s="137"/>
      <c r="AV100" s="137"/>
      <c r="AW100" s="482"/>
      <c r="AX100" s="137"/>
      <c r="AY100" s="138"/>
      <c r="AZ100" s="114"/>
      <c r="BA100" s="127"/>
      <c r="BB100" s="127"/>
      <c r="BC100" s="127"/>
      <c r="BF100" s="112"/>
      <c r="BI100" s="75"/>
      <c r="BJ100" s="91"/>
    </row>
    <row r="101" s="76" customFormat="1" ht="14.45" customHeight="1" outlineLevel="2" spans="1:62">
      <c r="C101" s="387"/>
      <c r="E101" s="76" t="s">
        <v>146</v>
      </c>
      <c r="G101" s="479"/>
      <c r="I101" s="76" t="s">
        <v>146</v>
      </c>
      <c r="J101" s="129">
        <v>478800</v>
      </c>
      <c r="K101" s="130">
        <v>0.26</v>
      </c>
      <c r="L101" s="130">
        <f>J101*K101</f>
        <v>124488</v>
      </c>
      <c r="M101" s="130"/>
      <c r="N101" s="131"/>
      <c r="O101" s="132"/>
      <c r="P101" s="91"/>
      <c r="Q101" s="91"/>
      <c r="R101" s="76" t="s">
        <v>88</v>
      </c>
      <c r="T101" s="387"/>
      <c r="U101" s="387"/>
      <c r="V101" s="387"/>
      <c r="X101" s="112"/>
      <c r="Y101" s="129">
        <v>478800</v>
      </c>
      <c r="Z101" s="130">
        <v>0.26</v>
      </c>
      <c r="AA101" s="130">
        <f>Y101*Z101</f>
        <v>124488</v>
      </c>
      <c r="AB101" s="134"/>
      <c r="AC101" s="134"/>
      <c r="AD101" s="135"/>
      <c r="AE101" s="134"/>
      <c r="AF101" s="134"/>
      <c r="AG101" s="134"/>
      <c r="AH101" s="136"/>
      <c r="AI101" s="91"/>
      <c r="AJ101" s="137"/>
      <c r="AK101" s="137">
        <v>478800</v>
      </c>
      <c r="AL101" s="138">
        <v>0.235</v>
      </c>
      <c r="AM101" s="114">
        <f>AK101*AL101</f>
        <v>112518</v>
      </c>
      <c r="AN101" s="127"/>
      <c r="AO101" s="139"/>
      <c r="AP101" s="91"/>
      <c r="AQ101" s="387"/>
      <c r="AR101" s="482"/>
      <c r="AS101" s="482"/>
      <c r="AT101" s="482"/>
      <c r="AU101" s="137"/>
      <c r="AV101" s="137"/>
      <c r="AW101" s="482"/>
      <c r="AX101" s="137">
        <v>478800</v>
      </c>
      <c r="AY101" s="138">
        <v>0.235</v>
      </c>
      <c r="AZ101" s="114">
        <f>AX101*AY101</f>
        <v>112518</v>
      </c>
      <c r="BA101" s="127"/>
      <c r="BB101" s="127"/>
      <c r="BC101" s="127">
        <f>BA101-AZ101</f>
        <v>-112518</v>
      </c>
      <c r="BF101" s="112"/>
      <c r="BI101" s="75"/>
      <c r="BJ101" s="91"/>
    </row>
    <row r="102" s="76" customFormat="1" ht="14.45" customHeight="1" outlineLevel="2" spans="1:62">
      <c r="C102" s="387"/>
      <c r="G102" s="479"/>
      <c r="J102" s="129"/>
      <c r="K102" s="130"/>
      <c r="L102" s="130"/>
      <c r="M102" s="130"/>
      <c r="N102" s="131"/>
      <c r="O102" s="132"/>
      <c r="P102" s="91"/>
      <c r="Q102" s="91"/>
      <c r="R102" s="501" t="s">
        <v>95</v>
      </c>
      <c r="T102" s="387"/>
      <c r="U102" s="387"/>
      <c r="V102" s="387"/>
      <c r="X102" s="112"/>
      <c r="Y102" s="129"/>
      <c r="Z102" s="130"/>
      <c r="AA102" s="119">
        <f>-(AZ101*0.13/1.13)</f>
        <v>-12944.5486725664</v>
      </c>
      <c r="AB102" s="134"/>
      <c r="AC102" s="134"/>
      <c r="AD102" s="135"/>
      <c r="AE102" s="134"/>
      <c r="AF102" s="134"/>
      <c r="AG102" s="134"/>
      <c r="AH102" s="136"/>
      <c r="AI102" s="91"/>
      <c r="AJ102" s="137"/>
      <c r="AK102" s="137"/>
      <c r="AL102" s="138"/>
      <c r="AM102" s="114"/>
      <c r="AN102" s="127"/>
      <c r="AO102" s="139"/>
      <c r="AP102" s="91"/>
      <c r="AQ102" s="387"/>
      <c r="AR102" s="482"/>
      <c r="AS102" s="482"/>
      <c r="AT102" s="482"/>
      <c r="AU102" s="137"/>
      <c r="AV102" s="137"/>
      <c r="AW102" s="482"/>
      <c r="AX102" s="137"/>
      <c r="AY102" s="138"/>
      <c r="AZ102" s="114"/>
      <c r="BA102" s="127"/>
      <c r="BB102" s="127"/>
      <c r="BC102" s="127"/>
      <c r="BF102" s="112"/>
      <c r="BI102" s="75"/>
      <c r="BJ102" s="91"/>
    </row>
    <row r="103" s="79" customFormat="1" ht="14.45" customHeight="1" spans="1:62">
      <c r="A103" s="79">
        <v>11</v>
      </c>
      <c r="C103" s="463" t="s">
        <v>69</v>
      </c>
      <c r="D103" s="79" t="s">
        <v>143</v>
      </c>
      <c r="E103" s="79" t="s">
        <v>92</v>
      </c>
      <c r="F103" s="79" t="s">
        <v>143</v>
      </c>
      <c r="G103" s="486"/>
      <c r="H103" s="79" t="s">
        <v>93</v>
      </c>
      <c r="I103" s="79" t="s">
        <v>92</v>
      </c>
      <c r="J103" s="527">
        <v>1915200</v>
      </c>
      <c r="K103" s="528"/>
      <c r="L103" s="528"/>
      <c r="M103" s="528"/>
      <c r="N103" s="529"/>
      <c r="O103" s="530"/>
      <c r="P103" s="91"/>
      <c r="Q103" s="91"/>
      <c r="T103" s="463"/>
      <c r="U103" s="463"/>
      <c r="V103" s="463"/>
      <c r="X103" s="193"/>
      <c r="Z103" s="531"/>
      <c r="AA103" s="192">
        <f>SUM(AA97:AA102)</f>
        <v>451051.236814159</v>
      </c>
      <c r="AB103" s="531"/>
      <c r="AC103" s="531"/>
      <c r="AD103" s="196"/>
      <c r="AE103" s="531"/>
      <c r="AF103" s="192"/>
      <c r="AG103" s="531"/>
      <c r="AH103" s="532"/>
      <c r="AI103" s="91"/>
      <c r="AJ103" s="225"/>
      <c r="AK103" s="225"/>
      <c r="AL103" s="533"/>
      <c r="AM103" s="192">
        <f>SUM(AM97:AM102)</f>
        <v>455208.88</v>
      </c>
      <c r="AN103" s="192">
        <f>SUM(AN97:AN102)</f>
        <v>152976.6</v>
      </c>
      <c r="AO103" s="534"/>
      <c r="AP103" s="91"/>
      <c r="AQ103" s="463"/>
      <c r="AR103" s="491"/>
      <c r="AS103" s="491"/>
      <c r="AT103" s="491"/>
      <c r="AU103" s="225"/>
      <c r="AV103" s="225"/>
      <c r="AW103" s="491"/>
      <c r="AX103" s="492">
        <v>1891120</v>
      </c>
      <c r="AY103" s="192"/>
      <c r="AZ103" s="150">
        <v>455208.88</v>
      </c>
      <c r="BA103" s="150">
        <v>152976.6</v>
      </c>
      <c r="BB103" s="150"/>
      <c r="BC103" s="150">
        <f>BA103-AZ103</f>
        <v>-302232.28</v>
      </c>
      <c r="BI103" s="151" t="s">
        <v>60</v>
      </c>
      <c r="BJ103" s="91"/>
    </row>
    <row r="104" s="75" customFormat="1" ht="14.45" customHeight="1" outlineLevel="1" spans="1:62">
      <c r="A104" s="76"/>
      <c r="B104" s="76"/>
      <c r="C104" s="387">
        <v>45246</v>
      </c>
      <c r="D104" s="76" t="s">
        <v>147</v>
      </c>
      <c r="E104" s="113" t="s">
        <v>92</v>
      </c>
      <c r="F104" s="76" t="s">
        <v>147</v>
      </c>
      <c r="G104" s="479"/>
      <c r="H104" s="79" t="s">
        <v>93</v>
      </c>
      <c r="I104" s="113" t="s">
        <v>92</v>
      </c>
      <c r="J104" s="117">
        <v>2097600</v>
      </c>
      <c r="K104" s="117">
        <v>0.2271</v>
      </c>
      <c r="L104" s="117">
        <f>J104*K104</f>
        <v>476364.96</v>
      </c>
      <c r="M104" s="117"/>
      <c r="N104" s="115"/>
      <c r="O104" s="115"/>
      <c r="P104" s="74"/>
      <c r="Q104" s="74"/>
      <c r="R104" s="113" t="s">
        <v>148</v>
      </c>
      <c r="S104" s="115" t="s">
        <v>149</v>
      </c>
      <c r="T104" s="496">
        <v>45238</v>
      </c>
      <c r="U104" s="496"/>
      <c r="V104" s="496"/>
      <c r="W104" s="115"/>
      <c r="X104" s="115"/>
      <c r="Y104" s="115">
        <v>2097600</v>
      </c>
      <c r="Z104" s="119">
        <v>0.245</v>
      </c>
      <c r="AA104" s="119">
        <f>Y104*Z104</f>
        <v>513912</v>
      </c>
      <c r="AB104" s="119"/>
      <c r="AC104" s="119"/>
      <c r="AD104" s="120"/>
      <c r="AE104" s="119"/>
      <c r="AF104" s="119"/>
      <c r="AG104" s="119"/>
      <c r="AH104" s="121"/>
      <c r="AI104" s="74"/>
      <c r="AJ104" s="122"/>
      <c r="AK104" s="123">
        <f>1048800*2</f>
        <v>2097600</v>
      </c>
      <c r="AL104" s="523">
        <v>0.2271</v>
      </c>
      <c r="AM104" s="125">
        <f>AL104*AK104</f>
        <v>476364.96</v>
      </c>
      <c r="AN104" s="125">
        <f>454789.38+21575.58</f>
        <v>476364.96</v>
      </c>
      <c r="AO104" s="126"/>
      <c r="AP104" s="74"/>
      <c r="AQ104" s="496"/>
      <c r="AR104" s="497"/>
      <c r="AS104" s="497"/>
      <c r="AT104" s="497"/>
      <c r="AU104" s="128"/>
      <c r="AV104" s="128"/>
      <c r="AW104" s="497"/>
      <c r="AX104" s="123">
        <f>1048800*2</f>
        <v>2097600</v>
      </c>
      <c r="AY104" s="523">
        <v>0.2271</v>
      </c>
      <c r="AZ104" s="125">
        <f>AY104*AX104</f>
        <v>476364.96</v>
      </c>
      <c r="BA104" s="125">
        <f>454789.38+21575.58</f>
        <v>476364.96</v>
      </c>
      <c r="BB104" s="125"/>
      <c r="BC104" s="127">
        <f>BA104-AZ104</f>
        <v>0</v>
      </c>
      <c r="BD104" s="115"/>
      <c r="BE104" s="115"/>
      <c r="BF104" s="115"/>
      <c r="BG104" s="115"/>
      <c r="BJ104" s="74"/>
    </row>
    <row r="105" s="75" customFormat="1" ht="14.45" customHeight="1" outlineLevel="1" spans="1:62">
      <c r="A105" s="76"/>
      <c r="B105" s="76"/>
      <c r="C105" s="387"/>
      <c r="D105" s="76"/>
      <c r="E105" s="113"/>
      <c r="F105" s="76"/>
      <c r="G105" s="479"/>
      <c r="H105" s="79"/>
      <c r="I105" s="113"/>
      <c r="J105" s="117"/>
      <c r="K105" s="117"/>
      <c r="L105" s="117"/>
      <c r="M105" s="117"/>
      <c r="N105" s="115"/>
      <c r="O105" s="115"/>
      <c r="P105" s="74"/>
      <c r="Q105" s="74"/>
      <c r="R105" s="501" t="s">
        <v>95</v>
      </c>
      <c r="S105" s="76"/>
      <c r="T105" s="387"/>
      <c r="U105" s="387"/>
      <c r="V105" s="387"/>
      <c r="W105" s="76"/>
      <c r="X105" s="112"/>
      <c r="Y105" s="129"/>
      <c r="Z105" s="130"/>
      <c r="AA105" s="119">
        <f>-(AZ104*0.13/1.13)</f>
        <v>-54803.0484955752</v>
      </c>
      <c r="AB105" s="119"/>
      <c r="AC105" s="119"/>
      <c r="AD105" s="120"/>
      <c r="AE105" s="119"/>
      <c r="AF105" s="119"/>
      <c r="AG105" s="119"/>
      <c r="AH105" s="121"/>
      <c r="AI105" s="74"/>
      <c r="AJ105" s="122"/>
      <c r="AK105" s="123"/>
      <c r="AL105" s="523"/>
      <c r="AM105" s="125"/>
      <c r="AN105" s="119"/>
      <c r="AO105" s="126"/>
      <c r="AP105" s="74"/>
      <c r="AQ105" s="496"/>
      <c r="AR105" s="497"/>
      <c r="AS105" s="497"/>
      <c r="AT105" s="497"/>
      <c r="AU105" s="128"/>
      <c r="AV105" s="128"/>
      <c r="AW105" s="497"/>
      <c r="AX105" s="123"/>
      <c r="AY105" s="523"/>
      <c r="AZ105" s="125"/>
      <c r="BA105" s="125"/>
      <c r="BB105" s="125"/>
      <c r="BC105" s="127"/>
      <c r="BD105" s="115"/>
      <c r="BE105" s="115"/>
      <c r="BF105" s="115"/>
      <c r="BG105" s="115"/>
      <c r="BJ105" s="74"/>
    </row>
    <row r="106" s="151" customFormat="1" ht="14.45" customHeight="1" spans="1:62">
      <c r="A106" s="79">
        <v>12</v>
      </c>
      <c r="B106" s="79"/>
      <c r="C106" s="463" t="s">
        <v>69</v>
      </c>
      <c r="D106" s="79" t="s">
        <v>147</v>
      </c>
      <c r="E106" s="116" t="s">
        <v>92</v>
      </c>
      <c r="F106" s="79" t="s">
        <v>147</v>
      </c>
      <c r="G106" s="486"/>
      <c r="H106" s="79" t="s">
        <v>93</v>
      </c>
      <c r="I106" s="116" t="s">
        <v>92</v>
      </c>
      <c r="J106" s="505">
        <f>AX106</f>
        <v>2097600</v>
      </c>
      <c r="K106" s="466"/>
      <c r="L106" s="466"/>
      <c r="M106" s="466"/>
      <c r="N106" s="464"/>
      <c r="O106" s="464"/>
      <c r="P106" s="74"/>
      <c r="Q106" s="74"/>
      <c r="R106" s="464"/>
      <c r="S106" s="464"/>
      <c r="T106" s="467"/>
      <c r="U106" s="467"/>
      <c r="V106" s="467"/>
      <c r="W106" s="464"/>
      <c r="X106" s="468"/>
      <c r="Y106" s="464"/>
      <c r="Z106" s="469"/>
      <c r="AA106" s="469">
        <f>SUM(AA104:AA105)</f>
        <v>459108.951504425</v>
      </c>
      <c r="AB106" s="469"/>
      <c r="AC106" s="469"/>
      <c r="AD106" s="470"/>
      <c r="AE106" s="469"/>
      <c r="AF106" s="469"/>
      <c r="AG106" s="469"/>
      <c r="AH106" s="471"/>
      <c r="AI106" s="74"/>
      <c r="AJ106" s="472"/>
      <c r="AK106" s="473"/>
      <c r="AL106" s="464"/>
      <c r="AM106" s="469">
        <f>SUM(AM104:AM105)</f>
        <v>476364.96</v>
      </c>
      <c r="AN106" s="469">
        <f>SUM(AN104:AN105)</f>
        <v>476364.96</v>
      </c>
      <c r="AO106" s="474"/>
      <c r="AP106" s="74"/>
      <c r="AQ106" s="467"/>
      <c r="AR106" s="475"/>
      <c r="AS106" s="475"/>
      <c r="AT106" s="475"/>
      <c r="AU106" s="473"/>
      <c r="AV106" s="473"/>
      <c r="AW106" s="475"/>
      <c r="AX106" s="519">
        <f>AX104</f>
        <v>2097600</v>
      </c>
      <c r="AY106" s="520"/>
      <c r="AZ106" s="521">
        <f>AZ104</f>
        <v>476364.96</v>
      </c>
      <c r="BA106" s="521">
        <f>BA104</f>
        <v>476364.96</v>
      </c>
      <c r="BB106" s="521"/>
      <c r="BC106" s="477">
        <f>BC104</f>
        <v>0</v>
      </c>
      <c r="BD106" s="464"/>
      <c r="BE106" s="464"/>
      <c r="BF106" s="464"/>
      <c r="BG106" s="464"/>
      <c r="BI106" s="151" t="s">
        <v>60</v>
      </c>
      <c r="BJ106" s="74"/>
    </row>
    <row r="107" s="76" customFormat="1" ht="14.45" customHeight="1" outlineLevel="1" spans="1:62">
      <c r="C107" s="387">
        <v>45243</v>
      </c>
      <c r="D107" s="76" t="s">
        <v>150</v>
      </c>
      <c r="E107" s="113" t="s">
        <v>151</v>
      </c>
      <c r="F107" s="76" t="s">
        <v>150</v>
      </c>
      <c r="G107" s="479"/>
      <c r="H107" s="79" t="s">
        <v>93</v>
      </c>
      <c r="I107" s="113" t="s">
        <v>151</v>
      </c>
      <c r="J107" s="129">
        <v>300</v>
      </c>
      <c r="K107" s="130">
        <v>6650</v>
      </c>
      <c r="L107" s="130">
        <f>J107*K107</f>
        <v>1995000</v>
      </c>
      <c r="M107" s="130"/>
      <c r="N107" s="131"/>
      <c r="O107" s="132"/>
      <c r="P107" s="91"/>
      <c r="Q107" s="91"/>
      <c r="R107" s="76" t="s">
        <v>88</v>
      </c>
      <c r="S107" s="76" t="s">
        <v>152</v>
      </c>
      <c r="T107" s="387">
        <v>45245</v>
      </c>
      <c r="U107" s="387"/>
      <c r="V107" s="387"/>
      <c r="X107" s="112"/>
      <c r="Y107" s="129">
        <v>316.478</v>
      </c>
      <c r="Z107" s="130">
        <v>6650</v>
      </c>
      <c r="AA107" s="130">
        <f>Y107*Z107</f>
        <v>2104578.7</v>
      </c>
      <c r="AB107" s="134"/>
      <c r="AC107" s="114"/>
      <c r="AD107" s="140"/>
      <c r="AE107" s="134"/>
      <c r="AF107" s="114"/>
      <c r="AG107" s="134"/>
      <c r="AH107" s="136"/>
      <c r="AI107" s="91"/>
      <c r="AJ107" s="137"/>
      <c r="AK107" s="142">
        <v>69.69</v>
      </c>
      <c r="AL107" s="114">
        <f>AM107/AK107</f>
        <v>9562.01033146793</v>
      </c>
      <c r="AM107" s="127">
        <v>666376.5</v>
      </c>
      <c r="AN107" s="114"/>
      <c r="AO107" s="139"/>
      <c r="AP107" s="91"/>
      <c r="AQ107" s="387"/>
      <c r="AR107" s="482"/>
      <c r="AS107" s="482"/>
      <c r="AT107" s="482"/>
      <c r="AU107" s="137"/>
      <c r="AV107" s="137"/>
      <c r="AW107" s="482"/>
      <c r="AX107" s="142">
        <v>96.69</v>
      </c>
      <c r="AY107" s="114">
        <f>AZ107/AX107</f>
        <v>6891.88644120385</v>
      </c>
      <c r="AZ107" s="127">
        <v>666376.5</v>
      </c>
      <c r="BA107" s="127">
        <v>59122.62</v>
      </c>
      <c r="BB107" s="127"/>
      <c r="BC107" s="127">
        <f t="shared" ref="BC107:BC114" si="8">BA107-AZ107</f>
        <v>-607253.88</v>
      </c>
      <c r="BI107" s="75"/>
      <c r="BJ107" s="91"/>
    </row>
    <row r="108" s="76" customFormat="1" ht="14.45" customHeight="1" outlineLevel="1" spans="1:62">
      <c r="C108" s="387"/>
      <c r="E108" s="113" t="s">
        <v>153</v>
      </c>
      <c r="G108" s="479"/>
      <c r="H108" s="79" t="s">
        <v>93</v>
      </c>
      <c r="I108" s="113" t="s">
        <v>153</v>
      </c>
      <c r="J108" s="129">
        <v>25</v>
      </c>
      <c r="K108" s="130">
        <v>6650</v>
      </c>
      <c r="L108" s="130">
        <f>J108*K108</f>
        <v>166250</v>
      </c>
      <c r="M108" s="130"/>
      <c r="N108" s="131"/>
      <c r="O108" s="132"/>
      <c r="P108" s="91"/>
      <c r="Q108" s="91"/>
      <c r="R108" s="76" t="s">
        <v>88</v>
      </c>
      <c r="S108" s="76" t="s">
        <v>154</v>
      </c>
      <c r="T108" s="387">
        <v>45245</v>
      </c>
      <c r="U108" s="387"/>
      <c r="V108" s="387"/>
      <c r="X108" s="112"/>
      <c r="Y108" s="129">
        <v>27.896</v>
      </c>
      <c r="Z108" s="130">
        <v>6650</v>
      </c>
      <c r="AA108" s="130">
        <f>Y108*Z108</f>
        <v>185508.4</v>
      </c>
      <c r="AB108" s="134"/>
      <c r="AC108" s="114"/>
      <c r="AD108" s="140"/>
      <c r="AE108" s="134"/>
      <c r="AF108" s="114"/>
      <c r="AG108" s="134"/>
      <c r="AH108" s="136"/>
      <c r="AI108" s="91"/>
      <c r="AJ108" s="137"/>
      <c r="AK108" s="142">
        <v>27</v>
      </c>
      <c r="AL108" s="114"/>
      <c r="AM108" s="127"/>
      <c r="AN108" s="114"/>
      <c r="AO108" s="139"/>
      <c r="AP108" s="91"/>
      <c r="AQ108" s="387"/>
      <c r="AR108" s="482"/>
      <c r="AS108" s="482"/>
      <c r="AT108" s="482"/>
      <c r="AU108" s="137"/>
      <c r="AV108" s="137"/>
      <c r="AW108" s="482"/>
      <c r="AX108" s="142"/>
      <c r="AY108" s="114"/>
      <c r="AZ108" s="127"/>
      <c r="BA108" s="127"/>
      <c r="BB108" s="127"/>
      <c r="BC108" s="127">
        <f t="shared" si="8"/>
        <v>0</v>
      </c>
      <c r="BI108" s="75"/>
      <c r="BJ108" s="91"/>
    </row>
    <row r="109" s="76" customFormat="1" ht="14.45" customHeight="1" outlineLevel="1" spans="1:62">
      <c r="C109" s="387">
        <v>45252</v>
      </c>
      <c r="D109" s="76" t="s">
        <v>155</v>
      </c>
      <c r="E109" s="113" t="s">
        <v>156</v>
      </c>
      <c r="F109" s="76" t="s">
        <v>155</v>
      </c>
      <c r="G109" s="479"/>
      <c r="H109" s="79" t="s">
        <v>93</v>
      </c>
      <c r="I109" s="113" t="s">
        <v>156</v>
      </c>
      <c r="J109" s="129">
        <v>50</v>
      </c>
      <c r="K109" s="130">
        <v>6800</v>
      </c>
      <c r="L109" s="130">
        <f>J109*K109</f>
        <v>340000</v>
      </c>
      <c r="M109" s="130"/>
      <c r="N109" s="131"/>
      <c r="O109" s="132"/>
      <c r="P109" s="91"/>
      <c r="Q109" s="91"/>
      <c r="R109" s="76" t="s">
        <v>88</v>
      </c>
      <c r="S109" s="76" t="s">
        <v>157</v>
      </c>
      <c r="T109" s="387">
        <v>45245</v>
      </c>
      <c r="U109" s="387"/>
      <c r="V109" s="387"/>
      <c r="X109" s="112"/>
      <c r="Y109" s="129">
        <v>54.171</v>
      </c>
      <c r="Z109" s="130">
        <v>6800</v>
      </c>
      <c r="AA109" s="130">
        <f>Y109*Z109</f>
        <v>368362.8</v>
      </c>
      <c r="AB109" s="134"/>
      <c r="AC109" s="114"/>
      <c r="AD109" s="140"/>
      <c r="AE109" s="134"/>
      <c r="AF109" s="114"/>
      <c r="AG109" s="134"/>
      <c r="AH109" s="136"/>
      <c r="AI109" s="91"/>
      <c r="AJ109" s="137"/>
      <c r="AK109" s="142">
        <v>163.841</v>
      </c>
      <c r="AL109" s="114">
        <f>AM109/AK109</f>
        <v>7872.3068706856</v>
      </c>
      <c r="AM109" s="127">
        <v>1289806.63</v>
      </c>
      <c r="AN109" s="114"/>
      <c r="AO109" s="139"/>
      <c r="AP109" s="91"/>
      <c r="AQ109" s="387"/>
      <c r="AR109" s="482"/>
      <c r="AS109" s="482"/>
      <c r="AT109" s="482"/>
      <c r="AU109" s="137"/>
      <c r="AV109" s="137"/>
      <c r="AW109" s="482"/>
      <c r="AX109" s="142">
        <v>163.841</v>
      </c>
      <c r="AY109" s="114">
        <f>AZ109/AX109</f>
        <v>7872.3068706856</v>
      </c>
      <c r="AZ109" s="127">
        <v>1289806.63</v>
      </c>
      <c r="BA109" s="127">
        <v>799125</v>
      </c>
      <c r="BB109" s="127"/>
      <c r="BC109" s="127">
        <f t="shared" si="8"/>
        <v>-490681.63</v>
      </c>
      <c r="BI109" s="75"/>
      <c r="BJ109" s="91"/>
    </row>
    <row r="110" s="76" customFormat="1" ht="14.45" customHeight="1" outlineLevel="1" spans="1:62">
      <c r="C110" s="387">
        <v>45266</v>
      </c>
      <c r="D110" s="76" t="s">
        <v>158</v>
      </c>
      <c r="E110" s="113" t="s">
        <v>159</v>
      </c>
      <c r="F110" s="76" t="s">
        <v>158</v>
      </c>
      <c r="G110" s="479"/>
      <c r="H110" s="79" t="s">
        <v>93</v>
      </c>
      <c r="I110" s="113" t="s">
        <v>159</v>
      </c>
      <c r="J110" s="129">
        <v>50</v>
      </c>
      <c r="K110" s="130">
        <v>6650</v>
      </c>
      <c r="L110" s="130">
        <f>J110*K110</f>
        <v>332500</v>
      </c>
      <c r="M110" s="130"/>
      <c r="N110" s="131"/>
      <c r="O110" s="132"/>
      <c r="P110" s="91"/>
      <c r="Q110" s="91"/>
      <c r="R110" s="76" t="s">
        <v>88</v>
      </c>
      <c r="S110" s="76" t="s">
        <v>160</v>
      </c>
      <c r="T110" s="387">
        <v>45245</v>
      </c>
      <c r="U110" s="387"/>
      <c r="V110" s="387"/>
      <c r="X110" s="112"/>
      <c r="Y110" s="129">
        <v>37.8</v>
      </c>
      <c r="Z110" s="130">
        <v>6650</v>
      </c>
      <c r="AA110" s="130">
        <f>Y110*Z110</f>
        <v>251370</v>
      </c>
      <c r="AB110" s="134"/>
      <c r="AC110" s="134"/>
      <c r="AD110" s="140"/>
      <c r="AE110" s="134"/>
      <c r="AF110" s="114"/>
      <c r="AG110" s="134"/>
      <c r="AH110" s="136"/>
      <c r="AI110" s="91"/>
      <c r="AJ110" s="137"/>
      <c r="AK110" s="142">
        <v>108.541</v>
      </c>
      <c r="AL110" s="114">
        <f>AM110/AK110</f>
        <v>9370.51234095872</v>
      </c>
      <c r="AM110" s="127">
        <v>1017084.78</v>
      </c>
      <c r="AN110" s="114"/>
      <c r="AO110" s="139"/>
      <c r="AP110" s="91"/>
      <c r="AQ110" s="387"/>
      <c r="AR110" s="482"/>
      <c r="AS110" s="482"/>
      <c r="AT110" s="482"/>
      <c r="AU110" s="137"/>
      <c r="AV110" s="137"/>
      <c r="AW110" s="482"/>
      <c r="AX110" s="142">
        <v>108.541</v>
      </c>
      <c r="AY110" s="114">
        <f>AZ110/AX110</f>
        <v>9370.51234095872</v>
      </c>
      <c r="AZ110" s="127">
        <v>1017084.78</v>
      </c>
      <c r="BA110" s="127">
        <v>59122.62</v>
      </c>
      <c r="BB110" s="127"/>
      <c r="BC110" s="127">
        <f t="shared" si="8"/>
        <v>-957962.16</v>
      </c>
      <c r="BI110" s="75"/>
      <c r="BJ110" s="91"/>
    </row>
    <row r="111" s="76" customFormat="1" ht="14.45" customHeight="1" outlineLevel="1" spans="1:62">
      <c r="C111" s="387">
        <v>45296</v>
      </c>
      <c r="D111" s="76" t="s">
        <v>161</v>
      </c>
      <c r="E111" s="76" t="s">
        <v>162</v>
      </c>
      <c r="F111" s="76" t="s">
        <v>161</v>
      </c>
      <c r="G111" s="479"/>
      <c r="H111" s="79" t="s">
        <v>93</v>
      </c>
      <c r="J111" s="129"/>
      <c r="K111" s="130"/>
      <c r="L111" s="130"/>
      <c r="M111" s="130"/>
      <c r="N111" s="131"/>
      <c r="O111" s="132"/>
      <c r="P111" s="91"/>
      <c r="Q111" s="91"/>
      <c r="T111" s="387"/>
      <c r="U111" s="387"/>
      <c r="V111" s="387"/>
      <c r="X111" s="112"/>
      <c r="Z111" s="134"/>
      <c r="AA111" s="114"/>
      <c r="AB111" s="134"/>
      <c r="AC111" s="134"/>
      <c r="AD111" s="140"/>
      <c r="AE111" s="134"/>
      <c r="AF111" s="114"/>
      <c r="AG111" s="134"/>
      <c r="AH111" s="136"/>
      <c r="AI111" s="91"/>
      <c r="AJ111" s="137"/>
      <c r="AK111" s="142">
        <v>54.57</v>
      </c>
      <c r="AL111" s="114">
        <f>AM111/AK111</f>
        <v>9300</v>
      </c>
      <c r="AM111" s="127">
        <v>507501</v>
      </c>
      <c r="AN111" s="114"/>
      <c r="AO111" s="139"/>
      <c r="AP111" s="91"/>
      <c r="AQ111" s="387"/>
      <c r="AR111" s="482"/>
      <c r="AS111" s="482"/>
      <c r="AT111" s="482"/>
      <c r="AU111" s="137"/>
      <c r="AV111" s="137"/>
      <c r="AW111" s="482"/>
      <c r="AX111" s="142">
        <v>54.57</v>
      </c>
      <c r="AY111" s="114">
        <f>AZ111/AX111</f>
        <v>9300</v>
      </c>
      <c r="AZ111" s="127">
        <v>507501</v>
      </c>
      <c r="BA111" s="127">
        <v>59122.62</v>
      </c>
      <c r="BB111" s="127"/>
      <c r="BC111" s="127">
        <f t="shared" si="8"/>
        <v>-448378.38</v>
      </c>
      <c r="BI111" s="75"/>
      <c r="BJ111" s="91"/>
    </row>
    <row r="112" s="76" customFormat="1" ht="14.45" customHeight="1" outlineLevel="1" spans="1:62">
      <c r="C112" s="387">
        <v>45316</v>
      </c>
      <c r="D112" s="76" t="s">
        <v>163</v>
      </c>
      <c r="E112" s="76" t="s">
        <v>164</v>
      </c>
      <c r="F112" s="76" t="s">
        <v>163</v>
      </c>
      <c r="G112" s="479"/>
      <c r="H112" s="79" t="s">
        <v>93</v>
      </c>
      <c r="J112" s="129"/>
      <c r="K112" s="130"/>
      <c r="L112" s="130"/>
      <c r="M112" s="130"/>
      <c r="N112" s="131"/>
      <c r="O112" s="132"/>
      <c r="P112" s="91"/>
      <c r="Q112" s="91"/>
      <c r="T112" s="387"/>
      <c r="U112" s="387"/>
      <c r="V112" s="387"/>
      <c r="X112" s="112"/>
      <c r="Z112" s="134"/>
      <c r="AA112" s="114"/>
      <c r="AB112" s="114"/>
      <c r="AC112" s="134"/>
      <c r="AD112" s="140"/>
      <c r="AE112" s="134"/>
      <c r="AF112" s="114"/>
      <c r="AG112" s="134"/>
      <c r="AH112" s="136"/>
      <c r="AI112" s="91"/>
      <c r="AJ112" s="137"/>
      <c r="AK112" s="142">
        <v>12.703</v>
      </c>
      <c r="AL112" s="114">
        <f>AM112/AK112</f>
        <v>9650</v>
      </c>
      <c r="AM112" s="127">
        <v>122583.95</v>
      </c>
      <c r="AN112" s="114"/>
      <c r="AO112" s="139"/>
      <c r="AP112" s="91"/>
      <c r="AQ112" s="387"/>
      <c r="AR112" s="482"/>
      <c r="AS112" s="482"/>
      <c r="AT112" s="482"/>
      <c r="AU112" s="137"/>
      <c r="AV112" s="137"/>
      <c r="AW112" s="482"/>
      <c r="AX112" s="142">
        <v>12.703</v>
      </c>
      <c r="AY112" s="114">
        <f>AZ112/AX112</f>
        <v>9650</v>
      </c>
      <c r="AZ112" s="127">
        <v>122583.95</v>
      </c>
      <c r="BA112" s="127">
        <v>844848.05</v>
      </c>
      <c r="BB112" s="127"/>
      <c r="BC112" s="127">
        <f t="shared" si="8"/>
        <v>722264.1</v>
      </c>
      <c r="BI112" s="75"/>
      <c r="BJ112" s="91"/>
    </row>
    <row r="113" s="76" customFormat="1" ht="14.45" customHeight="1" outlineLevel="1" spans="1:62">
      <c r="C113" s="387">
        <v>45377</v>
      </c>
      <c r="D113" s="76" t="s">
        <v>99</v>
      </c>
      <c r="F113" s="76" t="s">
        <v>99</v>
      </c>
      <c r="G113" s="479"/>
      <c r="H113" s="79" t="s">
        <v>93</v>
      </c>
      <c r="J113" s="129"/>
      <c r="K113" s="130"/>
      <c r="L113" s="130"/>
      <c r="M113" s="130"/>
      <c r="N113" s="131"/>
      <c r="O113" s="132"/>
      <c r="P113" s="91"/>
      <c r="Q113" s="91"/>
      <c r="T113" s="387"/>
      <c r="U113" s="387"/>
      <c r="V113" s="387"/>
      <c r="X113" s="112"/>
      <c r="Z113" s="134"/>
      <c r="AA113" s="114"/>
      <c r="AB113" s="134"/>
      <c r="AC113" s="134"/>
      <c r="AD113" s="135"/>
      <c r="AE113" s="134"/>
      <c r="AF113" s="134"/>
      <c r="AG113" s="134"/>
      <c r="AH113" s="136"/>
      <c r="AI113" s="91"/>
      <c r="AJ113" s="137"/>
      <c r="AK113" s="137"/>
      <c r="AM113" s="114"/>
      <c r="AN113" s="114"/>
      <c r="AO113" s="144"/>
      <c r="AP113" s="91"/>
      <c r="AQ113" s="387"/>
      <c r="AR113" s="482"/>
      <c r="AS113" s="482"/>
      <c r="AT113" s="482"/>
      <c r="AU113" s="137"/>
      <c r="AV113" s="137"/>
      <c r="AW113" s="482"/>
      <c r="AX113" s="142"/>
      <c r="AY113" s="114"/>
      <c r="AZ113" s="127"/>
      <c r="BA113" s="127">
        <v>1000000</v>
      </c>
      <c r="BB113" s="127"/>
      <c r="BC113" s="127">
        <f t="shared" si="8"/>
        <v>1000000</v>
      </c>
      <c r="BI113" s="75"/>
      <c r="BJ113" s="91"/>
    </row>
    <row r="114" s="76" customFormat="1" ht="14.45" customHeight="1" outlineLevel="1" spans="1:62">
      <c r="C114" s="387">
        <v>45525</v>
      </c>
      <c r="D114" s="76" t="s">
        <v>99</v>
      </c>
      <c r="F114" s="76" t="s">
        <v>99</v>
      </c>
      <c r="G114" s="479"/>
      <c r="H114" s="79" t="s">
        <v>93</v>
      </c>
      <c r="J114" s="129"/>
      <c r="K114" s="130"/>
      <c r="L114" s="130"/>
      <c r="M114" s="130"/>
      <c r="N114" s="131"/>
      <c r="O114" s="132"/>
      <c r="P114" s="91"/>
      <c r="Q114" s="91"/>
      <c r="T114" s="387"/>
      <c r="U114" s="387"/>
      <c r="V114" s="387"/>
      <c r="X114" s="112"/>
      <c r="Z114" s="134"/>
      <c r="AA114" s="114"/>
      <c r="AB114" s="134"/>
      <c r="AC114" s="134"/>
      <c r="AD114" s="135"/>
      <c r="AE114" s="134"/>
      <c r="AF114" s="114"/>
      <c r="AG114" s="134"/>
      <c r="AH114" s="136"/>
      <c r="AI114" s="91"/>
      <c r="AJ114" s="137"/>
      <c r="AK114" s="137"/>
      <c r="AM114" s="114"/>
      <c r="AN114" s="114"/>
      <c r="AO114" s="144"/>
      <c r="AP114" s="91"/>
      <c r="AQ114" s="387"/>
      <c r="AR114" s="482"/>
      <c r="AS114" s="482"/>
      <c r="AT114" s="482"/>
      <c r="AU114" s="137"/>
      <c r="AV114" s="137"/>
      <c r="AW114" s="482"/>
      <c r="AX114" s="142"/>
      <c r="AY114" s="114"/>
      <c r="AZ114" s="127"/>
      <c r="BA114" s="127">
        <v>600000</v>
      </c>
      <c r="BB114" s="127"/>
      <c r="BC114" s="127">
        <f t="shared" si="8"/>
        <v>600000</v>
      </c>
      <c r="BI114" s="75"/>
      <c r="BJ114" s="91"/>
    </row>
    <row r="115" s="79" customFormat="1" ht="14.45" customHeight="1" spans="1:62">
      <c r="A115" s="79">
        <v>13</v>
      </c>
      <c r="C115" s="463" t="s">
        <v>69</v>
      </c>
      <c r="D115" s="79" t="s">
        <v>165</v>
      </c>
      <c r="E115" s="79" t="s">
        <v>166</v>
      </c>
      <c r="F115" s="79" t="s">
        <v>165</v>
      </c>
      <c r="G115" s="486"/>
      <c r="H115" s="79" t="s">
        <v>93</v>
      </c>
      <c r="I115" s="79" t="s">
        <v>166</v>
      </c>
      <c r="J115" s="505">
        <f>AX115</f>
        <v>436.345</v>
      </c>
      <c r="K115" s="528"/>
      <c r="L115" s="528"/>
      <c r="M115" s="528"/>
      <c r="N115" s="529"/>
      <c r="O115" s="530"/>
      <c r="P115" s="91"/>
      <c r="Q115" s="91"/>
      <c r="T115" s="463"/>
      <c r="U115" s="463"/>
      <c r="V115" s="463"/>
      <c r="X115" s="193"/>
      <c r="Y115" s="194">
        <f>SUM(Y107:Y114)</f>
        <v>436.345</v>
      </c>
      <c r="Z115" s="531"/>
      <c r="AA115" s="192"/>
      <c r="AB115" s="531"/>
      <c r="AC115" s="192"/>
      <c r="AD115" s="535"/>
      <c r="AE115" s="531"/>
      <c r="AF115" s="192"/>
      <c r="AG115" s="531"/>
      <c r="AH115" s="532"/>
      <c r="AI115" s="91"/>
      <c r="AJ115" s="225"/>
      <c r="AK115" s="194">
        <f>SUM(AK107:AK114)</f>
        <v>436.345</v>
      </c>
      <c r="AM115" s="192"/>
      <c r="AN115" s="192"/>
      <c r="AO115" s="490"/>
      <c r="AP115" s="91"/>
      <c r="AQ115" s="463"/>
      <c r="AR115" s="491"/>
      <c r="AS115" s="491"/>
      <c r="AT115" s="491"/>
      <c r="AU115" s="225"/>
      <c r="AV115" s="225"/>
      <c r="AW115" s="491"/>
      <c r="AX115" s="536">
        <f>SUM(AX107:AX114)</f>
        <v>436.345</v>
      </c>
      <c r="AY115" s="192"/>
      <c r="AZ115" s="150">
        <f>SUM(AZ107:AZ114)</f>
        <v>3603352.86</v>
      </c>
      <c r="BA115" s="150">
        <f>SUM(BA107:BA114)</f>
        <v>3421340.91</v>
      </c>
      <c r="BB115" s="150"/>
      <c r="BC115" s="150">
        <f>SUM(BC107:BC114)</f>
        <v>-182011.95</v>
      </c>
      <c r="BI115" s="151" t="s">
        <v>60</v>
      </c>
      <c r="BJ115" s="91"/>
    </row>
    <row r="116" s="75" customFormat="1" ht="14.45" customHeight="1" outlineLevel="1" spans="1:62">
      <c r="A116" s="76"/>
      <c r="B116" s="76"/>
      <c r="C116" s="387">
        <v>45285</v>
      </c>
      <c r="D116" s="76" t="s">
        <v>167</v>
      </c>
      <c r="E116" s="113" t="s">
        <v>92</v>
      </c>
      <c r="F116" s="76" t="s">
        <v>167</v>
      </c>
      <c r="G116" s="479"/>
      <c r="H116" s="79" t="s">
        <v>93</v>
      </c>
      <c r="I116" s="113" t="s">
        <v>92</v>
      </c>
      <c r="J116" s="117">
        <v>2097600</v>
      </c>
      <c r="K116" s="117">
        <v>0.2271</v>
      </c>
      <c r="L116" s="117">
        <f>J116*K116</f>
        <v>476364.96</v>
      </c>
      <c r="M116" s="117"/>
      <c r="N116" s="115"/>
      <c r="O116" s="115"/>
      <c r="P116" s="74"/>
      <c r="Q116" s="74"/>
      <c r="R116" s="113" t="s">
        <v>148</v>
      </c>
      <c r="S116" s="115" t="s">
        <v>168</v>
      </c>
      <c r="T116" s="496">
        <v>44938</v>
      </c>
      <c r="U116" s="496"/>
      <c r="V116" s="496"/>
      <c r="W116" s="115"/>
      <c r="X116" s="115"/>
      <c r="Y116" s="115">
        <v>2097600</v>
      </c>
      <c r="Z116" s="119">
        <v>0.245</v>
      </c>
      <c r="AA116" s="119">
        <f>Y116*Z116</f>
        <v>513912</v>
      </c>
      <c r="AB116" s="119"/>
      <c r="AC116" s="119"/>
      <c r="AD116" s="120"/>
      <c r="AE116" s="119"/>
      <c r="AF116" s="119"/>
      <c r="AG116" s="119"/>
      <c r="AH116" s="121"/>
      <c r="AI116" s="74"/>
      <c r="AJ116" s="122"/>
      <c r="AK116" s="123">
        <f>1048800*2</f>
        <v>2097600</v>
      </c>
      <c r="AL116" s="537">
        <v>0.2233</v>
      </c>
      <c r="AM116" s="125">
        <f>AL116*AK116</f>
        <v>468394.08</v>
      </c>
      <c r="AN116" s="125">
        <v>454789.38</v>
      </c>
      <c r="AO116" s="126"/>
      <c r="AP116" s="74"/>
      <c r="AQ116" s="496"/>
      <c r="AR116" s="497"/>
      <c r="AS116" s="497"/>
      <c r="AT116" s="497"/>
      <c r="AU116" s="128"/>
      <c r="AV116" s="128"/>
      <c r="AW116" s="497"/>
      <c r="AX116" s="123">
        <f>1048800*2</f>
        <v>2097600</v>
      </c>
      <c r="AY116" s="537">
        <v>0.2233</v>
      </c>
      <c r="AZ116" s="125">
        <f>AY116*AX116</f>
        <v>468394.08</v>
      </c>
      <c r="BA116" s="125">
        <v>454789.38</v>
      </c>
      <c r="BB116" s="125"/>
      <c r="BC116" s="127">
        <f>BA116-AZ116</f>
        <v>-13604.7</v>
      </c>
      <c r="BD116" s="115"/>
      <c r="BE116" s="115"/>
      <c r="BF116" s="115"/>
      <c r="BG116" s="115"/>
      <c r="BJ116" s="74"/>
    </row>
    <row r="117" s="75" customFormat="1" ht="14.45" customHeight="1" outlineLevel="1" spans="1:62">
      <c r="A117" s="76"/>
      <c r="B117" s="76"/>
      <c r="C117" s="387"/>
      <c r="D117" s="76"/>
      <c r="E117" s="113"/>
      <c r="F117" s="76"/>
      <c r="G117" s="479"/>
      <c r="H117" s="79"/>
      <c r="I117" s="113"/>
      <c r="J117" s="117"/>
      <c r="K117" s="117"/>
      <c r="L117" s="117"/>
      <c r="M117" s="117"/>
      <c r="N117" s="115"/>
      <c r="O117" s="115"/>
      <c r="P117" s="74"/>
      <c r="Q117" s="74"/>
      <c r="R117" s="501" t="s">
        <v>95</v>
      </c>
      <c r="S117" s="76"/>
      <c r="T117" s="387"/>
      <c r="U117" s="387"/>
      <c r="V117" s="387"/>
      <c r="W117" s="76"/>
      <c r="X117" s="112"/>
      <c r="Y117" s="129"/>
      <c r="Z117" s="130"/>
      <c r="AA117" s="119">
        <f>-(AZ116*0.13/1.13)</f>
        <v>-53886.0446017699</v>
      </c>
      <c r="AB117" s="119"/>
      <c r="AC117" s="119"/>
      <c r="AD117" s="120"/>
      <c r="AE117" s="119"/>
      <c r="AF117" s="119"/>
      <c r="AG117" s="119"/>
      <c r="AH117" s="121"/>
      <c r="AI117" s="74"/>
      <c r="AJ117" s="122"/>
      <c r="AK117" s="123"/>
      <c r="AL117" s="537"/>
      <c r="AM117" s="125"/>
      <c r="AN117" s="125"/>
      <c r="AO117" s="126"/>
      <c r="AP117" s="74"/>
      <c r="AQ117" s="496"/>
      <c r="AR117" s="497"/>
      <c r="AS117" s="497"/>
      <c r="AT117" s="497"/>
      <c r="AU117" s="128"/>
      <c r="AV117" s="128"/>
      <c r="AW117" s="497"/>
      <c r="AX117" s="123"/>
      <c r="AY117" s="537"/>
      <c r="AZ117" s="125"/>
      <c r="BA117" s="125"/>
      <c r="BB117" s="125"/>
      <c r="BC117" s="127"/>
      <c r="BD117" s="115"/>
      <c r="BE117" s="115"/>
      <c r="BF117" s="115"/>
      <c r="BG117" s="115"/>
      <c r="BJ117" s="74"/>
    </row>
    <row r="118" s="75" customFormat="1" ht="14.45" customHeight="1" outlineLevel="1" spans="1:62">
      <c r="A118" s="76"/>
      <c r="B118" s="76"/>
      <c r="C118" s="387">
        <v>45471</v>
      </c>
      <c r="D118" s="76" t="s">
        <v>99</v>
      </c>
      <c r="E118" s="113"/>
      <c r="F118" s="76" t="s">
        <v>99</v>
      </c>
      <c r="G118" s="479"/>
      <c r="H118" s="79" t="s">
        <v>93</v>
      </c>
      <c r="I118" s="113"/>
      <c r="J118" s="117"/>
      <c r="K118" s="117"/>
      <c r="L118" s="117"/>
      <c r="M118" s="117"/>
      <c r="N118" s="115"/>
      <c r="O118" s="115"/>
      <c r="P118" s="74"/>
      <c r="Q118" s="74"/>
      <c r="R118" s="115"/>
      <c r="S118" s="115"/>
      <c r="T118" s="496"/>
      <c r="U118" s="496"/>
      <c r="V118" s="496"/>
      <c r="W118" s="115"/>
      <c r="X118" s="115"/>
      <c r="Y118" s="115"/>
      <c r="Z118" s="119"/>
      <c r="AA118" s="119"/>
      <c r="AB118" s="119"/>
      <c r="AC118" s="119"/>
      <c r="AD118" s="120"/>
      <c r="AE118" s="119"/>
      <c r="AF118" s="119"/>
      <c r="AG118" s="119"/>
      <c r="AH118" s="121"/>
      <c r="AI118" s="74"/>
      <c r="AJ118" s="122"/>
      <c r="AK118" s="128"/>
      <c r="AL118" s="115"/>
      <c r="AM118" s="119"/>
      <c r="AN118" s="125">
        <v>13604.7</v>
      </c>
      <c r="AO118" s="126"/>
      <c r="AP118" s="74"/>
      <c r="AQ118" s="496"/>
      <c r="AR118" s="497"/>
      <c r="AS118" s="497"/>
      <c r="AT118" s="497"/>
      <c r="AU118" s="128"/>
      <c r="AV118" s="128"/>
      <c r="AW118" s="497"/>
      <c r="AX118" s="123"/>
      <c r="AY118" s="124"/>
      <c r="AZ118" s="125"/>
      <c r="BA118" s="125">
        <v>13604.7</v>
      </c>
      <c r="BB118" s="125"/>
      <c r="BC118" s="127">
        <f>BA118-AZ118</f>
        <v>13604.7</v>
      </c>
      <c r="BD118" s="115"/>
      <c r="BE118" s="115"/>
      <c r="BF118" s="115"/>
      <c r="BG118" s="115"/>
      <c r="BJ118" s="74"/>
    </row>
    <row r="119" s="151" customFormat="1" ht="14.45" customHeight="1" spans="1:62">
      <c r="A119" s="79">
        <v>14</v>
      </c>
      <c r="B119" s="79"/>
      <c r="C119" s="463" t="s">
        <v>69</v>
      </c>
      <c r="D119" s="79" t="s">
        <v>167</v>
      </c>
      <c r="E119" s="116" t="s">
        <v>92</v>
      </c>
      <c r="F119" s="79" t="s">
        <v>167</v>
      </c>
      <c r="G119" s="486"/>
      <c r="H119" s="79" t="s">
        <v>93</v>
      </c>
      <c r="I119" s="116" t="s">
        <v>92</v>
      </c>
      <c r="J119" s="505">
        <f>AX119</f>
        <v>2097600</v>
      </c>
      <c r="K119" s="466"/>
      <c r="L119" s="466"/>
      <c r="M119" s="466"/>
      <c r="N119" s="464"/>
      <c r="O119" s="464"/>
      <c r="P119" s="74"/>
      <c r="Q119" s="74"/>
      <c r="R119" s="464"/>
      <c r="S119" s="464"/>
      <c r="T119" s="467"/>
      <c r="U119" s="467"/>
      <c r="V119" s="467"/>
      <c r="W119" s="464"/>
      <c r="X119" s="468"/>
      <c r="Y119" s="464"/>
      <c r="Z119" s="469"/>
      <c r="AA119" s="469">
        <f>SUM(AA116:AA118)</f>
        <v>460025.95539823</v>
      </c>
      <c r="AB119" s="469"/>
      <c r="AC119" s="469"/>
      <c r="AD119" s="470"/>
      <c r="AE119" s="469"/>
      <c r="AF119" s="469"/>
      <c r="AG119" s="469"/>
      <c r="AH119" s="471"/>
      <c r="AI119" s="74"/>
      <c r="AJ119" s="472"/>
      <c r="AK119" s="473"/>
      <c r="AL119" s="464"/>
      <c r="AM119" s="469">
        <f>SUM(AM116:AM118)</f>
        <v>468394.08</v>
      </c>
      <c r="AN119" s="469">
        <f>SUM(AN116:AN118)</f>
        <v>468394.08</v>
      </c>
      <c r="AO119" s="474"/>
      <c r="AP119" s="74"/>
      <c r="AQ119" s="467"/>
      <c r="AR119" s="475"/>
      <c r="AS119" s="475"/>
      <c r="AT119" s="475"/>
      <c r="AU119" s="473"/>
      <c r="AV119" s="473"/>
      <c r="AW119" s="475"/>
      <c r="AX119" s="499">
        <f>1048800*2</f>
        <v>2097600</v>
      </c>
      <c r="AY119" s="520"/>
      <c r="AZ119" s="521">
        <f>AZ116+AZ118</f>
        <v>468394.08</v>
      </c>
      <c r="BA119" s="521">
        <f>BA116+BA118</f>
        <v>468394.08</v>
      </c>
      <c r="BB119" s="521"/>
      <c r="BC119" s="477">
        <f>BC116+BC118</f>
        <v>0</v>
      </c>
      <c r="BD119" s="464"/>
      <c r="BE119" s="464"/>
      <c r="BF119" s="464"/>
      <c r="BG119" s="464"/>
      <c r="BI119" s="151" t="s">
        <v>60</v>
      </c>
      <c r="BJ119" s="74"/>
    </row>
    <row r="120" s="75" customFormat="1" ht="14.45" customHeight="1" outlineLevel="1" spans="1:62">
      <c r="A120" s="76"/>
      <c r="B120" s="76"/>
      <c r="C120" s="387">
        <v>45316</v>
      </c>
      <c r="D120" s="76" t="s">
        <v>169</v>
      </c>
      <c r="E120" s="113" t="s">
        <v>92</v>
      </c>
      <c r="F120" s="76" t="s">
        <v>169</v>
      </c>
      <c r="G120" s="479"/>
      <c r="H120" s="113" t="s">
        <v>93</v>
      </c>
      <c r="I120" s="113" t="s">
        <v>92</v>
      </c>
      <c r="J120" s="117">
        <v>2097600</v>
      </c>
      <c r="K120" s="117">
        <v>0.2271</v>
      </c>
      <c r="L120" s="117">
        <f>J120*K120</f>
        <v>476364.96</v>
      </c>
      <c r="M120" s="117"/>
      <c r="N120" s="115"/>
      <c r="O120" s="115"/>
      <c r="P120" s="74"/>
      <c r="Q120" s="74"/>
      <c r="R120" s="113" t="s">
        <v>148</v>
      </c>
      <c r="S120" s="115" t="s">
        <v>170</v>
      </c>
      <c r="T120" s="496">
        <v>44938</v>
      </c>
      <c r="U120" s="496"/>
      <c r="V120" s="496"/>
      <c r="W120" s="115"/>
      <c r="X120" s="115"/>
      <c r="Y120" s="115">
        <v>2097600</v>
      </c>
      <c r="Z120" s="119">
        <v>0.245</v>
      </c>
      <c r="AA120" s="119">
        <f>Y120*Z120</f>
        <v>513912</v>
      </c>
      <c r="AB120" s="119"/>
      <c r="AC120" s="119"/>
      <c r="AD120" s="120"/>
      <c r="AE120" s="119"/>
      <c r="AF120" s="119"/>
      <c r="AG120" s="119"/>
      <c r="AH120" s="121"/>
      <c r="AI120" s="74"/>
      <c r="AJ120" s="122"/>
      <c r="AK120" s="123">
        <f>1048800*2</f>
        <v>2097600</v>
      </c>
      <c r="AL120" s="537">
        <v>0.2271</v>
      </c>
      <c r="AM120" s="125">
        <f>AL120*AK120</f>
        <v>476364.96</v>
      </c>
      <c r="AN120" s="125">
        <v>454789.38</v>
      </c>
      <c r="AO120" s="126"/>
      <c r="AP120" s="74"/>
      <c r="AQ120" s="496"/>
      <c r="AR120" s="497"/>
      <c r="AS120" s="497"/>
      <c r="AT120" s="497"/>
      <c r="AU120" s="128"/>
      <c r="AV120" s="128"/>
      <c r="AW120" s="497"/>
      <c r="AX120" s="123">
        <f>1048800*2</f>
        <v>2097600</v>
      </c>
      <c r="AY120" s="537">
        <v>0.2271</v>
      </c>
      <c r="AZ120" s="125">
        <f>AY120*AX120</f>
        <v>476364.96</v>
      </c>
      <c r="BA120" s="125">
        <v>454789.38</v>
      </c>
      <c r="BB120" s="125"/>
      <c r="BC120" s="127">
        <f>BA120-AZ120</f>
        <v>-21575.58</v>
      </c>
      <c r="BD120" s="115"/>
      <c r="BE120" s="115"/>
      <c r="BF120" s="115"/>
      <c r="BG120" s="115"/>
      <c r="BJ120" s="74"/>
    </row>
    <row r="121" s="75" customFormat="1" ht="14.45" customHeight="1" outlineLevel="1" spans="1:62">
      <c r="A121" s="76"/>
      <c r="B121" s="76"/>
      <c r="C121" s="387"/>
      <c r="D121" s="76"/>
      <c r="E121" s="113"/>
      <c r="F121" s="76"/>
      <c r="G121" s="479"/>
      <c r="H121" s="113"/>
      <c r="I121" s="113"/>
      <c r="J121" s="117"/>
      <c r="K121" s="117"/>
      <c r="L121" s="117"/>
      <c r="M121" s="117"/>
      <c r="N121" s="115"/>
      <c r="O121" s="115"/>
      <c r="P121" s="74"/>
      <c r="Q121" s="74"/>
      <c r="R121" s="501" t="s">
        <v>95</v>
      </c>
      <c r="S121" s="76"/>
      <c r="T121" s="387"/>
      <c r="U121" s="387"/>
      <c r="V121" s="387"/>
      <c r="W121" s="76"/>
      <c r="X121" s="112"/>
      <c r="Y121" s="129"/>
      <c r="Z121" s="130"/>
      <c r="AA121" s="119">
        <f>-(AZ120*0.13/1.13)</f>
        <v>-54803.0484955752</v>
      </c>
      <c r="AB121" s="119"/>
      <c r="AC121" s="119"/>
      <c r="AD121" s="120"/>
      <c r="AE121" s="119"/>
      <c r="AF121" s="119"/>
      <c r="AG121" s="119"/>
      <c r="AH121" s="121"/>
      <c r="AI121" s="74"/>
      <c r="AJ121" s="122"/>
      <c r="AK121" s="123"/>
      <c r="AL121" s="537"/>
      <c r="AM121" s="125"/>
      <c r="AN121" s="125"/>
      <c r="AO121" s="126"/>
      <c r="AP121" s="74"/>
      <c r="AQ121" s="496"/>
      <c r="AR121" s="497"/>
      <c r="AS121" s="497"/>
      <c r="AT121" s="497"/>
      <c r="AU121" s="128"/>
      <c r="AV121" s="128"/>
      <c r="AW121" s="497"/>
      <c r="AX121" s="123"/>
      <c r="AY121" s="537"/>
      <c r="AZ121" s="125"/>
      <c r="BA121" s="125"/>
      <c r="BB121" s="125"/>
      <c r="BC121" s="127"/>
      <c r="BD121" s="115"/>
      <c r="BE121" s="115"/>
      <c r="BF121" s="115"/>
      <c r="BG121" s="115"/>
      <c r="BJ121" s="74"/>
    </row>
    <row r="122" s="75" customFormat="1" ht="14.45" customHeight="1" outlineLevel="1" spans="1:62">
      <c r="A122" s="76"/>
      <c r="B122" s="76"/>
      <c r="C122" s="387">
        <v>45471</v>
      </c>
      <c r="D122" s="76" t="s">
        <v>99</v>
      </c>
      <c r="E122" s="113"/>
      <c r="F122" s="76" t="s">
        <v>99</v>
      </c>
      <c r="G122" s="479"/>
      <c r="H122" s="113"/>
      <c r="I122" s="113"/>
      <c r="J122" s="117"/>
      <c r="K122" s="117"/>
      <c r="L122" s="117"/>
      <c r="M122" s="117"/>
      <c r="N122" s="115"/>
      <c r="O122" s="115"/>
      <c r="P122" s="74"/>
      <c r="Q122" s="74"/>
      <c r="R122" s="115"/>
      <c r="S122" s="115"/>
      <c r="T122" s="496"/>
      <c r="U122" s="496"/>
      <c r="V122" s="496"/>
      <c r="W122" s="115"/>
      <c r="X122" s="115"/>
      <c r="Y122" s="115"/>
      <c r="Z122" s="119"/>
      <c r="AA122" s="119"/>
      <c r="AB122" s="119"/>
      <c r="AC122" s="119"/>
      <c r="AD122" s="120"/>
      <c r="AE122" s="119"/>
      <c r="AF122" s="119"/>
      <c r="AG122" s="119"/>
      <c r="AH122" s="121"/>
      <c r="AI122" s="74"/>
      <c r="AJ122" s="122"/>
      <c r="AK122" s="128"/>
      <c r="AL122" s="115"/>
      <c r="AM122" s="119"/>
      <c r="AN122" s="125">
        <v>21575.58</v>
      </c>
      <c r="AO122" s="126"/>
      <c r="AP122" s="74"/>
      <c r="AQ122" s="496"/>
      <c r="AR122" s="497"/>
      <c r="AS122" s="497"/>
      <c r="AT122" s="497"/>
      <c r="AU122" s="128"/>
      <c r="AV122" s="128"/>
      <c r="AW122" s="497"/>
      <c r="AX122" s="123"/>
      <c r="AY122" s="124"/>
      <c r="AZ122" s="125"/>
      <c r="BA122" s="125">
        <v>21575.58</v>
      </c>
      <c r="BB122" s="125"/>
      <c r="BC122" s="127">
        <f>BA122-AZ122</f>
        <v>21575.58</v>
      </c>
      <c r="BD122" s="115"/>
      <c r="BE122" s="115"/>
      <c r="BF122" s="115"/>
      <c r="BG122" s="115"/>
      <c r="BJ122" s="74"/>
    </row>
    <row r="123" s="151" customFormat="1" ht="14.45" customHeight="1" spans="1:62">
      <c r="A123" s="79">
        <v>15</v>
      </c>
      <c r="B123" s="79"/>
      <c r="C123" s="463" t="s">
        <v>69</v>
      </c>
      <c r="D123" s="79" t="s">
        <v>169</v>
      </c>
      <c r="E123" s="116" t="s">
        <v>92</v>
      </c>
      <c r="F123" s="79" t="s">
        <v>169</v>
      </c>
      <c r="G123" s="486"/>
      <c r="H123" s="116" t="s">
        <v>93</v>
      </c>
      <c r="I123" s="116" t="s">
        <v>92</v>
      </c>
      <c r="J123" s="505">
        <f>AX123</f>
        <v>2097600</v>
      </c>
      <c r="K123" s="466"/>
      <c r="L123" s="466"/>
      <c r="M123" s="466"/>
      <c r="N123" s="464"/>
      <c r="O123" s="464"/>
      <c r="P123" s="74"/>
      <c r="Q123" s="74"/>
      <c r="R123" s="464"/>
      <c r="S123" s="464"/>
      <c r="T123" s="467"/>
      <c r="U123" s="467"/>
      <c r="V123" s="467"/>
      <c r="W123" s="464"/>
      <c r="X123" s="468"/>
      <c r="Y123" s="464"/>
      <c r="Z123" s="469"/>
      <c r="AA123" s="469">
        <f>SUM(AA120:AA122)</f>
        <v>459108.951504425</v>
      </c>
      <c r="AB123" s="469"/>
      <c r="AC123" s="469"/>
      <c r="AD123" s="470"/>
      <c r="AE123" s="469"/>
      <c r="AF123" s="469"/>
      <c r="AG123" s="469"/>
      <c r="AH123" s="471"/>
      <c r="AI123" s="74"/>
      <c r="AJ123" s="472"/>
      <c r="AK123" s="473"/>
      <c r="AL123" s="464"/>
      <c r="AM123" s="469">
        <f>SUM(AM120:AM122)</f>
        <v>476364.96</v>
      </c>
      <c r="AN123" s="469">
        <f>SUM(AN120:AN122)</f>
        <v>476364.96</v>
      </c>
      <c r="AO123" s="474"/>
      <c r="AP123" s="74"/>
      <c r="AQ123" s="467"/>
      <c r="AR123" s="475"/>
      <c r="AS123" s="475"/>
      <c r="AT123" s="475"/>
      <c r="AU123" s="473"/>
      <c r="AV123" s="473"/>
      <c r="AW123" s="475"/>
      <c r="AX123" s="499">
        <f>1048800*2</f>
        <v>2097600</v>
      </c>
      <c r="AY123" s="520"/>
      <c r="AZ123" s="521">
        <f>SUM(AZ120:AZ122)</f>
        <v>476364.96</v>
      </c>
      <c r="BA123" s="521">
        <f>SUM(BA120:BA122)</f>
        <v>476364.96</v>
      </c>
      <c r="BB123" s="521"/>
      <c r="BC123" s="477">
        <f>SUM(BC120:BC122)</f>
        <v>0</v>
      </c>
      <c r="BD123" s="464"/>
      <c r="BE123" s="464"/>
      <c r="BF123" s="464"/>
      <c r="BG123" s="464"/>
      <c r="BI123" s="151" t="s">
        <v>60</v>
      </c>
      <c r="BJ123" s="74"/>
    </row>
    <row r="124" s="75" customFormat="1" ht="14.45" customHeight="1" outlineLevel="1" spans="1:62">
      <c r="A124" s="76"/>
      <c r="B124" s="76"/>
      <c r="C124" s="387">
        <v>45316</v>
      </c>
      <c r="D124" s="76" t="s">
        <v>171</v>
      </c>
      <c r="E124" s="113" t="s">
        <v>141</v>
      </c>
      <c r="F124" s="76" t="s">
        <v>171</v>
      </c>
      <c r="G124" s="479"/>
      <c r="H124" s="113" t="s">
        <v>142</v>
      </c>
      <c r="I124" s="113" t="s">
        <v>141</v>
      </c>
      <c r="J124" s="117">
        <v>1738240</v>
      </c>
      <c r="K124" s="117">
        <v>0.01947</v>
      </c>
      <c r="L124" s="117">
        <f>J124*K124</f>
        <v>33843.5328</v>
      </c>
      <c r="M124" s="117"/>
      <c r="N124" s="115"/>
      <c r="O124" s="115"/>
      <c r="P124" s="74"/>
      <c r="Q124" s="74"/>
      <c r="R124" s="115" t="s">
        <v>88</v>
      </c>
      <c r="S124" s="115"/>
      <c r="T124" s="496"/>
      <c r="U124" s="496"/>
      <c r="V124" s="496"/>
      <c r="W124" s="115"/>
      <c r="X124" s="115"/>
      <c r="Y124" s="115">
        <v>1927050</v>
      </c>
      <c r="Z124" s="119">
        <v>0.14</v>
      </c>
      <c r="AA124" s="119">
        <f>Y124*Z124</f>
        <v>269787</v>
      </c>
      <c r="AB124" s="119"/>
      <c r="AC124" s="119"/>
      <c r="AD124" s="120"/>
      <c r="AE124" s="119"/>
      <c r="AF124" s="119"/>
      <c r="AG124" s="119"/>
      <c r="AH124" s="121"/>
      <c r="AI124" s="74"/>
      <c r="AJ124" s="122"/>
      <c r="AK124" s="123">
        <v>1927050</v>
      </c>
      <c r="AL124" s="538">
        <v>0.01947</v>
      </c>
      <c r="AM124" s="125">
        <f>AL124*AK124</f>
        <v>37519.6635</v>
      </c>
      <c r="AN124" s="125">
        <v>6738.71</v>
      </c>
      <c r="AO124" s="126"/>
      <c r="AP124" s="74"/>
      <c r="AQ124" s="496"/>
      <c r="AR124" s="497"/>
      <c r="AS124" s="497"/>
      <c r="AT124" s="497"/>
      <c r="AU124" s="128"/>
      <c r="AV124" s="128"/>
      <c r="AW124" s="497"/>
      <c r="AX124" s="123">
        <v>1927050</v>
      </c>
      <c r="AY124" s="538">
        <v>0.01947</v>
      </c>
      <c r="AZ124" s="125">
        <f>AY124*AX124</f>
        <v>37519.6635</v>
      </c>
      <c r="BA124" s="125">
        <v>6738.71</v>
      </c>
      <c r="BB124" s="125"/>
      <c r="BC124" s="127">
        <f>BA124-AZ124</f>
        <v>-30780.9535</v>
      </c>
      <c r="BD124" s="115"/>
      <c r="BE124" s="115"/>
      <c r="BF124" s="115"/>
      <c r="BG124" s="115"/>
      <c r="BJ124" s="74"/>
    </row>
    <row r="125" s="75" customFormat="1" ht="14.45" customHeight="1" outlineLevel="1" spans="1:62">
      <c r="A125" s="76"/>
      <c r="B125" s="76"/>
      <c r="C125" s="387"/>
      <c r="D125" s="76"/>
      <c r="E125" s="113"/>
      <c r="F125" s="76"/>
      <c r="G125" s="479"/>
      <c r="H125" s="113"/>
      <c r="I125" s="113"/>
      <c r="J125" s="117"/>
      <c r="K125" s="117"/>
      <c r="L125" s="117"/>
      <c r="M125" s="117"/>
      <c r="N125" s="115"/>
      <c r="O125" s="115"/>
      <c r="P125" s="74"/>
      <c r="Q125" s="74"/>
      <c r="R125" s="501" t="s">
        <v>95</v>
      </c>
      <c r="S125" s="76"/>
      <c r="T125" s="387"/>
      <c r="U125" s="387"/>
      <c r="V125" s="387"/>
      <c r="W125" s="76"/>
      <c r="X125" s="112"/>
      <c r="Y125" s="129"/>
      <c r="Z125" s="130"/>
      <c r="AA125" s="119">
        <f>-(AZ124*0.13/1.13)*7.1</f>
        <v>-30646.5923986726</v>
      </c>
      <c r="AB125" s="119"/>
      <c r="AC125" s="119"/>
      <c r="AD125" s="120"/>
      <c r="AE125" s="119"/>
      <c r="AF125" s="119"/>
      <c r="AG125" s="119"/>
      <c r="AH125" s="121"/>
      <c r="AI125" s="74"/>
      <c r="AJ125" s="122"/>
      <c r="AK125" s="128"/>
      <c r="AL125" s="115"/>
      <c r="AM125" s="119"/>
      <c r="AN125" s="125">
        <v>30710.95</v>
      </c>
      <c r="AO125" s="126"/>
      <c r="AP125" s="74"/>
      <c r="AQ125" s="496"/>
      <c r="AR125" s="497"/>
      <c r="AS125" s="497"/>
      <c r="AT125" s="497"/>
      <c r="AU125" s="128"/>
      <c r="AV125" s="128"/>
      <c r="AW125" s="497"/>
      <c r="AX125" s="123"/>
      <c r="AY125" s="124"/>
      <c r="AZ125" s="125"/>
      <c r="BA125" s="125">
        <v>30710.95</v>
      </c>
      <c r="BB125" s="125"/>
      <c r="BC125" s="127">
        <f>BA125-AZ125</f>
        <v>30710.95</v>
      </c>
      <c r="BD125" s="115"/>
      <c r="BE125" s="115"/>
      <c r="BF125" s="115"/>
      <c r="BG125" s="115"/>
      <c r="BJ125" s="74"/>
    </row>
    <row r="126" s="151" customFormat="1" ht="14.45" customHeight="1" spans="1:62">
      <c r="A126" s="79">
        <v>16</v>
      </c>
      <c r="B126" s="79"/>
      <c r="C126" s="463" t="s">
        <v>69</v>
      </c>
      <c r="D126" s="79" t="s">
        <v>171</v>
      </c>
      <c r="E126" s="116" t="s">
        <v>141</v>
      </c>
      <c r="F126" s="79" t="s">
        <v>171</v>
      </c>
      <c r="G126" s="486"/>
      <c r="H126" s="116" t="s">
        <v>142</v>
      </c>
      <c r="I126" s="116" t="s">
        <v>141</v>
      </c>
      <c r="J126" s="505">
        <f>AX126</f>
        <v>1927050</v>
      </c>
      <c r="K126" s="466"/>
      <c r="L126" s="466"/>
      <c r="M126" s="466"/>
      <c r="N126" s="464"/>
      <c r="O126" s="464"/>
      <c r="P126" s="74"/>
      <c r="Q126" s="74"/>
      <c r="R126" s="464"/>
      <c r="S126" s="464"/>
      <c r="T126" s="467"/>
      <c r="U126" s="467"/>
      <c r="V126" s="467"/>
      <c r="W126" s="464"/>
      <c r="X126" s="468"/>
      <c r="Y126" s="464"/>
      <c r="Z126" s="469"/>
      <c r="AA126" s="469">
        <f>SUM(AA124:AA125)</f>
        <v>239140.407601327</v>
      </c>
      <c r="AB126" s="469"/>
      <c r="AC126" s="469"/>
      <c r="AD126" s="470"/>
      <c r="AE126" s="469"/>
      <c r="AF126" s="469"/>
      <c r="AG126" s="469"/>
      <c r="AH126" s="471"/>
      <c r="AI126" s="74"/>
      <c r="AJ126" s="472"/>
      <c r="AK126" s="473"/>
      <c r="AL126" s="464"/>
      <c r="AM126" s="469">
        <f>SUM(AM124:AM125)</f>
        <v>37519.6635</v>
      </c>
      <c r="AN126" s="469">
        <f>SUM(AN124:AN125)</f>
        <v>37449.66</v>
      </c>
      <c r="AO126" s="474"/>
      <c r="AP126" s="74"/>
      <c r="AQ126" s="467"/>
      <c r="AR126" s="475"/>
      <c r="AS126" s="475"/>
      <c r="AT126" s="475"/>
      <c r="AU126" s="473"/>
      <c r="AV126" s="473"/>
      <c r="AW126" s="475"/>
      <c r="AX126" s="519">
        <f>SUM(AX124:AX125)</f>
        <v>1927050</v>
      </c>
      <c r="AY126" s="520"/>
      <c r="AZ126" s="521">
        <f>SUM(AZ124:AZ125)</f>
        <v>37519.6635</v>
      </c>
      <c r="BA126" s="521">
        <f>SUM(BA124:BA125)</f>
        <v>37449.66</v>
      </c>
      <c r="BB126" s="521"/>
      <c r="BC126" s="477">
        <v>0</v>
      </c>
      <c r="BD126" s="464"/>
      <c r="BE126" s="464"/>
      <c r="BF126" s="464"/>
      <c r="BG126" s="464"/>
      <c r="BI126" s="151" t="s">
        <v>60</v>
      </c>
      <c r="BJ126" s="74"/>
    </row>
    <row r="127" s="76" customFormat="1" ht="14.45" customHeight="1" outlineLevel="1" spans="1:62">
      <c r="C127" s="387">
        <v>45464</v>
      </c>
      <c r="D127" s="76" t="s">
        <v>172</v>
      </c>
      <c r="E127" s="76" t="s">
        <v>103</v>
      </c>
      <c r="F127" s="76" t="s">
        <v>172</v>
      </c>
      <c r="G127" s="539">
        <f>2992750+56222.35</f>
        <v>3048972.35</v>
      </c>
      <c r="H127" s="76" t="s">
        <v>93</v>
      </c>
      <c r="I127" s="76" t="s">
        <v>103</v>
      </c>
      <c r="J127" s="129">
        <f>AX127</f>
        <v>108.953</v>
      </c>
      <c r="K127" s="130"/>
      <c r="L127" s="130"/>
      <c r="M127" s="130"/>
      <c r="N127" s="131"/>
      <c r="O127" s="132"/>
      <c r="P127" s="91"/>
      <c r="Q127" s="91"/>
      <c r="R127" s="76" t="s">
        <v>88</v>
      </c>
      <c r="T127" s="387"/>
      <c r="U127" s="387"/>
      <c r="V127" s="387"/>
      <c r="X127" s="133"/>
      <c r="Y127" s="129">
        <v>108.953</v>
      </c>
      <c r="Z127" s="134">
        <v>9250</v>
      </c>
      <c r="AA127" s="114">
        <f t="shared" ref="AA127:AA138" si="9">Y127*Z127</f>
        <v>1007815.25</v>
      </c>
      <c r="AB127" s="134"/>
      <c r="AC127" s="134"/>
      <c r="AD127" s="135"/>
      <c r="AE127" s="134"/>
      <c r="AF127" s="114"/>
      <c r="AG127" s="134"/>
      <c r="AH127" s="136"/>
      <c r="AI127" s="91"/>
      <c r="AJ127" s="137"/>
      <c r="AK127" s="142">
        <v>108.953</v>
      </c>
      <c r="AL127" s="114">
        <v>9500</v>
      </c>
      <c r="AM127" s="127">
        <f t="shared" ref="AM127:AM133" si="10">AK127*AL127</f>
        <v>1035053.5</v>
      </c>
      <c r="AN127" s="114"/>
      <c r="AO127" s="144"/>
      <c r="AP127" s="91"/>
      <c r="AQ127" s="387"/>
      <c r="AR127" s="482"/>
      <c r="AS127" s="482"/>
      <c r="AT127" s="482"/>
      <c r="AU127" s="137"/>
      <c r="AV127" s="137"/>
      <c r="AW127" s="482"/>
      <c r="AX127" s="142">
        <v>108.953</v>
      </c>
      <c r="AY127" s="114">
        <v>9500</v>
      </c>
      <c r="AZ127" s="127">
        <f t="shared" ref="AZ127:AZ133" si="11">AX127*AY127</f>
        <v>1035053.5</v>
      </c>
      <c r="BA127" s="127">
        <v>1029750</v>
      </c>
      <c r="BB127" s="127"/>
      <c r="BC127" s="127">
        <f>BA127-AZ127</f>
        <v>-5303.5</v>
      </c>
      <c r="BI127" s="75"/>
      <c r="BJ127" s="91"/>
    </row>
    <row r="128" s="76" customFormat="1" ht="14.45" customHeight="1" outlineLevel="1" spans="1:62">
      <c r="C128" s="387">
        <v>45464</v>
      </c>
      <c r="D128" s="76" t="s">
        <v>173</v>
      </c>
      <c r="E128" s="113" t="s">
        <v>103</v>
      </c>
      <c r="F128" s="76" t="s">
        <v>173</v>
      </c>
      <c r="G128" s="479"/>
      <c r="H128" s="76" t="s">
        <v>93</v>
      </c>
      <c r="I128" s="113" t="s">
        <v>103</v>
      </c>
      <c r="J128" s="129">
        <v>54.57</v>
      </c>
      <c r="K128" s="130"/>
      <c r="L128" s="130"/>
      <c r="M128" s="130"/>
      <c r="N128" s="131"/>
      <c r="O128" s="132"/>
      <c r="P128" s="91"/>
      <c r="Q128" s="91"/>
      <c r="R128" s="76" t="s">
        <v>88</v>
      </c>
      <c r="T128" s="387"/>
      <c r="U128" s="387"/>
      <c r="V128" s="387"/>
      <c r="X128" s="133"/>
      <c r="Y128" s="129">
        <v>54.57</v>
      </c>
      <c r="Z128" s="134">
        <v>9250</v>
      </c>
      <c r="AA128" s="114">
        <f t="shared" si="9"/>
        <v>504772.5</v>
      </c>
      <c r="AB128" s="134"/>
      <c r="AC128" s="134"/>
      <c r="AD128" s="135"/>
      <c r="AE128" s="134"/>
      <c r="AF128" s="114"/>
      <c r="AG128" s="134"/>
      <c r="AH128" s="136"/>
      <c r="AI128" s="91"/>
      <c r="AJ128" s="137"/>
      <c r="AK128" s="142">
        <v>54.57</v>
      </c>
      <c r="AL128" s="114">
        <v>9500</v>
      </c>
      <c r="AM128" s="127">
        <f t="shared" si="10"/>
        <v>518415</v>
      </c>
      <c r="AN128" s="114"/>
      <c r="AO128" s="144"/>
      <c r="AP128" s="91"/>
      <c r="AQ128" s="387"/>
      <c r="AR128" s="482"/>
      <c r="AS128" s="482"/>
      <c r="AT128" s="482"/>
      <c r="AU128" s="137"/>
      <c r="AV128" s="137"/>
      <c r="AW128" s="482"/>
      <c r="AX128" s="142">
        <v>54.57</v>
      </c>
      <c r="AY128" s="114">
        <v>9500</v>
      </c>
      <c r="AZ128" s="127">
        <f t="shared" si="11"/>
        <v>518415</v>
      </c>
      <c r="BA128" s="127">
        <v>213000</v>
      </c>
      <c r="BB128" s="127"/>
      <c r="BC128" s="127">
        <f>BA128-AZ128</f>
        <v>-305415</v>
      </c>
      <c r="BI128" s="75"/>
      <c r="BJ128" s="91"/>
    </row>
    <row r="129" s="76" customFormat="1" ht="14.45" customHeight="1" outlineLevel="1" spans="1:62">
      <c r="C129" s="387"/>
      <c r="E129" s="113" t="s">
        <v>115</v>
      </c>
      <c r="G129" s="479"/>
      <c r="I129" s="113" t="s">
        <v>115</v>
      </c>
      <c r="J129" s="129">
        <v>41.472</v>
      </c>
      <c r="K129" s="130"/>
      <c r="L129" s="130"/>
      <c r="M129" s="130"/>
      <c r="N129" s="131"/>
      <c r="O129" s="132"/>
      <c r="P129" s="91"/>
      <c r="Q129" s="91"/>
      <c r="R129" s="76" t="s">
        <v>88</v>
      </c>
      <c r="T129" s="387"/>
      <c r="U129" s="387"/>
      <c r="V129" s="387"/>
      <c r="X129" s="133"/>
      <c r="Y129" s="129">
        <v>41.472</v>
      </c>
      <c r="Z129" s="134">
        <v>6850</v>
      </c>
      <c r="AA129" s="114">
        <f t="shared" si="9"/>
        <v>284083.2</v>
      </c>
      <c r="AB129" s="134"/>
      <c r="AC129" s="134"/>
      <c r="AD129" s="135"/>
      <c r="AE129" s="134"/>
      <c r="AF129" s="114"/>
      <c r="AG129" s="134"/>
      <c r="AH129" s="136"/>
      <c r="AI129" s="91"/>
      <c r="AJ129" s="137"/>
      <c r="AK129" s="142">
        <v>41.472</v>
      </c>
      <c r="AL129" s="114">
        <v>7100</v>
      </c>
      <c r="AM129" s="127">
        <f t="shared" si="10"/>
        <v>294451.2</v>
      </c>
      <c r="AN129" s="114"/>
      <c r="AO129" s="144"/>
      <c r="AP129" s="91"/>
      <c r="AQ129" s="387"/>
      <c r="AR129" s="482"/>
      <c r="AS129" s="482"/>
      <c r="AT129" s="482"/>
      <c r="AU129" s="137"/>
      <c r="AV129" s="137"/>
      <c r="AW129" s="482"/>
      <c r="AX129" s="142">
        <v>41.472</v>
      </c>
      <c r="AY129" s="114">
        <v>7100</v>
      </c>
      <c r="AZ129" s="127">
        <f t="shared" si="11"/>
        <v>294451.2</v>
      </c>
      <c r="BA129" s="127"/>
      <c r="BB129" s="127"/>
      <c r="BC129" s="127">
        <f>BA129-AZ129</f>
        <v>-294451.2</v>
      </c>
      <c r="BI129" s="75"/>
      <c r="BJ129" s="91"/>
    </row>
    <row r="130" s="76" customFormat="1" ht="14.45" customHeight="1" outlineLevel="1" spans="1:62">
      <c r="C130" s="387">
        <v>45583</v>
      </c>
      <c r="D130" s="76" t="s">
        <v>174</v>
      </c>
      <c r="E130" s="76" t="s">
        <v>175</v>
      </c>
      <c r="F130" s="76" t="s">
        <v>174</v>
      </c>
      <c r="G130" s="479"/>
      <c r="H130" s="76" t="s">
        <v>93</v>
      </c>
      <c r="I130" s="76" t="s">
        <v>175</v>
      </c>
      <c r="J130" s="129">
        <f>AX130</f>
        <v>8.243</v>
      </c>
      <c r="K130" s="130"/>
      <c r="L130" s="130"/>
      <c r="M130" s="130"/>
      <c r="N130" s="131"/>
      <c r="O130" s="132"/>
      <c r="P130" s="91"/>
      <c r="Q130" s="91"/>
      <c r="R130" s="76" t="s">
        <v>88</v>
      </c>
      <c r="T130" s="387"/>
      <c r="U130" s="387"/>
      <c r="V130" s="387"/>
      <c r="X130" s="133"/>
      <c r="Y130" s="129">
        <v>8.243</v>
      </c>
      <c r="Z130" s="134">
        <v>9250</v>
      </c>
      <c r="AA130" s="114">
        <f t="shared" si="9"/>
        <v>76247.75</v>
      </c>
      <c r="AB130" s="114"/>
      <c r="AC130" s="134"/>
      <c r="AD130" s="135"/>
      <c r="AE130" s="134"/>
      <c r="AF130" s="114"/>
      <c r="AG130" s="134"/>
      <c r="AH130" s="136"/>
      <c r="AI130" s="91"/>
      <c r="AJ130" s="137"/>
      <c r="AK130" s="142">
        <v>8.243</v>
      </c>
      <c r="AL130" s="114">
        <v>9580</v>
      </c>
      <c r="AM130" s="127">
        <f t="shared" si="10"/>
        <v>78967.94</v>
      </c>
      <c r="AN130" s="114"/>
      <c r="AO130" s="144"/>
      <c r="AP130" s="91"/>
      <c r="AQ130" s="387"/>
      <c r="AR130" s="482"/>
      <c r="AS130" s="482"/>
      <c r="AT130" s="482"/>
      <c r="AU130" s="137"/>
      <c r="AV130" s="137"/>
      <c r="AW130" s="482"/>
      <c r="AX130" s="142">
        <v>8.243</v>
      </c>
      <c r="AY130" s="114">
        <v>9580</v>
      </c>
      <c r="AZ130" s="127">
        <f t="shared" si="11"/>
        <v>78967.94</v>
      </c>
      <c r="BA130" s="127">
        <v>1100000</v>
      </c>
      <c r="BB130" s="127"/>
      <c r="BC130" s="127">
        <f>BA130-AZ130</f>
        <v>1021032.06</v>
      </c>
      <c r="BI130" s="75"/>
      <c r="BJ130" s="91"/>
    </row>
    <row r="131" s="76" customFormat="1" ht="14.45" customHeight="1" outlineLevel="1" spans="1:62">
      <c r="C131" s="387">
        <v>45630</v>
      </c>
      <c r="D131" s="76" t="s">
        <v>176</v>
      </c>
      <c r="E131" s="113" t="s">
        <v>124</v>
      </c>
      <c r="F131" s="76" t="s">
        <v>176</v>
      </c>
      <c r="G131" s="479"/>
      <c r="H131" s="76" t="s">
        <v>93</v>
      </c>
      <c r="I131" s="113" t="s">
        <v>124</v>
      </c>
      <c r="J131" s="129">
        <f>AX131</f>
        <v>27.232</v>
      </c>
      <c r="K131" s="130"/>
      <c r="L131" s="130"/>
      <c r="M131" s="130"/>
      <c r="N131" s="131"/>
      <c r="O131" s="132"/>
      <c r="P131" s="91"/>
      <c r="Q131" s="91"/>
      <c r="R131" s="76" t="s">
        <v>88</v>
      </c>
      <c r="T131" s="387"/>
      <c r="U131" s="387"/>
      <c r="V131" s="387"/>
      <c r="X131" s="133"/>
      <c r="Y131" s="129">
        <v>27.232</v>
      </c>
      <c r="Z131" s="134">
        <v>9500</v>
      </c>
      <c r="AA131" s="114">
        <f t="shared" si="9"/>
        <v>258704</v>
      </c>
      <c r="AB131" s="134"/>
      <c r="AC131" s="134"/>
      <c r="AD131" s="135"/>
      <c r="AE131" s="134"/>
      <c r="AF131" s="134"/>
      <c r="AG131" s="134"/>
      <c r="AH131" s="136"/>
      <c r="AI131" s="91"/>
      <c r="AJ131" s="137"/>
      <c r="AK131" s="142">
        <v>27.232</v>
      </c>
      <c r="AL131" s="114">
        <v>9880</v>
      </c>
      <c r="AM131" s="127">
        <f t="shared" si="10"/>
        <v>269052.16</v>
      </c>
      <c r="AN131" s="114"/>
      <c r="AO131" s="144"/>
      <c r="AP131" s="91"/>
      <c r="AQ131" s="387"/>
      <c r="AR131" s="482"/>
      <c r="AS131" s="482"/>
      <c r="AT131" s="482"/>
      <c r="AU131" s="137"/>
      <c r="AV131" s="137"/>
      <c r="AW131" s="482"/>
      <c r="AX131" s="142">
        <v>27.232</v>
      </c>
      <c r="AY131" s="114">
        <v>9880</v>
      </c>
      <c r="AZ131" s="127">
        <f t="shared" si="11"/>
        <v>269052.16</v>
      </c>
      <c r="BA131" s="127"/>
      <c r="BB131" s="127"/>
      <c r="BC131" s="127">
        <f>BA131-AZ131</f>
        <v>-269052.16</v>
      </c>
      <c r="BI131" s="75"/>
      <c r="BJ131" s="91"/>
    </row>
    <row r="132" s="76" customFormat="1" ht="14.45" customHeight="1" outlineLevel="1" spans="1:62">
      <c r="C132" s="387">
        <v>45630</v>
      </c>
      <c r="D132" s="76" t="s">
        <v>176</v>
      </c>
      <c r="E132" s="113" t="s">
        <v>175</v>
      </c>
      <c r="F132" s="76" t="s">
        <v>176</v>
      </c>
      <c r="G132" s="479"/>
      <c r="H132" s="76" t="s">
        <v>93</v>
      </c>
      <c r="I132" s="113" t="s">
        <v>175</v>
      </c>
      <c r="J132" s="129">
        <f>AX132</f>
        <v>27.216</v>
      </c>
      <c r="K132" s="130"/>
      <c r="L132" s="130"/>
      <c r="M132" s="130"/>
      <c r="N132" s="131"/>
      <c r="O132" s="132"/>
      <c r="P132" s="91"/>
      <c r="Q132" s="91"/>
      <c r="R132" s="76" t="s">
        <v>88</v>
      </c>
      <c r="T132" s="387"/>
      <c r="U132" s="387"/>
      <c r="V132" s="387"/>
      <c r="X132" s="133"/>
      <c r="Y132" s="129">
        <v>27.216</v>
      </c>
      <c r="Z132" s="114">
        <v>9250</v>
      </c>
      <c r="AA132" s="114">
        <f t="shared" si="9"/>
        <v>251748</v>
      </c>
      <c r="AB132" s="114"/>
      <c r="AC132" s="114"/>
      <c r="AD132" s="135"/>
      <c r="AE132" s="134"/>
      <c r="AF132" s="114"/>
      <c r="AG132" s="134"/>
      <c r="AH132" s="136"/>
      <c r="AI132" s="91"/>
      <c r="AJ132" s="137"/>
      <c r="AK132" s="142">
        <v>27.216</v>
      </c>
      <c r="AL132" s="114">
        <v>9630</v>
      </c>
      <c r="AM132" s="127">
        <f t="shared" si="10"/>
        <v>262090.08</v>
      </c>
      <c r="AN132" s="114"/>
      <c r="AO132" s="144"/>
      <c r="AP132" s="91"/>
      <c r="AQ132" s="387"/>
      <c r="AR132" s="482"/>
      <c r="AS132" s="482"/>
      <c r="AT132" s="482"/>
      <c r="AU132" s="137"/>
      <c r="AV132" s="137"/>
      <c r="AW132" s="482"/>
      <c r="AX132" s="142">
        <v>27.216</v>
      </c>
      <c r="AY132" s="114">
        <v>9630</v>
      </c>
      <c r="AZ132" s="127">
        <f t="shared" si="11"/>
        <v>262090.08</v>
      </c>
      <c r="BB132" s="127"/>
      <c r="BC132" s="127">
        <f>BA133-AZ132</f>
        <v>-262090.08</v>
      </c>
      <c r="BI132" s="75"/>
      <c r="BJ132" s="91"/>
    </row>
    <row r="133" s="76" customFormat="1" ht="14.45" customHeight="1" outlineLevel="1" spans="1:62">
      <c r="C133" s="387">
        <v>45674</v>
      </c>
      <c r="D133" s="76" t="s">
        <v>177</v>
      </c>
      <c r="E133" s="113" t="s">
        <v>124</v>
      </c>
      <c r="F133" s="76" t="s">
        <v>177</v>
      </c>
      <c r="G133" s="479"/>
      <c r="H133" s="76" t="s">
        <v>93</v>
      </c>
      <c r="I133" s="113" t="s">
        <v>124</v>
      </c>
      <c r="J133" s="117"/>
      <c r="K133" s="130"/>
      <c r="L133" s="130"/>
      <c r="M133" s="130"/>
      <c r="N133" s="131"/>
      <c r="O133" s="132"/>
      <c r="P133" s="91"/>
      <c r="Q133" s="91"/>
      <c r="R133" s="76" t="s">
        <v>88</v>
      </c>
      <c r="T133" s="387"/>
      <c r="U133" s="387"/>
      <c r="V133" s="387"/>
      <c r="X133" s="133"/>
      <c r="Y133" s="127">
        <v>12.923</v>
      </c>
      <c r="Z133" s="114">
        <v>7000</v>
      </c>
      <c r="AA133" s="114">
        <f t="shared" si="9"/>
        <v>90461</v>
      </c>
      <c r="AB133" s="114"/>
      <c r="AC133" s="114"/>
      <c r="AD133" s="135"/>
      <c r="AE133" s="134"/>
      <c r="AF133" s="114"/>
      <c r="AG133" s="134"/>
      <c r="AH133" s="136"/>
      <c r="AI133" s="91"/>
      <c r="AJ133" s="137"/>
      <c r="AK133" s="540">
        <v>12.923</v>
      </c>
      <c r="AL133" s="114">
        <v>7200</v>
      </c>
      <c r="AM133" s="127">
        <f t="shared" si="10"/>
        <v>93045.6</v>
      </c>
      <c r="AN133" s="114"/>
      <c r="AO133" s="144"/>
      <c r="AP133" s="91"/>
      <c r="AQ133" s="387"/>
      <c r="AR133" s="482"/>
      <c r="AS133" s="482"/>
      <c r="AT133" s="482"/>
      <c r="AU133" s="137"/>
      <c r="AV133" s="137"/>
      <c r="AW133" s="482"/>
      <c r="AX133" s="540">
        <v>12.923</v>
      </c>
      <c r="AY133" s="114">
        <v>7200</v>
      </c>
      <c r="AZ133" s="127">
        <f t="shared" si="11"/>
        <v>93045.6</v>
      </c>
      <c r="BA133" s="127"/>
      <c r="BB133" s="127"/>
      <c r="BC133" s="127">
        <f>BA134-AZ133</f>
        <v>-93045.6</v>
      </c>
      <c r="BI133" s="149"/>
      <c r="BJ133" s="91"/>
    </row>
    <row r="134" s="76" customFormat="1" ht="14.45" customHeight="1" outlineLevel="1" spans="1:62">
      <c r="C134" s="387"/>
      <c r="E134" s="113"/>
      <c r="G134" s="479"/>
      <c r="I134" s="113"/>
      <c r="J134" s="117"/>
      <c r="K134" s="130"/>
      <c r="L134" s="130"/>
      <c r="M134" s="130"/>
      <c r="N134" s="131"/>
      <c r="O134" s="132"/>
      <c r="P134" s="91"/>
      <c r="Q134" s="91"/>
      <c r="R134" s="76" t="s">
        <v>178</v>
      </c>
      <c r="T134" s="387"/>
      <c r="U134" s="387"/>
      <c r="V134" s="387"/>
      <c r="X134" s="133"/>
      <c r="Y134" s="127">
        <v>12.923</v>
      </c>
      <c r="Z134" s="114">
        <v>2500</v>
      </c>
      <c r="AA134" s="541">
        <f t="shared" si="9"/>
        <v>32307.5</v>
      </c>
      <c r="AB134" s="114"/>
      <c r="AC134" s="114"/>
      <c r="AD134" s="135"/>
      <c r="AE134" s="134"/>
      <c r="AF134" s="114"/>
      <c r="AG134" s="134"/>
      <c r="AH134" s="136"/>
      <c r="AI134" s="91"/>
      <c r="AJ134" s="137"/>
      <c r="AK134" s="540"/>
      <c r="AL134" s="114"/>
      <c r="AM134" s="127"/>
      <c r="AN134" s="114"/>
      <c r="AO134" s="144"/>
      <c r="AP134" s="91"/>
      <c r="AQ134" s="387"/>
      <c r="AR134" s="482"/>
      <c r="AS134" s="482"/>
      <c r="AT134" s="482"/>
      <c r="AU134" s="137"/>
      <c r="AV134" s="137"/>
      <c r="AW134" s="482"/>
      <c r="AX134" s="540">
        <v>12.923</v>
      </c>
      <c r="AY134" s="114">
        <v>2500</v>
      </c>
      <c r="AZ134" s="127"/>
      <c r="BA134" s="127"/>
      <c r="BB134" s="127"/>
      <c r="BC134" s="127">
        <f t="shared" ref="BC134:BC142" si="12">BA134-AZ134</f>
        <v>0</v>
      </c>
      <c r="BI134" s="149"/>
      <c r="BJ134" s="91"/>
    </row>
    <row r="135" s="76" customFormat="1" ht="14.45" customHeight="1" outlineLevel="1" spans="1:62">
      <c r="C135" s="387">
        <v>45677</v>
      </c>
      <c r="D135" s="76" t="s">
        <v>179</v>
      </c>
      <c r="E135" s="113" t="s">
        <v>175</v>
      </c>
      <c r="F135" s="76" t="s">
        <v>179</v>
      </c>
      <c r="G135" s="479"/>
      <c r="H135" s="76" t="s">
        <v>93</v>
      </c>
      <c r="I135" s="113" t="s">
        <v>175</v>
      </c>
      <c r="J135" s="117"/>
      <c r="K135" s="130"/>
      <c r="L135" s="130"/>
      <c r="M135" s="130"/>
      <c r="N135" s="131"/>
      <c r="O135" s="132"/>
      <c r="P135" s="91"/>
      <c r="Q135" s="91"/>
      <c r="R135" s="76" t="s">
        <v>88</v>
      </c>
      <c r="T135" s="387"/>
      <c r="U135" s="387"/>
      <c r="V135" s="387"/>
      <c r="X135" s="133"/>
      <c r="Y135" s="129">
        <v>1.292</v>
      </c>
      <c r="Z135" s="114">
        <v>6850</v>
      </c>
      <c r="AA135" s="114">
        <f t="shared" si="9"/>
        <v>8850.2</v>
      </c>
      <c r="AB135" s="114"/>
      <c r="AC135" s="114"/>
      <c r="AD135" s="135"/>
      <c r="AE135" s="134"/>
      <c r="AF135" s="114"/>
      <c r="AG135" s="134"/>
      <c r="AH135" s="136"/>
      <c r="AI135" s="91"/>
      <c r="AJ135" s="137"/>
      <c r="AK135" s="142">
        <v>1.292</v>
      </c>
      <c r="AL135" s="114">
        <v>7100</v>
      </c>
      <c r="AM135" s="127">
        <f>AK135*AL135</f>
        <v>9173.2</v>
      </c>
      <c r="AN135" s="114"/>
      <c r="AO135" s="144"/>
      <c r="AP135" s="91"/>
      <c r="AQ135" s="387"/>
      <c r="AR135" s="482"/>
      <c r="AS135" s="482"/>
      <c r="AT135" s="482"/>
      <c r="AU135" s="137"/>
      <c r="AV135" s="137"/>
      <c r="AW135" s="482"/>
      <c r="AX135" s="142">
        <v>1.292</v>
      </c>
      <c r="AY135" s="114">
        <v>7100</v>
      </c>
      <c r="AZ135" s="127">
        <f>AX135*AY135</f>
        <v>9173.2</v>
      </c>
      <c r="BA135" s="542"/>
      <c r="BB135" s="127"/>
      <c r="BC135" s="127">
        <f t="shared" si="12"/>
        <v>-9173.2</v>
      </c>
      <c r="BI135" s="149"/>
      <c r="BJ135" s="91"/>
    </row>
    <row r="136" s="76" customFormat="1" ht="14.45" customHeight="1" outlineLevel="1" spans="1:62">
      <c r="C136" s="387"/>
      <c r="E136" s="113"/>
      <c r="G136" s="479"/>
      <c r="I136" s="113"/>
      <c r="J136" s="117"/>
      <c r="K136" s="130"/>
      <c r="L136" s="130"/>
      <c r="M136" s="130"/>
      <c r="N136" s="131"/>
      <c r="O136" s="132"/>
      <c r="P136" s="91"/>
      <c r="Q136" s="91"/>
      <c r="R136" s="76" t="s">
        <v>178</v>
      </c>
      <c r="T136" s="387"/>
      <c r="U136" s="387"/>
      <c r="V136" s="387"/>
      <c r="X136" s="133"/>
      <c r="Y136" s="129">
        <v>1.292</v>
      </c>
      <c r="Z136" s="114">
        <v>2400</v>
      </c>
      <c r="AA136" s="541">
        <f t="shared" si="9"/>
        <v>3100.8</v>
      </c>
      <c r="AB136" s="114"/>
      <c r="AC136" s="114"/>
      <c r="AD136" s="135"/>
      <c r="AE136" s="134"/>
      <c r="AF136" s="114"/>
      <c r="AG136" s="134"/>
      <c r="AH136" s="136"/>
      <c r="AI136" s="91"/>
      <c r="AJ136" s="137"/>
      <c r="AK136" s="142"/>
      <c r="AL136" s="114"/>
      <c r="AM136" s="127"/>
      <c r="AN136" s="114"/>
      <c r="AO136" s="144"/>
      <c r="AP136" s="91"/>
      <c r="AQ136" s="387"/>
      <c r="AR136" s="482"/>
      <c r="AS136" s="482"/>
      <c r="AT136" s="482"/>
      <c r="AU136" s="137"/>
      <c r="AV136" s="137"/>
      <c r="AW136" s="482"/>
      <c r="AX136" s="142">
        <v>1.292</v>
      </c>
      <c r="AY136" s="114">
        <v>2400</v>
      </c>
      <c r="AZ136" s="127"/>
      <c r="BA136" s="127"/>
      <c r="BB136" s="127"/>
      <c r="BC136" s="127">
        <f t="shared" si="12"/>
        <v>0</v>
      </c>
      <c r="BI136" s="149"/>
      <c r="BJ136" s="91"/>
    </row>
    <row r="137" s="76" customFormat="1" ht="14.45" customHeight="1" outlineLevel="1" spans="1:62">
      <c r="C137" s="387">
        <v>45677</v>
      </c>
      <c r="D137" s="76" t="s">
        <v>180</v>
      </c>
      <c r="E137" s="113" t="s">
        <v>175</v>
      </c>
      <c r="F137" s="76" t="s">
        <v>180</v>
      </c>
      <c r="G137" s="479"/>
      <c r="H137" s="76" t="s">
        <v>93</v>
      </c>
      <c r="I137" s="113" t="s">
        <v>175</v>
      </c>
      <c r="J137" s="117"/>
      <c r="K137" s="130"/>
      <c r="L137" s="130"/>
      <c r="M137" s="130"/>
      <c r="N137" s="131"/>
      <c r="O137" s="132"/>
      <c r="P137" s="91"/>
      <c r="Q137" s="91"/>
      <c r="R137" s="76" t="s">
        <v>88</v>
      </c>
      <c r="T137" s="387"/>
      <c r="U137" s="387"/>
      <c r="V137" s="387"/>
      <c r="X137" s="133"/>
      <c r="Y137" s="129">
        <v>18.144</v>
      </c>
      <c r="Z137" s="114">
        <v>6850</v>
      </c>
      <c r="AA137" s="114">
        <f t="shared" si="9"/>
        <v>124286.4</v>
      </c>
      <c r="AB137" s="114"/>
      <c r="AC137" s="114"/>
      <c r="AD137" s="135"/>
      <c r="AE137" s="134"/>
      <c r="AF137" s="114"/>
      <c r="AG137" s="134"/>
      <c r="AH137" s="136"/>
      <c r="AI137" s="91"/>
      <c r="AJ137" s="137"/>
      <c r="AK137" s="142">
        <v>18.144</v>
      </c>
      <c r="AL137" s="114">
        <v>7100</v>
      </c>
      <c r="AM137" s="127">
        <f>AK137*AL137</f>
        <v>128822.4</v>
      </c>
      <c r="AN137" s="114"/>
      <c r="AO137" s="144"/>
      <c r="AP137" s="91"/>
      <c r="AQ137" s="387"/>
      <c r="AR137" s="482"/>
      <c r="AS137" s="482"/>
      <c r="AT137" s="482"/>
      <c r="AU137" s="137"/>
      <c r="AV137" s="137"/>
      <c r="AW137" s="482"/>
      <c r="AX137" s="142">
        <v>18.144</v>
      </c>
      <c r="AY137" s="114">
        <v>7100</v>
      </c>
      <c r="AZ137" s="127">
        <f>AX137*AY137</f>
        <v>128822.4</v>
      </c>
      <c r="BA137" s="127">
        <v>499346</v>
      </c>
      <c r="BB137" s="127"/>
      <c r="BC137" s="127">
        <f t="shared" si="12"/>
        <v>370523.6</v>
      </c>
      <c r="BI137" s="149"/>
      <c r="BJ137" s="91"/>
    </row>
    <row r="138" s="76" customFormat="1" ht="14.45" customHeight="1" outlineLevel="1" spans="1:62">
      <c r="C138" s="387"/>
      <c r="E138" s="113"/>
      <c r="G138" s="479"/>
      <c r="I138" s="113"/>
      <c r="J138" s="117"/>
      <c r="K138" s="130"/>
      <c r="L138" s="130"/>
      <c r="M138" s="130"/>
      <c r="N138" s="131"/>
      <c r="O138" s="132"/>
      <c r="P138" s="91"/>
      <c r="Q138" s="91"/>
      <c r="R138" s="76" t="s">
        <v>178</v>
      </c>
      <c r="T138" s="387"/>
      <c r="U138" s="387"/>
      <c r="V138" s="387"/>
      <c r="X138" s="133"/>
      <c r="Y138" s="129">
        <v>18.144</v>
      </c>
      <c r="Z138" s="114">
        <v>2400</v>
      </c>
      <c r="AA138" s="541">
        <f t="shared" si="9"/>
        <v>43545.6</v>
      </c>
      <c r="AB138" s="114"/>
      <c r="AC138" s="114"/>
      <c r="AD138" s="135"/>
      <c r="AE138" s="134"/>
      <c r="AF138" s="114"/>
      <c r="AG138" s="134"/>
      <c r="AH138" s="136"/>
      <c r="AI138" s="91"/>
      <c r="AJ138" s="137"/>
      <c r="AK138" s="142"/>
      <c r="AL138" s="114"/>
      <c r="AM138" s="127"/>
      <c r="AN138" s="114"/>
      <c r="AO138" s="144"/>
      <c r="AP138" s="91"/>
      <c r="AQ138" s="387"/>
      <c r="AR138" s="482"/>
      <c r="AS138" s="482"/>
      <c r="AT138" s="482"/>
      <c r="AU138" s="137"/>
      <c r="AV138" s="137"/>
      <c r="AW138" s="482"/>
      <c r="AX138" s="142">
        <v>18.144</v>
      </c>
      <c r="AY138" s="114">
        <v>2400</v>
      </c>
      <c r="AZ138" s="127"/>
      <c r="BA138" s="127"/>
      <c r="BB138" s="127"/>
      <c r="BC138" s="127">
        <f t="shared" si="12"/>
        <v>0</v>
      </c>
      <c r="BI138" s="149"/>
      <c r="BJ138" s="91"/>
    </row>
    <row r="139" s="76" customFormat="1" ht="14.45" customHeight="1" outlineLevel="1" spans="1:62">
      <c r="C139" s="387"/>
      <c r="D139" s="76" t="s">
        <v>181</v>
      </c>
      <c r="E139" s="113" t="s">
        <v>175</v>
      </c>
      <c r="F139" s="76" t="s">
        <v>181</v>
      </c>
      <c r="G139" s="479"/>
      <c r="I139" s="113"/>
      <c r="J139" s="117"/>
      <c r="K139" s="130"/>
      <c r="L139" s="130"/>
      <c r="M139" s="130"/>
      <c r="N139" s="131"/>
      <c r="O139" s="132"/>
      <c r="P139" s="91"/>
      <c r="Q139" s="91"/>
      <c r="T139" s="387"/>
      <c r="U139" s="387"/>
      <c r="V139" s="387"/>
      <c r="X139" s="133"/>
      <c r="Y139" s="129"/>
      <c r="Z139" s="114"/>
      <c r="AA139" s="541"/>
      <c r="AB139" s="114"/>
      <c r="AC139" s="114"/>
      <c r="AD139" s="135"/>
      <c r="AE139" s="134"/>
      <c r="AF139" s="114"/>
      <c r="AG139" s="134"/>
      <c r="AH139" s="136"/>
      <c r="AI139" s="91"/>
      <c r="AJ139" s="137"/>
      <c r="AK139" s="142"/>
      <c r="AL139" s="114"/>
      <c r="AM139" s="127"/>
      <c r="AN139" s="114"/>
      <c r="AO139" s="144"/>
      <c r="AP139" s="91"/>
      <c r="AQ139" s="387"/>
      <c r="AR139" s="482"/>
      <c r="AS139" s="482"/>
      <c r="AT139" s="482"/>
      <c r="AU139" s="137"/>
      <c r="AV139" s="137"/>
      <c r="AW139" s="482"/>
      <c r="AX139" s="142">
        <v>12.096</v>
      </c>
      <c r="AY139" s="114">
        <v>7100</v>
      </c>
      <c r="AZ139" s="127">
        <f>AY139*AX139</f>
        <v>85881.6</v>
      </c>
      <c r="BA139" s="127"/>
      <c r="BB139" s="127"/>
      <c r="BC139" s="127">
        <f t="shared" si="12"/>
        <v>-85881.6</v>
      </c>
      <c r="BI139" s="149"/>
      <c r="BJ139" s="91"/>
    </row>
    <row r="140" s="76" customFormat="1" ht="14.45" customHeight="1" outlineLevel="1" spans="1:62">
      <c r="C140" s="387"/>
      <c r="E140" s="113"/>
      <c r="G140" s="479"/>
      <c r="I140" s="113"/>
      <c r="J140" s="117"/>
      <c r="K140" s="130"/>
      <c r="L140" s="130"/>
      <c r="M140" s="130"/>
      <c r="N140" s="131"/>
      <c r="O140" s="132"/>
      <c r="P140" s="91"/>
      <c r="Q140" s="91"/>
      <c r="T140" s="387"/>
      <c r="U140" s="387"/>
      <c r="V140" s="387"/>
      <c r="X140" s="133"/>
      <c r="Y140" s="129"/>
      <c r="Z140" s="114"/>
      <c r="AA140" s="541"/>
      <c r="AB140" s="114"/>
      <c r="AC140" s="114"/>
      <c r="AD140" s="135"/>
      <c r="AE140" s="134"/>
      <c r="AF140" s="114"/>
      <c r="AG140" s="134"/>
      <c r="AH140" s="136"/>
      <c r="AI140" s="91"/>
      <c r="AJ140" s="137"/>
      <c r="AK140" s="142"/>
      <c r="AL140" s="114"/>
      <c r="AM140" s="127"/>
      <c r="AN140" s="114"/>
      <c r="AO140" s="144"/>
      <c r="AP140" s="91"/>
      <c r="AQ140" s="387"/>
      <c r="AR140" s="482"/>
      <c r="AS140" s="482"/>
      <c r="AT140" s="482"/>
      <c r="AU140" s="137"/>
      <c r="AV140" s="137"/>
      <c r="AW140" s="482"/>
      <c r="AX140" s="142">
        <v>12.096</v>
      </c>
      <c r="AY140" s="114">
        <v>2400</v>
      </c>
      <c r="AZ140" s="127"/>
      <c r="BA140" s="127"/>
      <c r="BB140" s="127"/>
      <c r="BC140" s="127">
        <f t="shared" si="12"/>
        <v>0</v>
      </c>
      <c r="BI140" s="149"/>
      <c r="BJ140" s="91"/>
    </row>
    <row r="141" s="76" customFormat="1" ht="14.45" customHeight="1" outlineLevel="1" spans="1:62">
      <c r="C141" s="387"/>
      <c r="D141" s="76" t="s">
        <v>182</v>
      </c>
      <c r="E141" s="113" t="s">
        <v>175</v>
      </c>
      <c r="G141" s="479"/>
      <c r="H141" s="76" t="s">
        <v>93</v>
      </c>
      <c r="I141" s="113" t="s">
        <v>175</v>
      </c>
      <c r="J141" s="117"/>
      <c r="K141" s="130"/>
      <c r="L141" s="130"/>
      <c r="M141" s="130"/>
      <c r="N141" s="131"/>
      <c r="O141" s="132"/>
      <c r="P141" s="91"/>
      <c r="Q141" s="91"/>
      <c r="R141" s="76" t="s">
        <v>88</v>
      </c>
      <c r="T141" s="387"/>
      <c r="U141" s="387"/>
      <c r="V141" s="387"/>
      <c r="X141" s="133"/>
      <c r="Y141" s="76">
        <v>27.216</v>
      </c>
      <c r="Z141" s="114">
        <v>6850</v>
      </c>
      <c r="AA141" s="114">
        <f>Y141*Z141</f>
        <v>186429.6</v>
      </c>
      <c r="AB141" s="114">
        <f>Z141*17.44</f>
        <v>119464</v>
      </c>
      <c r="AC141" s="114"/>
      <c r="AD141" s="135"/>
      <c r="AE141" s="134"/>
      <c r="AF141" s="114"/>
      <c r="AG141" s="134"/>
      <c r="AH141" s="136"/>
      <c r="AI141" s="91"/>
      <c r="AJ141" s="137"/>
      <c r="AK141" s="137">
        <f>27.216+2.32-12.096</f>
        <v>17.44</v>
      </c>
      <c r="AL141" s="76">
        <v>7100</v>
      </c>
      <c r="AM141" s="114">
        <f>AK141*AL141</f>
        <v>123824</v>
      </c>
      <c r="AN141" s="114"/>
      <c r="AO141" s="144"/>
      <c r="AP141" s="91"/>
      <c r="AQ141" s="387"/>
      <c r="AR141" s="482"/>
      <c r="AS141" s="482"/>
      <c r="AT141" s="482"/>
      <c r="AU141" s="137"/>
      <c r="AV141" s="137"/>
      <c r="AW141" s="482"/>
      <c r="AX141" s="137">
        <f>27.216+2.32-12.096</f>
        <v>17.44</v>
      </c>
      <c r="AY141" s="76">
        <v>7100</v>
      </c>
      <c r="AZ141" s="114">
        <f>AX141*AY141</f>
        <v>123824</v>
      </c>
      <c r="BC141" s="127">
        <f t="shared" si="12"/>
        <v>-123824</v>
      </c>
      <c r="BI141" s="149"/>
      <c r="BJ141" s="91"/>
    </row>
    <row r="142" s="76" customFormat="1" ht="14.45" customHeight="1" outlineLevel="1" spans="1:62">
      <c r="C142" s="387"/>
      <c r="E142" s="113"/>
      <c r="G142" s="479"/>
      <c r="I142" s="113"/>
      <c r="J142" s="117"/>
      <c r="K142" s="130"/>
      <c r="L142" s="130"/>
      <c r="M142" s="130"/>
      <c r="N142" s="131"/>
      <c r="O142" s="132"/>
      <c r="P142" s="91"/>
      <c r="Q142" s="91"/>
      <c r="R142" s="76" t="s">
        <v>178</v>
      </c>
      <c r="T142" s="387"/>
      <c r="U142" s="387"/>
      <c r="V142" s="387"/>
      <c r="X142" s="133" t="s">
        <v>183</v>
      </c>
      <c r="Y142" s="76">
        <v>27.216</v>
      </c>
      <c r="Z142" s="114">
        <v>2400</v>
      </c>
      <c r="AA142" s="541">
        <f>Y142*Z142</f>
        <v>65318.4</v>
      </c>
      <c r="AB142" s="114"/>
      <c r="AC142" s="114"/>
      <c r="AD142" s="135"/>
      <c r="AE142" s="134"/>
      <c r="AF142" s="114"/>
      <c r="AG142" s="134"/>
      <c r="AH142" s="136"/>
      <c r="AI142" s="91"/>
      <c r="AJ142" s="137"/>
      <c r="AK142" s="137">
        <f>27.216+2.32-12.096</f>
        <v>17.44</v>
      </c>
      <c r="AL142" s="76">
        <v>2400</v>
      </c>
      <c r="AM142" s="114">
        <f>AK142*AL142</f>
        <v>41856</v>
      </c>
      <c r="AN142" s="114"/>
      <c r="AO142" s="144"/>
      <c r="AP142" s="91"/>
      <c r="AQ142" s="387"/>
      <c r="AR142" s="482"/>
      <c r="AS142" s="482"/>
      <c r="AT142" s="482"/>
      <c r="AU142" s="137"/>
      <c r="AV142" s="137"/>
      <c r="AW142" s="482"/>
      <c r="AX142" s="540"/>
      <c r="AY142" s="114"/>
      <c r="AZ142" s="127"/>
      <c r="BA142" s="127"/>
      <c r="BB142" s="127"/>
      <c r="BC142" s="127">
        <f t="shared" si="12"/>
        <v>0</v>
      </c>
      <c r="BI142" s="149"/>
      <c r="BJ142" s="91"/>
    </row>
    <row r="143" s="79" customFormat="1" ht="14.45" customHeight="1" spans="1:62">
      <c r="A143" s="79">
        <v>18</v>
      </c>
      <c r="C143" s="463" t="s">
        <v>69</v>
      </c>
      <c r="D143" s="79" t="s">
        <v>184</v>
      </c>
      <c r="E143" s="79" t="s">
        <v>103</v>
      </c>
      <c r="F143" s="79" t="s">
        <v>184</v>
      </c>
      <c r="G143" s="486"/>
      <c r="H143" s="79" t="s">
        <v>93</v>
      </c>
      <c r="I143" s="79" t="s">
        <v>103</v>
      </c>
      <c r="J143" s="505">
        <f>AX143</f>
        <v>374.036</v>
      </c>
      <c r="K143" s="528"/>
      <c r="L143" s="528"/>
      <c r="M143" s="528"/>
      <c r="N143" s="529"/>
      <c r="O143" s="530"/>
      <c r="P143" s="91"/>
      <c r="Q143" s="91"/>
      <c r="T143" s="463"/>
      <c r="U143" s="463"/>
      <c r="V143" s="463"/>
      <c r="X143" s="193"/>
      <c r="Z143" s="192"/>
      <c r="AA143" s="192"/>
      <c r="AB143" s="192"/>
      <c r="AC143" s="192"/>
      <c r="AD143" s="535"/>
      <c r="AE143" s="531"/>
      <c r="AF143" s="192"/>
      <c r="AG143" s="531"/>
      <c r="AH143" s="532"/>
      <c r="AI143" s="91"/>
      <c r="AJ143" s="225"/>
      <c r="AK143" s="225"/>
      <c r="AM143" s="192"/>
      <c r="AN143" s="192"/>
      <c r="AO143" s="490"/>
      <c r="AP143" s="91"/>
      <c r="AQ143" s="463"/>
      <c r="AR143" s="491"/>
      <c r="AS143" s="491"/>
      <c r="AT143" s="491"/>
      <c r="AU143" s="225"/>
      <c r="AV143" s="225"/>
      <c r="AW143" s="491"/>
      <c r="AX143" s="536">
        <f>SUM(AX127:AX141)</f>
        <v>374.036</v>
      </c>
      <c r="AY143" s="192"/>
      <c r="AZ143" s="150">
        <f>SUM(AZ127:AZ142)</f>
        <v>2898776.68</v>
      </c>
      <c r="BA143" s="150">
        <f>SUM(BA127:BA142)</f>
        <v>2842096</v>
      </c>
      <c r="BB143" s="150"/>
      <c r="BC143" s="150">
        <f>SUM(BC127:BC142)</f>
        <v>-56680.6799999999</v>
      </c>
      <c r="BI143" s="151" t="s">
        <v>60</v>
      </c>
      <c r="BJ143" s="91"/>
    </row>
    <row r="144" s="76" customFormat="1" ht="14.45" customHeight="1" outlineLevel="1" spans="1:62">
      <c r="C144" s="387">
        <v>45418</v>
      </c>
      <c r="D144" s="76" t="s">
        <v>185</v>
      </c>
      <c r="E144" s="76" t="s">
        <v>92</v>
      </c>
      <c r="F144" s="76" t="s">
        <v>185</v>
      </c>
      <c r="G144" s="479"/>
      <c r="H144" s="79" t="s">
        <v>93</v>
      </c>
      <c r="I144" s="76" t="s">
        <v>92</v>
      </c>
      <c r="J144" s="117">
        <v>2097600</v>
      </c>
      <c r="K144" s="117">
        <v>0.2271</v>
      </c>
      <c r="L144" s="117">
        <f>J144*K144</f>
        <v>476364.96</v>
      </c>
      <c r="M144" s="130"/>
      <c r="N144" s="131"/>
      <c r="O144" s="132"/>
      <c r="P144" s="91"/>
      <c r="Q144" s="91"/>
      <c r="R144" s="113" t="s">
        <v>148</v>
      </c>
      <c r="S144" s="76" t="s">
        <v>186</v>
      </c>
      <c r="T144" s="387">
        <v>45372</v>
      </c>
      <c r="U144" s="387"/>
      <c r="V144" s="387"/>
      <c r="Y144" s="115">
        <v>2097600</v>
      </c>
      <c r="Z144" s="119">
        <v>0.245</v>
      </c>
      <c r="AA144" s="119">
        <f>Y144*Z144</f>
        <v>513912</v>
      </c>
      <c r="AB144" s="134"/>
      <c r="AC144" s="114"/>
      <c r="AD144" s="135"/>
      <c r="AE144" s="134"/>
      <c r="AF144" s="114"/>
      <c r="AG144" s="134"/>
      <c r="AH144" s="136"/>
      <c r="AI144" s="91"/>
      <c r="AJ144" s="137"/>
      <c r="AK144" s="142">
        <v>2097600</v>
      </c>
      <c r="AL144" s="259">
        <f>AM144/AK144</f>
        <v>0.2271</v>
      </c>
      <c r="AM144" s="127">
        <v>476364.96</v>
      </c>
      <c r="AN144" s="127">
        <v>154173.6</v>
      </c>
      <c r="AO144" s="144"/>
      <c r="AP144" s="91"/>
      <c r="AQ144" s="387"/>
      <c r="AR144" s="482"/>
      <c r="AS144" s="482"/>
      <c r="AT144" s="482"/>
      <c r="AU144" s="137"/>
      <c r="AV144" s="137"/>
      <c r="AW144" s="482"/>
      <c r="AX144" s="142">
        <v>2097600</v>
      </c>
      <c r="AY144" s="259">
        <f>AZ144/AX144</f>
        <v>0.2271</v>
      </c>
      <c r="AZ144" s="127">
        <v>476364.96</v>
      </c>
      <c r="BA144" s="127">
        <v>154173.6</v>
      </c>
      <c r="BB144" s="127">
        <v>322191.36</v>
      </c>
      <c r="BC144" s="127">
        <f>BB144+BA144-AZ144</f>
        <v>0</v>
      </c>
      <c r="BI144" s="75"/>
      <c r="BJ144" s="91"/>
    </row>
    <row r="145" s="76" customFormat="1" ht="14.45" customHeight="1" outlineLevel="1" spans="1:62">
      <c r="C145" s="387"/>
      <c r="G145" s="479"/>
      <c r="H145" s="79"/>
      <c r="J145" s="117"/>
      <c r="K145" s="117"/>
      <c r="L145" s="117"/>
      <c r="M145" s="130"/>
      <c r="N145" s="131"/>
      <c r="O145" s="132"/>
      <c r="P145" s="91"/>
      <c r="Q145" s="91"/>
      <c r="R145" s="501" t="s">
        <v>95</v>
      </c>
      <c r="T145" s="387"/>
      <c r="U145" s="387"/>
      <c r="V145" s="387"/>
      <c r="X145" s="112"/>
      <c r="Y145" s="129"/>
      <c r="Z145" s="130"/>
      <c r="AA145" s="119">
        <f>-(AZ144*0.13/1.13)</f>
        <v>-54803.0484955752</v>
      </c>
      <c r="AB145" s="134"/>
      <c r="AC145" s="114"/>
      <c r="AD145" s="135"/>
      <c r="AE145" s="134"/>
      <c r="AF145" s="114"/>
      <c r="AG145" s="134"/>
      <c r="AH145" s="136"/>
      <c r="AI145" s="91"/>
      <c r="AJ145" s="137"/>
      <c r="AK145" s="142"/>
      <c r="AL145" s="259"/>
      <c r="AM145" s="127"/>
      <c r="AN145" s="127">
        <v>322191.36</v>
      </c>
      <c r="AO145" s="144"/>
      <c r="AP145" s="91"/>
      <c r="AQ145" s="387"/>
      <c r="AR145" s="482"/>
      <c r="AS145" s="482"/>
      <c r="AT145" s="482"/>
      <c r="AU145" s="137"/>
      <c r="AV145" s="137"/>
      <c r="AW145" s="482"/>
      <c r="AX145" s="142"/>
      <c r="AY145" s="259"/>
      <c r="AZ145" s="127"/>
      <c r="BA145" s="127"/>
      <c r="BB145" s="127"/>
      <c r="BC145" s="127"/>
      <c r="BI145" s="75"/>
      <c r="BJ145" s="91"/>
    </row>
    <row r="146" s="79" customFormat="1" ht="14.45" customHeight="1" spans="1:62">
      <c r="A146" s="79">
        <v>19</v>
      </c>
      <c r="C146" s="463" t="s">
        <v>69</v>
      </c>
      <c r="D146" s="79" t="s">
        <v>185</v>
      </c>
      <c r="E146" s="79" t="s">
        <v>92</v>
      </c>
      <c r="F146" s="79" t="s">
        <v>185</v>
      </c>
      <c r="G146" s="486"/>
      <c r="H146" s="79" t="s">
        <v>93</v>
      </c>
      <c r="I146" s="79" t="s">
        <v>92</v>
      </c>
      <c r="J146" s="505">
        <f>AX146</f>
        <v>2097600</v>
      </c>
      <c r="K146" s="528"/>
      <c r="L146" s="528"/>
      <c r="M146" s="528"/>
      <c r="N146" s="529"/>
      <c r="O146" s="530"/>
      <c r="P146" s="91"/>
      <c r="Q146" s="91"/>
      <c r="T146" s="463"/>
      <c r="U146" s="463"/>
      <c r="V146" s="463"/>
      <c r="X146" s="193"/>
      <c r="Z146" s="531"/>
      <c r="AA146" s="192">
        <f>SUM(AA144:AA145)</f>
        <v>459108.951504425</v>
      </c>
      <c r="AB146" s="531"/>
      <c r="AC146" s="531"/>
      <c r="AD146" s="535"/>
      <c r="AE146" s="531"/>
      <c r="AF146" s="192"/>
      <c r="AG146" s="531"/>
      <c r="AH146" s="532"/>
      <c r="AI146" s="91"/>
      <c r="AJ146" s="225"/>
      <c r="AK146" s="225"/>
      <c r="AM146" s="192">
        <f>SUM(AM144:AM145)</f>
        <v>476364.96</v>
      </c>
      <c r="AN146" s="192">
        <f>SUM(AN144:AN145)</f>
        <v>476364.96</v>
      </c>
      <c r="AO146" s="490"/>
      <c r="AP146" s="91"/>
      <c r="AQ146" s="463"/>
      <c r="AR146" s="491"/>
      <c r="AS146" s="491"/>
      <c r="AT146" s="491"/>
      <c r="AU146" s="225"/>
      <c r="AV146" s="225"/>
      <c r="AW146" s="491"/>
      <c r="AX146" s="492">
        <v>2097600</v>
      </c>
      <c r="AY146" s="192"/>
      <c r="AZ146" s="150">
        <v>476364.96</v>
      </c>
      <c r="BA146" s="150">
        <v>154173.6</v>
      </c>
      <c r="BB146" s="150">
        <v>322191.36</v>
      </c>
      <c r="BC146" s="150">
        <f>BC144</f>
        <v>0</v>
      </c>
      <c r="BI146" s="151" t="s">
        <v>60</v>
      </c>
      <c r="BJ146" s="91"/>
    </row>
    <row r="147" s="76" customFormat="1" ht="14.45" customHeight="1" outlineLevel="1" spans="1:62">
      <c r="C147" s="387">
        <v>45418</v>
      </c>
      <c r="D147" s="76" t="s">
        <v>187</v>
      </c>
      <c r="E147" s="76" t="s">
        <v>92</v>
      </c>
      <c r="F147" s="76" t="s">
        <v>187</v>
      </c>
      <c r="G147" s="479">
        <f>5288.72</f>
        <v>5288.72</v>
      </c>
      <c r="H147" s="79" t="s">
        <v>93</v>
      </c>
      <c r="I147" s="76" t="s">
        <v>92</v>
      </c>
      <c r="J147" s="129">
        <f>2246000</f>
        <v>2246000</v>
      </c>
      <c r="K147" s="130">
        <v>0.2314</v>
      </c>
      <c r="L147" s="130">
        <f>J147*K147</f>
        <v>519724.4</v>
      </c>
      <c r="M147" s="130"/>
      <c r="N147" s="131"/>
      <c r="O147" s="132"/>
      <c r="P147" s="91"/>
      <c r="Q147" s="91"/>
      <c r="R147" s="76" t="s">
        <v>88</v>
      </c>
      <c r="T147" s="387"/>
      <c r="U147" s="387"/>
      <c r="V147" s="387"/>
      <c r="X147" s="112"/>
      <c r="Y147" s="76">
        <f>2246000</f>
        <v>2246000</v>
      </c>
      <c r="Z147" s="134">
        <v>0.25</v>
      </c>
      <c r="AA147" s="114">
        <f>Y147*Z147</f>
        <v>561500</v>
      </c>
      <c r="AB147" s="114"/>
      <c r="AC147" s="134"/>
      <c r="AD147" s="135"/>
      <c r="AE147" s="134"/>
      <c r="AF147" s="114"/>
      <c r="AG147" s="134"/>
      <c r="AH147" s="136"/>
      <c r="AI147" s="91"/>
      <c r="AJ147" s="137"/>
      <c r="AK147" s="142">
        <v>2246000</v>
      </c>
      <c r="AL147" s="259">
        <f>AM147/AK147</f>
        <v>0.2344</v>
      </c>
      <c r="AM147" s="127">
        <v>526462.4</v>
      </c>
      <c r="AN147" s="127">
        <f>423716.4+77457.28</f>
        <v>501173.68</v>
      </c>
      <c r="AO147" s="144"/>
      <c r="AP147" s="91"/>
      <c r="AQ147" s="387"/>
      <c r="AR147" s="482"/>
      <c r="AS147" s="482"/>
      <c r="AT147" s="482"/>
      <c r="AU147" s="137"/>
      <c r="AV147" s="137"/>
      <c r="AW147" s="482"/>
      <c r="AX147" s="142">
        <v>2246000</v>
      </c>
      <c r="AY147" s="259">
        <f>AZ147/AX147</f>
        <v>0.2344</v>
      </c>
      <c r="AZ147" s="127">
        <v>526462.4</v>
      </c>
      <c r="BA147" s="127">
        <v>423716.4</v>
      </c>
      <c r="BB147" s="127">
        <v>77457.28</v>
      </c>
      <c r="BC147" s="127">
        <f>BB147+BA147-AZ147</f>
        <v>-25288.72</v>
      </c>
      <c r="BI147" s="75"/>
      <c r="BJ147" s="91"/>
    </row>
    <row r="148" s="76" customFormat="1" ht="14.45" customHeight="1" outlineLevel="1" spans="1:62">
      <c r="C148" s="387">
        <v>45622</v>
      </c>
      <c r="D148" s="76" t="s">
        <v>99</v>
      </c>
      <c r="F148" s="76" t="s">
        <v>99</v>
      </c>
      <c r="G148" s="479"/>
      <c r="H148" s="79" t="s">
        <v>93</v>
      </c>
      <c r="J148" s="129"/>
      <c r="K148" s="130"/>
      <c r="L148" s="130"/>
      <c r="M148" s="130"/>
      <c r="O148" s="132"/>
      <c r="P148" s="91"/>
      <c r="Q148" s="91"/>
      <c r="R148" s="501" t="s">
        <v>95</v>
      </c>
      <c r="T148" s="387"/>
      <c r="U148" s="387"/>
      <c r="V148" s="387"/>
      <c r="X148" s="112"/>
      <c r="Y148" s="129"/>
      <c r="Z148" s="130"/>
      <c r="AA148" s="119">
        <f>-(AZ147*0.13/1.13)</f>
        <v>-60566.4707964602</v>
      </c>
      <c r="AB148" s="134"/>
      <c r="AC148" s="134"/>
      <c r="AD148" s="135"/>
      <c r="AE148" s="134"/>
      <c r="AF148" s="134"/>
      <c r="AG148" s="134"/>
      <c r="AH148" s="136"/>
      <c r="AI148" s="91"/>
      <c r="AJ148" s="137"/>
      <c r="AK148" s="137"/>
      <c r="AM148" s="114"/>
      <c r="AN148" s="127">
        <v>10000</v>
      </c>
      <c r="AO148" s="144"/>
      <c r="AP148" s="91"/>
      <c r="AQ148" s="387"/>
      <c r="AR148" s="482"/>
      <c r="AS148" s="482"/>
      <c r="AT148" s="482"/>
      <c r="AU148" s="137"/>
      <c r="AV148" s="137"/>
      <c r="AW148" s="482"/>
      <c r="AX148" s="142"/>
      <c r="AY148" s="114"/>
      <c r="AZ148" s="127"/>
      <c r="BB148" s="127">
        <v>10000</v>
      </c>
      <c r="BC148" s="127">
        <f>BB148-AZ148</f>
        <v>10000</v>
      </c>
      <c r="BI148" s="75"/>
      <c r="BJ148" s="91"/>
    </row>
    <row r="149" s="76" customFormat="1" ht="14.45" customHeight="1" outlineLevel="1" spans="1:62">
      <c r="C149" s="387">
        <v>45629</v>
      </c>
      <c r="D149" s="76" t="s">
        <v>99</v>
      </c>
      <c r="F149" s="76" t="s">
        <v>99</v>
      </c>
      <c r="G149" s="479"/>
      <c r="H149" s="79" t="s">
        <v>93</v>
      </c>
      <c r="J149" s="129"/>
      <c r="K149" s="130"/>
      <c r="L149" s="130"/>
      <c r="M149" s="130"/>
      <c r="O149" s="132"/>
      <c r="P149" s="91"/>
      <c r="Q149" s="91"/>
      <c r="T149" s="387"/>
      <c r="U149" s="387"/>
      <c r="V149" s="387"/>
      <c r="X149" s="112"/>
      <c r="Z149" s="134"/>
      <c r="AA149" s="114"/>
      <c r="AB149" s="134"/>
      <c r="AC149" s="134"/>
      <c r="AD149" s="135"/>
      <c r="AE149" s="134"/>
      <c r="AF149" s="114"/>
      <c r="AG149" s="134"/>
      <c r="AH149" s="136"/>
      <c r="AI149" s="91"/>
      <c r="AJ149" s="137"/>
      <c r="AK149" s="137"/>
      <c r="AM149" s="114"/>
      <c r="AN149" s="127">
        <v>10000</v>
      </c>
      <c r="AO149" s="144"/>
      <c r="AP149" s="91"/>
      <c r="AQ149" s="387"/>
      <c r="AR149" s="482"/>
      <c r="AS149" s="482"/>
      <c r="AT149" s="482"/>
      <c r="AU149" s="137"/>
      <c r="AV149" s="137"/>
      <c r="AW149" s="482"/>
      <c r="AX149" s="142"/>
      <c r="AY149" s="114"/>
      <c r="AZ149" s="127"/>
      <c r="BB149" s="127">
        <v>10000</v>
      </c>
      <c r="BC149" s="127">
        <f>BB149-AZ149</f>
        <v>10000</v>
      </c>
      <c r="BI149" s="75"/>
      <c r="BJ149" s="91"/>
    </row>
    <row r="150" s="79" customFormat="1" ht="14.45" customHeight="1" spans="1:62">
      <c r="A150" s="79">
        <v>20</v>
      </c>
      <c r="C150" s="463" t="s">
        <v>69</v>
      </c>
      <c r="D150" s="79" t="s">
        <v>187</v>
      </c>
      <c r="E150" s="79" t="s">
        <v>92</v>
      </c>
      <c r="F150" s="79" t="s">
        <v>187</v>
      </c>
      <c r="G150" s="486"/>
      <c r="H150" s="79" t="s">
        <v>93</v>
      </c>
      <c r="I150" s="79" t="s">
        <v>92</v>
      </c>
      <c r="J150" s="505">
        <f>AX150</f>
        <v>2246000</v>
      </c>
      <c r="K150" s="528"/>
      <c r="L150" s="528"/>
      <c r="M150" s="528"/>
      <c r="O150" s="530"/>
      <c r="P150" s="91"/>
      <c r="Q150" s="91"/>
      <c r="T150" s="463"/>
      <c r="U150" s="463"/>
      <c r="V150" s="463"/>
      <c r="X150" s="193"/>
      <c r="Z150" s="531"/>
      <c r="AA150" s="192">
        <f>SUM(AA147:AA149)</f>
        <v>500933.52920354</v>
      </c>
      <c r="AB150" s="531"/>
      <c r="AC150" s="192"/>
      <c r="AD150" s="535"/>
      <c r="AE150" s="531"/>
      <c r="AF150" s="192"/>
      <c r="AG150" s="531"/>
      <c r="AH150" s="532"/>
      <c r="AI150" s="91"/>
      <c r="AJ150" s="225"/>
      <c r="AK150" s="225"/>
      <c r="AM150" s="192">
        <f>SUM(AM147:AM149)</f>
        <v>526462.4</v>
      </c>
      <c r="AN150" s="192">
        <f>SUM(AN147:AN149)</f>
        <v>521173.68</v>
      </c>
      <c r="AO150" s="490"/>
      <c r="AP150" s="91"/>
      <c r="AQ150" s="463"/>
      <c r="AR150" s="491"/>
      <c r="AS150" s="491"/>
      <c r="AT150" s="491"/>
      <c r="AU150" s="225"/>
      <c r="AV150" s="225"/>
      <c r="AW150" s="491"/>
      <c r="AX150" s="536">
        <f>SUM(AX147:AX149)</f>
        <v>2246000</v>
      </c>
      <c r="AY150" s="192"/>
      <c r="AZ150" s="150">
        <f>SUM(AZ147:AZ149)</f>
        <v>526462.4</v>
      </c>
      <c r="BA150" s="150">
        <f>SUM(BA147:BA149)</f>
        <v>423716.4</v>
      </c>
      <c r="BB150" s="150">
        <f>SUM(BB147:BB149)</f>
        <v>97457.28</v>
      </c>
      <c r="BC150" s="150">
        <f>SUM(BC147:BC149)</f>
        <v>-5288.71999999997</v>
      </c>
      <c r="BI150" s="151" t="s">
        <v>60</v>
      </c>
      <c r="BJ150" s="91"/>
    </row>
    <row r="151" s="76" customFormat="1" ht="14.45" customHeight="1" outlineLevel="1" spans="1:62">
      <c r="C151" s="387"/>
      <c r="G151" s="479"/>
      <c r="H151" s="79" t="s">
        <v>93</v>
      </c>
      <c r="J151" s="129"/>
      <c r="K151" s="130"/>
      <c r="L151" s="130"/>
      <c r="M151" s="130"/>
      <c r="O151" s="132"/>
      <c r="P151" s="91"/>
      <c r="Q151" s="91"/>
      <c r="T151" s="387"/>
      <c r="U151" s="387"/>
      <c r="V151" s="387"/>
      <c r="Z151" s="134"/>
      <c r="AA151" s="114"/>
      <c r="AB151" s="134"/>
      <c r="AC151" s="114"/>
      <c r="AD151" s="135"/>
      <c r="AE151" s="134"/>
      <c r="AF151" s="114"/>
      <c r="AG151" s="134"/>
      <c r="AH151" s="136"/>
      <c r="AI151" s="91"/>
      <c r="AJ151" s="137"/>
      <c r="AK151" s="137"/>
      <c r="AM151" s="114"/>
      <c r="AN151" s="114"/>
      <c r="AO151" s="144"/>
      <c r="AP151" s="91"/>
      <c r="AQ151" s="387"/>
      <c r="AR151" s="482"/>
      <c r="AS151" s="482"/>
      <c r="AT151" s="482"/>
      <c r="AU151" s="137"/>
      <c r="AV151" s="137"/>
      <c r="AW151" s="482"/>
      <c r="AX151" s="142"/>
      <c r="AY151" s="114"/>
      <c r="AZ151" s="127"/>
      <c r="BA151" s="127"/>
      <c r="BB151" s="127"/>
      <c r="BC151" s="127"/>
      <c r="BI151" s="75"/>
      <c r="BJ151" s="91"/>
    </row>
    <row r="152" s="76" customFormat="1" ht="14.45" customHeight="1" outlineLevel="1" spans="1:62">
      <c r="C152" s="387">
        <v>45586</v>
      </c>
      <c r="D152" s="76" t="s">
        <v>188</v>
      </c>
      <c r="E152" s="76" t="s">
        <v>103</v>
      </c>
      <c r="F152" s="76" t="s">
        <v>188</v>
      </c>
      <c r="G152" s="479"/>
      <c r="H152" s="79" t="s">
        <v>93</v>
      </c>
      <c r="I152" s="76" t="s">
        <v>103</v>
      </c>
      <c r="J152" s="129">
        <v>220</v>
      </c>
      <c r="K152" s="130">
        <v>6950</v>
      </c>
      <c r="L152" s="130">
        <f>J152*K152</f>
        <v>1529000</v>
      </c>
      <c r="M152" s="130"/>
      <c r="O152" s="132"/>
      <c r="P152" s="91"/>
      <c r="Q152" s="91"/>
      <c r="R152" s="76" t="s">
        <v>88</v>
      </c>
      <c r="T152" s="387"/>
      <c r="U152" s="387"/>
      <c r="V152" s="387"/>
      <c r="X152" s="112"/>
      <c r="Y152" s="129">
        <v>20.558</v>
      </c>
      <c r="Z152" s="134">
        <v>9350</v>
      </c>
      <c r="AA152" s="114">
        <f>Y152*Z152</f>
        <v>192217.3</v>
      </c>
      <c r="AB152" s="134"/>
      <c r="AC152" s="114"/>
      <c r="AD152" s="135"/>
      <c r="AE152" s="134"/>
      <c r="AF152" s="114"/>
      <c r="AG152" s="134"/>
      <c r="AH152" s="136"/>
      <c r="AI152" s="91"/>
      <c r="AJ152" s="137"/>
      <c r="AK152" s="142">
        <v>20.558</v>
      </c>
      <c r="AL152" s="114">
        <v>9730</v>
      </c>
      <c r="AM152" s="127">
        <f>AK152*AL152</f>
        <v>200029.34</v>
      </c>
      <c r="AN152" s="114"/>
      <c r="AO152" s="144"/>
      <c r="AP152" s="91"/>
      <c r="AQ152" s="387"/>
      <c r="AR152" s="482"/>
      <c r="AS152" s="482"/>
      <c r="AT152" s="482"/>
      <c r="AU152" s="137"/>
      <c r="AV152" s="137"/>
      <c r="AW152" s="482"/>
      <c r="AX152" s="142">
        <v>20.558</v>
      </c>
      <c r="AY152" s="114">
        <v>9730</v>
      </c>
      <c r="AZ152" s="127">
        <f>AX152*AY152</f>
        <v>200029.34</v>
      </c>
      <c r="BA152" s="127">
        <v>600000</v>
      </c>
      <c r="BB152" s="127"/>
      <c r="BC152" s="127">
        <f t="shared" ref="BC152:BC159" si="13">BA152-AZ152</f>
        <v>399970.66</v>
      </c>
      <c r="BI152" s="75"/>
      <c r="BJ152" s="91"/>
    </row>
    <row r="153" s="76" customFormat="1" ht="14.45" customHeight="1" outlineLevel="1" spans="1:62">
      <c r="C153" s="387">
        <v>45586</v>
      </c>
      <c r="D153" s="76" t="s">
        <v>189</v>
      </c>
      <c r="E153" s="76" t="s">
        <v>101</v>
      </c>
      <c r="F153" s="76" t="s">
        <v>189</v>
      </c>
      <c r="G153" s="479"/>
      <c r="H153" s="79" t="s">
        <v>93</v>
      </c>
      <c r="I153" s="76" t="s">
        <v>101</v>
      </c>
      <c r="J153" s="129"/>
      <c r="K153" s="130"/>
      <c r="L153" s="130"/>
      <c r="M153" s="130"/>
      <c r="O153" s="132"/>
      <c r="P153" s="91"/>
      <c r="Q153" s="91"/>
      <c r="R153" s="76" t="s">
        <v>88</v>
      </c>
      <c r="T153" s="387"/>
      <c r="U153" s="387"/>
      <c r="V153" s="387"/>
      <c r="X153" s="112"/>
      <c r="Y153" s="129">
        <v>6.06</v>
      </c>
      <c r="Z153" s="134">
        <v>6950</v>
      </c>
      <c r="AA153" s="114">
        <f>Y153*Z153</f>
        <v>42117</v>
      </c>
      <c r="AB153" s="134"/>
      <c r="AC153" s="114"/>
      <c r="AD153" s="135"/>
      <c r="AE153" s="134"/>
      <c r="AF153" s="114"/>
      <c r="AG153" s="134"/>
      <c r="AH153" s="136"/>
      <c r="AI153" s="91"/>
      <c r="AJ153" s="137"/>
      <c r="AK153" s="142">
        <v>6.06</v>
      </c>
      <c r="AL153" s="114">
        <v>7230</v>
      </c>
      <c r="AM153" s="127">
        <f>AK153*AL153</f>
        <v>43813.8</v>
      </c>
      <c r="AN153" s="114"/>
      <c r="AO153" s="144"/>
      <c r="AP153" s="91"/>
      <c r="AQ153" s="387"/>
      <c r="AR153" s="482"/>
      <c r="AS153" s="482"/>
      <c r="AT153" s="482"/>
      <c r="AU153" s="137"/>
      <c r="AV153" s="137"/>
      <c r="AW153" s="482"/>
      <c r="AX153" s="142">
        <v>6.06</v>
      </c>
      <c r="AY153" s="114">
        <v>7230</v>
      </c>
      <c r="AZ153" s="127">
        <f>AX153*AY153</f>
        <v>43813.8</v>
      </c>
      <c r="BA153" s="127">
        <v>250000</v>
      </c>
      <c r="BB153" s="127"/>
      <c r="BC153" s="127">
        <f t="shared" si="13"/>
        <v>206186.2</v>
      </c>
      <c r="BI153" s="75"/>
      <c r="BJ153" s="91"/>
    </row>
    <row r="154" s="76" customFormat="1" ht="14.45" customHeight="1" outlineLevel="1" spans="1:62">
      <c r="C154" s="387">
        <v>45674</v>
      </c>
      <c r="D154" s="76" t="s">
        <v>190</v>
      </c>
      <c r="E154" s="76" t="s">
        <v>101</v>
      </c>
      <c r="F154" s="76" t="s">
        <v>190</v>
      </c>
      <c r="G154" s="479"/>
      <c r="H154" s="79" t="s">
        <v>93</v>
      </c>
      <c r="I154" s="76" t="s">
        <v>101</v>
      </c>
      <c r="J154" s="129"/>
      <c r="K154" s="130"/>
      <c r="L154" s="130"/>
      <c r="M154" s="130"/>
      <c r="O154" s="132"/>
      <c r="P154" s="91"/>
      <c r="Q154" s="91"/>
      <c r="R154" s="76" t="s">
        <v>88</v>
      </c>
      <c r="T154" s="387"/>
      <c r="U154" s="387"/>
      <c r="V154" s="387"/>
      <c r="X154" s="112"/>
      <c r="Y154" s="129">
        <v>54.54</v>
      </c>
      <c r="Z154" s="134">
        <v>6950</v>
      </c>
      <c r="AA154" s="114">
        <f>Y154*Z154</f>
        <v>379053</v>
      </c>
      <c r="AB154" s="114"/>
      <c r="AC154" s="114"/>
      <c r="AD154" s="135"/>
      <c r="AE154" s="134"/>
      <c r="AF154" s="114"/>
      <c r="AG154" s="134"/>
      <c r="AH154" s="136"/>
      <c r="AI154" s="91"/>
      <c r="AJ154" s="137"/>
      <c r="AK154" s="142">
        <v>54.54</v>
      </c>
      <c r="AL154" s="114">
        <v>7200</v>
      </c>
      <c r="AM154" s="127">
        <f>AK154*AL154</f>
        <v>392688</v>
      </c>
      <c r="AN154" s="114"/>
      <c r="AO154" s="144"/>
      <c r="AP154" s="91"/>
      <c r="AQ154" s="387"/>
      <c r="AR154" s="482"/>
      <c r="AS154" s="482"/>
      <c r="AT154" s="482"/>
      <c r="AU154" s="137"/>
      <c r="AV154" s="137"/>
      <c r="AW154" s="482"/>
      <c r="AX154" s="142">
        <v>54.54</v>
      </c>
      <c r="AY154" s="114">
        <v>7200</v>
      </c>
      <c r="AZ154" s="127">
        <f>AX154*AY154</f>
        <v>392688</v>
      </c>
      <c r="BA154" s="127"/>
      <c r="BB154" s="127"/>
      <c r="BC154" s="127">
        <f t="shared" si="13"/>
        <v>-392688</v>
      </c>
      <c r="BI154" s="75"/>
      <c r="BJ154" s="91"/>
    </row>
    <row r="155" s="76" customFormat="1" ht="14.45" customHeight="1" outlineLevel="1" spans="1:62">
      <c r="C155" s="387">
        <v>45677</v>
      </c>
      <c r="D155" s="76" t="s">
        <v>191</v>
      </c>
      <c r="E155" s="76" t="s">
        <v>101</v>
      </c>
      <c r="F155" s="76" t="s">
        <v>191</v>
      </c>
      <c r="G155" s="479"/>
      <c r="H155" s="79" t="s">
        <v>93</v>
      </c>
      <c r="I155" s="76" t="s">
        <v>101</v>
      </c>
      <c r="J155" s="129"/>
      <c r="K155" s="130"/>
      <c r="L155" s="130"/>
      <c r="M155" s="130"/>
      <c r="O155" s="132"/>
      <c r="P155" s="91"/>
      <c r="Q155" s="91"/>
      <c r="R155" s="76" t="s">
        <v>88</v>
      </c>
      <c r="T155" s="387"/>
      <c r="U155" s="387"/>
      <c r="V155" s="387"/>
      <c r="X155" s="112"/>
      <c r="Y155" s="129">
        <v>54.54</v>
      </c>
      <c r="Z155" s="134">
        <v>6950</v>
      </c>
      <c r="AA155" s="114">
        <f>Y155*Z155</f>
        <v>379053</v>
      </c>
      <c r="AB155" s="114"/>
      <c r="AC155" s="114"/>
      <c r="AD155" s="135"/>
      <c r="AE155" s="134"/>
      <c r="AF155" s="114"/>
      <c r="AG155" s="134"/>
      <c r="AH155" s="136"/>
      <c r="AI155" s="91"/>
      <c r="AJ155" s="137"/>
      <c r="AK155" s="142">
        <v>54.54</v>
      </c>
      <c r="AL155" s="114">
        <v>7200</v>
      </c>
      <c r="AM155" s="127">
        <f>AK155*AL155</f>
        <v>392688</v>
      </c>
      <c r="AN155" s="114"/>
      <c r="AO155" s="144"/>
      <c r="AP155" s="91"/>
      <c r="AQ155" s="387"/>
      <c r="AR155" s="482"/>
      <c r="AS155" s="482"/>
      <c r="AT155" s="482"/>
      <c r="AU155" s="137"/>
      <c r="AV155" s="137"/>
      <c r="AW155" s="482"/>
      <c r="AX155" s="142">
        <v>54.54</v>
      </c>
      <c r="AY155" s="114">
        <v>7200</v>
      </c>
      <c r="AZ155" s="127">
        <f>AX155*AY155</f>
        <v>392688</v>
      </c>
      <c r="BA155" s="127"/>
      <c r="BB155" s="127"/>
      <c r="BC155" s="127">
        <f t="shared" si="13"/>
        <v>-392688</v>
      </c>
      <c r="BI155" s="75"/>
      <c r="BJ155" s="91"/>
    </row>
    <row r="156" s="76" customFormat="1" ht="14.45" customHeight="1" outlineLevel="1" spans="1:62">
      <c r="C156" s="387">
        <v>45677</v>
      </c>
      <c r="D156" s="76" t="s">
        <v>192</v>
      </c>
      <c r="E156" s="76" t="s">
        <v>101</v>
      </c>
      <c r="F156" s="76" t="s">
        <v>192</v>
      </c>
      <c r="G156" s="479"/>
      <c r="H156" s="79" t="s">
        <v>93</v>
      </c>
      <c r="I156" s="76" t="s">
        <v>101</v>
      </c>
      <c r="J156" s="129"/>
      <c r="K156" s="130"/>
      <c r="L156" s="130"/>
      <c r="M156" s="130"/>
      <c r="O156" s="132"/>
      <c r="P156" s="91"/>
      <c r="Q156" s="91"/>
      <c r="R156" s="76" t="s">
        <v>88</v>
      </c>
      <c r="T156" s="387"/>
      <c r="U156" s="387"/>
      <c r="V156" s="387"/>
      <c r="X156" s="112"/>
      <c r="Y156" s="129">
        <v>27.27</v>
      </c>
      <c r="Z156" s="134">
        <v>6950</v>
      </c>
      <c r="AA156" s="114">
        <f>Y156*Z156</f>
        <v>189526.5</v>
      </c>
      <c r="AB156" s="114"/>
      <c r="AC156" s="114"/>
      <c r="AD156" s="135"/>
      <c r="AE156" s="134"/>
      <c r="AF156" s="114"/>
      <c r="AG156" s="134"/>
      <c r="AH156" s="136"/>
      <c r="AI156" s="91"/>
      <c r="AJ156" s="137"/>
      <c r="AK156" s="142">
        <v>27.27</v>
      </c>
      <c r="AL156" s="114">
        <v>7200</v>
      </c>
      <c r="AM156" s="127">
        <f>AK156*AL156</f>
        <v>196344</v>
      </c>
      <c r="AN156" s="114"/>
      <c r="AO156" s="144"/>
      <c r="AP156" s="91"/>
      <c r="AQ156" s="387"/>
      <c r="AR156" s="482"/>
      <c r="AS156" s="482"/>
      <c r="AT156" s="482"/>
      <c r="AU156" s="137"/>
      <c r="AV156" s="137"/>
      <c r="AW156" s="482"/>
      <c r="AX156" s="142">
        <v>27.27</v>
      </c>
      <c r="AY156" s="114">
        <v>7200</v>
      </c>
      <c r="AZ156" s="127">
        <f>AX156*AY156</f>
        <v>196344</v>
      </c>
      <c r="BA156" s="127"/>
      <c r="BB156" s="127"/>
      <c r="BC156" s="127">
        <f t="shared" si="13"/>
        <v>-196344</v>
      </c>
      <c r="BI156" s="75"/>
      <c r="BJ156" s="91"/>
    </row>
    <row r="157" s="76" customFormat="1" ht="14.45" customHeight="1" outlineLevel="1" spans="1:62">
      <c r="C157" s="387">
        <v>45631</v>
      </c>
      <c r="D157" s="76" t="s">
        <v>99</v>
      </c>
      <c r="F157" s="76" t="s">
        <v>99</v>
      </c>
      <c r="G157" s="479"/>
      <c r="H157" s="79" t="s">
        <v>93</v>
      </c>
      <c r="J157" s="129"/>
      <c r="K157" s="130"/>
      <c r="L157" s="130"/>
      <c r="M157" s="130"/>
      <c r="O157" s="132"/>
      <c r="P157" s="91"/>
      <c r="Q157" s="91"/>
      <c r="T157" s="387"/>
      <c r="U157" s="387"/>
      <c r="V157" s="387"/>
      <c r="X157" s="112"/>
      <c r="Z157" s="134"/>
      <c r="AA157" s="114"/>
      <c r="AB157" s="114"/>
      <c r="AC157" s="114"/>
      <c r="AD157" s="135"/>
      <c r="AE157" s="134"/>
      <c r="AF157" s="114"/>
      <c r="AG157" s="134"/>
      <c r="AH157" s="136"/>
      <c r="AI157" s="91"/>
      <c r="AJ157" s="137"/>
      <c r="AK157" s="137"/>
      <c r="AM157" s="114"/>
      <c r="AN157" s="114"/>
      <c r="AO157" s="144"/>
      <c r="AP157" s="91"/>
      <c r="AQ157" s="387"/>
      <c r="AR157" s="482"/>
      <c r="AS157" s="482"/>
      <c r="AT157" s="482"/>
      <c r="AU157" s="137"/>
      <c r="AV157" s="137"/>
      <c r="AW157" s="482"/>
      <c r="AX157" s="142"/>
      <c r="AY157" s="114"/>
      <c r="AZ157" s="127"/>
      <c r="BA157" s="127">
        <v>490250</v>
      </c>
      <c r="BB157" s="127"/>
      <c r="BC157" s="127">
        <f t="shared" si="13"/>
        <v>490250</v>
      </c>
      <c r="BI157" s="75"/>
      <c r="BJ157" s="91"/>
    </row>
    <row r="158" s="76" customFormat="1" ht="14.45" customHeight="1" outlineLevel="1" spans="1:62">
      <c r="C158" s="387">
        <v>45586</v>
      </c>
      <c r="D158" s="76" t="s">
        <v>99</v>
      </c>
      <c r="F158" s="76" t="s">
        <v>99</v>
      </c>
      <c r="G158" s="479"/>
      <c r="H158" s="79" t="s">
        <v>93</v>
      </c>
      <c r="J158" s="129"/>
      <c r="K158" s="130"/>
      <c r="L158" s="130"/>
      <c r="M158" s="130"/>
      <c r="O158" s="132"/>
      <c r="P158" s="91"/>
      <c r="Q158" s="91"/>
      <c r="T158" s="387"/>
      <c r="U158" s="387"/>
      <c r="V158" s="387"/>
      <c r="X158" s="112"/>
      <c r="Y158" s="543"/>
      <c r="Z158" s="134"/>
      <c r="AA158" s="114"/>
      <c r="AB158" s="134"/>
      <c r="AC158" s="134"/>
      <c r="AD158" s="140"/>
      <c r="AE158" s="114"/>
      <c r="AF158" s="114"/>
      <c r="AG158" s="114"/>
      <c r="AH158" s="141"/>
      <c r="AI158" s="91"/>
      <c r="AJ158" s="137"/>
      <c r="AK158" s="137"/>
      <c r="AM158" s="114"/>
      <c r="AN158" s="114"/>
      <c r="AO158" s="144"/>
      <c r="AP158" s="91"/>
      <c r="AQ158" s="387"/>
      <c r="AR158" s="482"/>
      <c r="AS158" s="482"/>
      <c r="AT158" s="482"/>
      <c r="AU158" s="137"/>
      <c r="AV158" s="137"/>
      <c r="AW158" s="482"/>
      <c r="AX158" s="142"/>
      <c r="AY158" s="114"/>
      <c r="AZ158" s="127"/>
      <c r="BA158" s="127">
        <v>10000</v>
      </c>
      <c r="BB158" s="127"/>
      <c r="BC158" s="127">
        <f t="shared" si="13"/>
        <v>10000</v>
      </c>
      <c r="BI158" s="75"/>
      <c r="BJ158" s="91"/>
    </row>
    <row r="159" s="76" customFormat="1" ht="14.45" customHeight="1" outlineLevel="1" spans="1:62">
      <c r="C159" s="387"/>
      <c r="D159" s="76" t="s">
        <v>99</v>
      </c>
      <c r="F159" s="76" t="s">
        <v>99</v>
      </c>
      <c r="G159" s="479"/>
      <c r="H159" s="79" t="s">
        <v>93</v>
      </c>
      <c r="J159" s="129"/>
      <c r="K159" s="130"/>
      <c r="L159" s="130"/>
      <c r="M159" s="130"/>
      <c r="O159" s="132"/>
      <c r="P159" s="91"/>
      <c r="Q159" s="91"/>
      <c r="T159" s="387"/>
      <c r="U159" s="387"/>
      <c r="V159" s="387"/>
      <c r="X159" s="112"/>
      <c r="Z159" s="114"/>
      <c r="AA159" s="114"/>
      <c r="AB159" s="134"/>
      <c r="AC159" s="134"/>
      <c r="AD159" s="140"/>
      <c r="AE159" s="134"/>
      <c r="AF159" s="114"/>
      <c r="AG159" s="134"/>
      <c r="AH159" s="136"/>
      <c r="AI159" s="91"/>
      <c r="AJ159" s="137"/>
      <c r="AK159" s="137"/>
      <c r="AM159" s="114"/>
      <c r="AN159" s="114"/>
      <c r="AO159" s="144"/>
      <c r="AP159" s="91"/>
      <c r="AQ159" s="387"/>
      <c r="AR159" s="482"/>
      <c r="AS159" s="482"/>
      <c r="AT159" s="482"/>
      <c r="AU159" s="137"/>
      <c r="AV159" s="137"/>
      <c r="AW159" s="482"/>
      <c r="AX159" s="142"/>
      <c r="AY159" s="114"/>
      <c r="AZ159" s="127"/>
      <c r="BA159" s="127">
        <v>9500</v>
      </c>
      <c r="BB159" s="127"/>
      <c r="BC159" s="127">
        <f t="shared" si="13"/>
        <v>9500</v>
      </c>
      <c r="BI159" s="75"/>
      <c r="BJ159" s="91"/>
    </row>
    <row r="160" s="76" customFormat="1" ht="14.45" customHeight="1" outlineLevel="1" spans="1:62">
      <c r="C160" s="387">
        <v>45672</v>
      </c>
      <c r="D160" s="76" t="s">
        <v>99</v>
      </c>
      <c r="F160" s="189" t="s">
        <v>99</v>
      </c>
      <c r="G160" s="479"/>
      <c r="H160" s="79" t="s">
        <v>93</v>
      </c>
      <c r="J160" s="129"/>
      <c r="K160" s="129"/>
      <c r="L160" s="129"/>
      <c r="M160" s="129"/>
      <c r="P160" s="91"/>
      <c r="Q160" s="91"/>
      <c r="T160" s="387"/>
      <c r="U160" s="387"/>
      <c r="V160" s="387"/>
      <c r="Z160" s="114"/>
      <c r="AA160" s="114"/>
      <c r="AB160" s="114"/>
      <c r="AC160" s="114"/>
      <c r="AD160" s="140"/>
      <c r="AE160" s="114"/>
      <c r="AF160" s="114"/>
      <c r="AG160" s="114"/>
      <c r="AH160" s="141"/>
      <c r="AI160" s="91"/>
      <c r="AJ160" s="137"/>
      <c r="AK160" s="137"/>
      <c r="AM160" s="114"/>
      <c r="AN160" s="114"/>
      <c r="AO160" s="144"/>
      <c r="AP160" s="91"/>
      <c r="AQ160" s="387"/>
      <c r="AR160" s="482"/>
      <c r="AS160" s="482"/>
      <c r="AT160" s="482"/>
      <c r="AU160" s="137"/>
      <c r="AV160" s="137"/>
      <c r="AW160" s="482"/>
      <c r="AX160" s="142"/>
      <c r="AY160" s="114"/>
      <c r="AZ160" s="127"/>
      <c r="BA160" s="127"/>
      <c r="BB160" s="127"/>
      <c r="BC160" s="127"/>
      <c r="BI160" s="75"/>
      <c r="BJ160" s="91"/>
    </row>
    <row r="161" s="79" customFormat="1" ht="14.45" customHeight="1" spans="1:62">
      <c r="A161" s="79">
        <v>21</v>
      </c>
      <c r="C161" s="463" t="s">
        <v>69</v>
      </c>
      <c r="D161" s="79" t="s">
        <v>193</v>
      </c>
      <c r="E161" s="79" t="s">
        <v>103</v>
      </c>
      <c r="F161" s="79" t="s">
        <v>193</v>
      </c>
      <c r="G161" s="486"/>
      <c r="H161" s="79" t="s">
        <v>93</v>
      </c>
      <c r="I161" s="79" t="s">
        <v>103</v>
      </c>
      <c r="J161" s="505">
        <f>AX161</f>
        <v>162.968</v>
      </c>
      <c r="K161" s="528"/>
      <c r="L161" s="528"/>
      <c r="M161" s="528"/>
      <c r="O161" s="530"/>
      <c r="P161" s="91"/>
      <c r="Q161" s="91"/>
      <c r="T161" s="463"/>
      <c r="U161" s="463"/>
      <c r="V161" s="463"/>
      <c r="X161" s="193"/>
      <c r="Z161" s="531"/>
      <c r="AA161" s="192"/>
      <c r="AB161" s="531"/>
      <c r="AC161" s="192"/>
      <c r="AD161" s="196"/>
      <c r="AE161" s="531"/>
      <c r="AF161" s="192"/>
      <c r="AG161" s="192"/>
      <c r="AH161" s="227"/>
      <c r="AI161" s="91"/>
      <c r="AJ161" s="225"/>
      <c r="AK161" s="225"/>
      <c r="AM161" s="192"/>
      <c r="AN161" s="192"/>
      <c r="AO161" s="490"/>
      <c r="AP161" s="91"/>
      <c r="AQ161" s="463"/>
      <c r="AR161" s="491"/>
      <c r="AS161" s="491"/>
      <c r="AT161" s="491"/>
      <c r="AU161" s="225"/>
      <c r="AV161" s="225"/>
      <c r="AW161" s="491"/>
      <c r="AX161" s="492">
        <f>SUM(AX152:AX159)</f>
        <v>162.968</v>
      </c>
      <c r="AY161" s="192"/>
      <c r="AZ161" s="150">
        <f>SUM(AZ152:AZ159)</f>
        <v>1225563.14</v>
      </c>
      <c r="BA161" s="150">
        <f>SUM(BA152:BA160)</f>
        <v>1359750</v>
      </c>
      <c r="BB161" s="150"/>
      <c r="BC161" s="150">
        <f>SUM(BC152:BC160)</f>
        <v>134186.86</v>
      </c>
      <c r="BI161" s="478" t="s">
        <v>60</v>
      </c>
      <c r="BJ161" s="91"/>
    </row>
    <row r="162" s="76" customFormat="1" ht="14.45" customHeight="1" outlineLevel="2" spans="1:62">
      <c r="C162" s="387">
        <v>45440</v>
      </c>
      <c r="D162" s="76" t="s">
        <v>194</v>
      </c>
      <c r="E162" s="113" t="s">
        <v>141</v>
      </c>
      <c r="F162" s="76" t="s">
        <v>194</v>
      </c>
      <c r="G162" s="479"/>
      <c r="H162" s="79" t="s">
        <v>93</v>
      </c>
      <c r="I162" s="113" t="s">
        <v>141</v>
      </c>
      <c r="J162" s="129">
        <v>1956050</v>
      </c>
      <c r="K162" s="129">
        <v>0.01832</v>
      </c>
      <c r="L162" s="129">
        <f>J162*K162</f>
        <v>35834.836</v>
      </c>
      <c r="M162" s="129"/>
      <c r="P162" s="91"/>
      <c r="Q162" s="91"/>
      <c r="R162" s="76" t="s">
        <v>88</v>
      </c>
      <c r="T162" s="387"/>
      <c r="U162" s="387"/>
      <c r="V162" s="387"/>
      <c r="Y162" s="76">
        <v>1956050</v>
      </c>
      <c r="Z162" s="114">
        <v>0.137</v>
      </c>
      <c r="AA162" s="114">
        <f>Y162*Z162</f>
        <v>267978.85</v>
      </c>
      <c r="AB162" s="114"/>
      <c r="AC162" s="114"/>
      <c r="AD162" s="140"/>
      <c r="AE162" s="114"/>
      <c r="AF162" s="114"/>
      <c r="AG162" s="114"/>
      <c r="AH162" s="141"/>
      <c r="AI162" s="91"/>
      <c r="AJ162" s="137"/>
      <c r="AK162" s="142">
        <v>1956050</v>
      </c>
      <c r="AL162" s="143">
        <v>0.01832</v>
      </c>
      <c r="AM162" s="127">
        <f>AK162*AL162</f>
        <v>35834.836</v>
      </c>
      <c r="AN162" s="127">
        <v>7114.8</v>
      </c>
      <c r="AO162" s="144"/>
      <c r="AP162" s="91"/>
      <c r="AQ162" s="387"/>
      <c r="AR162" s="482"/>
      <c r="AS162" s="482"/>
      <c r="AT162" s="482"/>
      <c r="AU162" s="137"/>
      <c r="AV162" s="137"/>
      <c r="AW162" s="482"/>
      <c r="AX162" s="142">
        <v>1956050</v>
      </c>
      <c r="AY162" s="143">
        <v>0.01832</v>
      </c>
      <c r="AZ162" s="127">
        <f>AX162*AY162</f>
        <v>35834.836</v>
      </c>
      <c r="BA162" s="127">
        <v>7114.8</v>
      </c>
      <c r="BB162" s="127"/>
      <c r="BC162" s="127">
        <f>BA162-AZ162</f>
        <v>-28720.036</v>
      </c>
      <c r="BI162" s="75"/>
      <c r="BJ162" s="91"/>
    </row>
    <row r="163" s="76" customFormat="1" ht="14.45" customHeight="1" outlineLevel="2" spans="1:62">
      <c r="C163" s="387"/>
      <c r="G163" s="479"/>
      <c r="H163" s="79" t="s">
        <v>93</v>
      </c>
      <c r="J163" s="129"/>
      <c r="K163" s="129"/>
      <c r="L163" s="129"/>
      <c r="M163" s="129"/>
      <c r="P163" s="91"/>
      <c r="Q163" s="91"/>
      <c r="R163" s="501" t="s">
        <v>95</v>
      </c>
      <c r="T163" s="387"/>
      <c r="U163" s="387"/>
      <c r="V163" s="387"/>
      <c r="X163" s="112"/>
      <c r="Y163" s="129"/>
      <c r="Z163" s="130"/>
      <c r="AA163" s="119">
        <f>-(AZ162*0.13/1.13)*7.11</f>
        <v>-29311.6273582301</v>
      </c>
      <c r="AB163" s="114"/>
      <c r="AC163" s="114"/>
      <c r="AD163" s="140"/>
      <c r="AE163" s="114"/>
      <c r="AF163" s="114"/>
      <c r="AG163" s="114"/>
      <c r="AH163" s="141"/>
      <c r="AI163" s="91"/>
      <c r="AJ163" s="137"/>
      <c r="AK163" s="137"/>
      <c r="AM163" s="114"/>
      <c r="AN163" s="127">
        <v>28559.58</v>
      </c>
      <c r="AO163" s="144"/>
      <c r="AP163" s="91"/>
      <c r="AQ163" s="387"/>
      <c r="AR163" s="482"/>
      <c r="AS163" s="482"/>
      <c r="AT163" s="482"/>
      <c r="AU163" s="137"/>
      <c r="AV163" s="137"/>
      <c r="AW163" s="482"/>
      <c r="AX163" s="142"/>
      <c r="AY163" s="114"/>
      <c r="AZ163" s="127"/>
      <c r="BA163" s="127">
        <v>28559.58</v>
      </c>
      <c r="BB163" s="127"/>
      <c r="BC163" s="127">
        <f>BA163-AZ163</f>
        <v>28559.58</v>
      </c>
      <c r="BI163" s="75"/>
      <c r="BJ163" s="91"/>
    </row>
    <row r="164" s="79" customFormat="1" ht="14.45" customHeight="1" spans="1:62">
      <c r="A164" s="79">
        <v>22</v>
      </c>
      <c r="C164" s="463" t="s">
        <v>69</v>
      </c>
      <c r="D164" s="79" t="s">
        <v>194</v>
      </c>
      <c r="E164" s="116" t="s">
        <v>141</v>
      </c>
      <c r="F164" s="79" t="s">
        <v>194</v>
      </c>
      <c r="G164" s="486"/>
      <c r="H164" s="79" t="s">
        <v>93</v>
      </c>
      <c r="I164" s="116" t="s">
        <v>141</v>
      </c>
      <c r="J164" s="505">
        <f>AX164</f>
        <v>1956050</v>
      </c>
      <c r="K164" s="194"/>
      <c r="L164" s="194"/>
      <c r="M164" s="194"/>
      <c r="P164" s="91"/>
      <c r="Q164" s="91"/>
      <c r="T164" s="463"/>
      <c r="U164" s="463"/>
      <c r="V164" s="463"/>
      <c r="X164" s="193"/>
      <c r="Z164" s="192"/>
      <c r="AA164" s="192">
        <f>SUM(AA162:AA163)</f>
        <v>238667.22264177</v>
      </c>
      <c r="AB164" s="192"/>
      <c r="AC164" s="192"/>
      <c r="AD164" s="196"/>
      <c r="AE164" s="192"/>
      <c r="AF164" s="192"/>
      <c r="AG164" s="192"/>
      <c r="AH164" s="227"/>
      <c r="AI164" s="91"/>
      <c r="AJ164" s="225"/>
      <c r="AK164" s="225"/>
      <c r="AM164" s="192">
        <f>SUM(AM162:AM163)</f>
        <v>35834.836</v>
      </c>
      <c r="AN164" s="192">
        <f>SUM(AN162:AN163)</f>
        <v>35674.38</v>
      </c>
      <c r="AO164" s="490"/>
      <c r="AP164" s="91"/>
      <c r="AQ164" s="463"/>
      <c r="AR164" s="491"/>
      <c r="AS164" s="491"/>
      <c r="AT164" s="491"/>
      <c r="AU164" s="225"/>
      <c r="AV164" s="225"/>
      <c r="AW164" s="491"/>
      <c r="AX164" s="536">
        <f>SUM(AX162:AX163)</f>
        <v>1956050</v>
      </c>
      <c r="AY164" s="192"/>
      <c r="AZ164" s="150">
        <f>SUM(AZ162:AZ163)</f>
        <v>35834.836</v>
      </c>
      <c r="BA164" s="150">
        <f>SUM(BA162:BA163)</f>
        <v>35674.38</v>
      </c>
      <c r="BB164" s="150"/>
      <c r="BC164" s="150">
        <v>0</v>
      </c>
      <c r="BI164" s="151" t="s">
        <v>60</v>
      </c>
      <c r="BJ164" s="91"/>
    </row>
    <row r="165" s="76" customFormat="1" ht="14.45" customHeight="1" outlineLevel="1" spans="1:62">
      <c r="C165" s="387"/>
      <c r="D165" s="76" t="s">
        <v>195</v>
      </c>
      <c r="E165" s="113" t="s">
        <v>196</v>
      </c>
      <c r="F165" s="76" t="s">
        <v>195</v>
      </c>
      <c r="G165" s="479">
        <v>737294.46</v>
      </c>
      <c r="H165" s="76" t="s">
        <v>93</v>
      </c>
      <c r="I165" s="113" t="s">
        <v>196</v>
      </c>
      <c r="J165" s="129">
        <v>54</v>
      </c>
      <c r="K165" s="130">
        <v>6780</v>
      </c>
      <c r="L165" s="130">
        <f>J165*K165</f>
        <v>366120</v>
      </c>
      <c r="M165" s="130"/>
      <c r="O165" s="132"/>
      <c r="P165" s="91"/>
      <c r="Q165" s="91"/>
      <c r="R165" s="76" t="s">
        <v>66</v>
      </c>
      <c r="S165" s="76" t="s">
        <v>197</v>
      </c>
      <c r="T165" s="387">
        <v>45434</v>
      </c>
      <c r="U165" s="387"/>
      <c r="V165" s="387"/>
      <c r="X165" s="112"/>
      <c r="Y165" s="142">
        <v>52.207</v>
      </c>
      <c r="Z165" s="76">
        <v>6530</v>
      </c>
      <c r="AA165" s="114">
        <f>Y165*Z165</f>
        <v>340911.71</v>
      </c>
      <c r="AB165" s="134">
        <v>340911.71</v>
      </c>
      <c r="AC165" s="134"/>
      <c r="AD165" s="140"/>
      <c r="AE165" s="134"/>
      <c r="AF165" s="114"/>
      <c r="AG165" s="114"/>
      <c r="AH165" s="141"/>
      <c r="AI165" s="91"/>
      <c r="AJ165" s="137"/>
      <c r="AK165" s="142">
        <v>52.207</v>
      </c>
      <c r="AL165" s="127">
        <v>6780</v>
      </c>
      <c r="AM165" s="127">
        <f>AK165*AL165</f>
        <v>353963.46</v>
      </c>
      <c r="AN165" s="114"/>
      <c r="AO165" s="144"/>
      <c r="AP165" s="91"/>
      <c r="AQ165" s="387"/>
      <c r="AR165" s="482"/>
      <c r="AS165" s="482"/>
      <c r="AT165" s="482"/>
      <c r="AU165" s="137"/>
      <c r="AV165" s="137"/>
      <c r="AW165" s="482"/>
      <c r="AX165" s="142">
        <v>52.207</v>
      </c>
      <c r="AY165" s="127">
        <v>6780</v>
      </c>
      <c r="AZ165" s="127">
        <f>AX165*AY165</f>
        <v>353963.46</v>
      </c>
      <c r="BA165" s="127">
        <v>524880</v>
      </c>
      <c r="BB165" s="127"/>
      <c r="BC165" s="150">
        <f>BA165-AZ165</f>
        <v>170916.54</v>
      </c>
      <c r="BI165" s="75"/>
      <c r="BJ165" s="91"/>
    </row>
    <row r="166" s="76" customFormat="1" ht="14.45" customHeight="1" outlineLevel="1" spans="1:62">
      <c r="C166" s="387"/>
      <c r="E166" s="113" t="s">
        <v>198</v>
      </c>
      <c r="G166" s="479"/>
      <c r="I166" s="113" t="s">
        <v>198</v>
      </c>
      <c r="J166" s="129">
        <v>216</v>
      </c>
      <c r="K166" s="130">
        <v>6780</v>
      </c>
      <c r="L166" s="130">
        <f>J166*K166</f>
        <v>1464480</v>
      </c>
      <c r="M166" s="130"/>
      <c r="O166" s="132"/>
      <c r="P166" s="91"/>
      <c r="Q166" s="91"/>
      <c r="R166" s="76" t="s">
        <v>66</v>
      </c>
      <c r="S166" s="76" t="s">
        <v>197</v>
      </c>
      <c r="T166" s="387">
        <v>45434</v>
      </c>
      <c r="U166" s="387"/>
      <c r="V166" s="387"/>
      <c r="X166" s="112"/>
      <c r="Y166" s="76">
        <v>222.45</v>
      </c>
      <c r="Z166" s="134">
        <v>6530</v>
      </c>
      <c r="AA166" s="114">
        <f>Y166*Z166</f>
        <v>1452598.5</v>
      </c>
      <c r="AB166" s="134">
        <v>1452598.5</v>
      </c>
      <c r="AC166" s="134"/>
      <c r="AD166" s="140"/>
      <c r="AE166" s="134"/>
      <c r="AF166" s="114"/>
      <c r="AG166" s="114"/>
      <c r="AH166" s="141"/>
      <c r="AI166" s="91"/>
      <c r="AJ166" s="137"/>
      <c r="AK166" s="142">
        <v>217.935</v>
      </c>
      <c r="AL166" s="127">
        <v>6780</v>
      </c>
      <c r="AM166" s="127">
        <f>AK166*AL166</f>
        <v>1477599.3</v>
      </c>
      <c r="AN166" s="114"/>
      <c r="AO166" s="144"/>
      <c r="AP166" s="91"/>
      <c r="AQ166" s="387"/>
      <c r="AR166" s="482"/>
      <c r="AS166" s="482"/>
      <c r="AT166" s="482"/>
      <c r="AU166" s="137"/>
      <c r="AV166" s="137"/>
      <c r="AW166" s="482"/>
      <c r="AX166" s="142">
        <v>217.935</v>
      </c>
      <c r="AY166" s="127">
        <v>6780</v>
      </c>
      <c r="AZ166" s="127">
        <f>AX166*AY166</f>
        <v>1477599.3</v>
      </c>
      <c r="BA166" s="127">
        <v>668630.21</v>
      </c>
      <c r="BB166" s="127"/>
      <c r="BC166" s="150">
        <f>BA166-AZ166</f>
        <v>-808969.09</v>
      </c>
      <c r="BI166" s="75"/>
      <c r="BJ166" s="91"/>
    </row>
    <row r="167" s="76" customFormat="1" ht="14.45" customHeight="1" outlineLevel="1" spans="1:62">
      <c r="C167" s="387"/>
      <c r="D167" s="76" t="s">
        <v>199</v>
      </c>
      <c r="E167" s="76" t="s">
        <v>198</v>
      </c>
      <c r="F167" s="76" t="s">
        <v>199</v>
      </c>
      <c r="G167" s="479"/>
      <c r="H167" s="76" t="s">
        <v>93</v>
      </c>
      <c r="I167" s="76" t="s">
        <v>198</v>
      </c>
      <c r="J167" s="129"/>
      <c r="K167" s="130"/>
      <c r="L167" s="130"/>
      <c r="M167" s="130"/>
      <c r="O167" s="132"/>
      <c r="P167" s="91"/>
      <c r="Q167" s="91"/>
      <c r="T167" s="387"/>
      <c r="U167" s="387"/>
      <c r="V167" s="387"/>
      <c r="X167" s="112"/>
      <c r="Z167" s="134"/>
      <c r="AA167" s="114"/>
      <c r="AB167" s="134"/>
      <c r="AC167" s="134"/>
      <c r="AD167" s="140"/>
      <c r="AE167" s="134"/>
      <c r="AF167" s="114"/>
      <c r="AG167" s="114"/>
      <c r="AH167" s="141"/>
      <c r="AI167" s="91"/>
      <c r="AJ167" s="137"/>
      <c r="AK167" s="142">
        <v>4.515</v>
      </c>
      <c r="AL167" s="114">
        <v>6780</v>
      </c>
      <c r="AM167" s="127">
        <f>AK167*AL167</f>
        <v>30611.7</v>
      </c>
      <c r="AN167" s="114"/>
      <c r="AO167" s="144"/>
      <c r="AP167" s="91"/>
      <c r="AQ167" s="387"/>
      <c r="AR167" s="482"/>
      <c r="AS167" s="482"/>
      <c r="AT167" s="482"/>
      <c r="AU167" s="137"/>
      <c r="AV167" s="137"/>
      <c r="AW167" s="482"/>
      <c r="AX167" s="142">
        <v>4.515</v>
      </c>
      <c r="AY167" s="114">
        <v>6780</v>
      </c>
      <c r="AZ167" s="127">
        <f>AX167*AY167</f>
        <v>30611.7</v>
      </c>
      <c r="BA167" s="127">
        <v>600000</v>
      </c>
      <c r="BB167" s="127"/>
      <c r="BC167" s="150">
        <f>BA167-AZ167</f>
        <v>569388.3</v>
      </c>
      <c r="BI167" s="75"/>
      <c r="BJ167" s="91"/>
    </row>
    <row r="168" s="79" customFormat="1" ht="14.45" customHeight="1" spans="1:62">
      <c r="A168" s="79">
        <v>23</v>
      </c>
      <c r="C168" s="463" t="s">
        <v>69</v>
      </c>
      <c r="D168" s="79" t="s">
        <v>195</v>
      </c>
      <c r="E168" s="79" t="s">
        <v>198</v>
      </c>
      <c r="F168" s="79" t="s">
        <v>195</v>
      </c>
      <c r="G168" s="486"/>
      <c r="H168" s="79" t="s">
        <v>93</v>
      </c>
      <c r="I168" s="79" t="s">
        <v>198</v>
      </c>
      <c r="J168" s="505">
        <f>AX168</f>
        <v>274.657</v>
      </c>
      <c r="K168" s="528"/>
      <c r="L168" s="528"/>
      <c r="M168" s="528"/>
      <c r="O168" s="530"/>
      <c r="P168" s="91"/>
      <c r="Q168" s="91"/>
      <c r="T168" s="463"/>
      <c r="U168" s="463"/>
      <c r="V168" s="463"/>
      <c r="X168" s="193"/>
      <c r="Y168" s="194">
        <f>SUM(Y165:Y167)</f>
        <v>274.657</v>
      </c>
      <c r="Z168" s="531"/>
      <c r="AA168" s="194">
        <f>SUM(AA165:AA167)</f>
        <v>1793510.21</v>
      </c>
      <c r="AB168" s="194">
        <f>SUM(AB165:AB167)</f>
        <v>1793510.21</v>
      </c>
      <c r="AC168" s="531"/>
      <c r="AD168" s="196"/>
      <c r="AE168" s="531"/>
      <c r="AF168" s="192"/>
      <c r="AG168" s="192"/>
      <c r="AH168" s="227"/>
      <c r="AI168" s="91"/>
      <c r="AJ168" s="225"/>
      <c r="AK168" s="194">
        <f>SUM(AK165:AK167)</f>
        <v>274.657</v>
      </c>
      <c r="AM168" s="194">
        <f>SUM(AM165:AM167)</f>
        <v>1862174.46</v>
      </c>
      <c r="AN168" s="192"/>
      <c r="AO168" s="490"/>
      <c r="AP168" s="91"/>
      <c r="AQ168" s="463"/>
      <c r="AR168" s="491"/>
      <c r="AS168" s="491"/>
      <c r="AT168" s="491"/>
      <c r="AU168" s="225"/>
      <c r="AV168" s="225"/>
      <c r="AW168" s="491"/>
      <c r="AX168" s="536">
        <f>SUM(AX165:AX167)</f>
        <v>274.657</v>
      </c>
      <c r="AY168" s="192"/>
      <c r="AZ168" s="150">
        <f>SUM(AZ165:AZ167)</f>
        <v>1862174.46</v>
      </c>
      <c r="BA168" s="150">
        <f>SUM(BA165:BA167)</f>
        <v>1793510.21</v>
      </c>
      <c r="BB168" s="150"/>
      <c r="BC168" s="150">
        <f>BA168-AZ168</f>
        <v>-68664.25</v>
      </c>
      <c r="BI168" s="151" t="s">
        <v>60</v>
      </c>
      <c r="BJ168" s="91"/>
    </row>
    <row r="169" s="76" customFormat="1" ht="14.45" customHeight="1" outlineLevel="1" spans="1:62">
      <c r="C169" s="387"/>
      <c r="G169" s="479">
        <f>313226.43</f>
        <v>313226.43</v>
      </c>
      <c r="J169" s="129"/>
      <c r="K169" s="130"/>
      <c r="L169" s="130"/>
      <c r="M169" s="130"/>
      <c r="N169" s="131"/>
      <c r="O169" s="132"/>
      <c r="P169" s="91"/>
      <c r="Q169" s="91"/>
      <c r="T169" s="387"/>
      <c r="U169" s="387"/>
      <c r="V169" s="387"/>
      <c r="X169" s="112"/>
      <c r="Z169" s="134"/>
      <c r="AA169" s="114"/>
      <c r="AB169" s="134"/>
      <c r="AC169" s="134"/>
      <c r="AD169" s="135"/>
      <c r="AE169" s="134"/>
      <c r="AF169" s="114"/>
      <c r="AG169" s="134"/>
      <c r="AH169" s="136"/>
      <c r="AI169" s="91"/>
      <c r="AJ169" s="137"/>
      <c r="AK169" s="137"/>
      <c r="AM169" s="114"/>
      <c r="AN169" s="114"/>
      <c r="AO169" s="144"/>
      <c r="AP169" s="91"/>
      <c r="AQ169" s="387"/>
      <c r="AR169" s="482"/>
      <c r="AS169" s="482"/>
      <c r="AT169" s="482"/>
      <c r="AU169" s="137"/>
      <c r="AV169" s="137"/>
      <c r="AW169" s="482"/>
      <c r="AX169" s="142"/>
      <c r="AY169" s="114"/>
      <c r="AZ169" s="127"/>
      <c r="BA169" s="127"/>
      <c r="BB169" s="127"/>
      <c r="BC169" s="127"/>
      <c r="BI169" s="75"/>
      <c r="BJ169" s="91"/>
    </row>
    <row r="170" s="76" customFormat="1" ht="14.45" customHeight="1" outlineLevel="1" spans="1:62">
      <c r="C170" s="387"/>
      <c r="D170" s="76" t="s">
        <v>200</v>
      </c>
      <c r="E170" s="113" t="s">
        <v>201</v>
      </c>
      <c r="F170" s="76" t="s">
        <v>200</v>
      </c>
      <c r="G170" s="479"/>
      <c r="H170" s="76" t="s">
        <v>93</v>
      </c>
      <c r="I170" s="113" t="s">
        <v>201</v>
      </c>
      <c r="J170" s="129">
        <v>25</v>
      </c>
      <c r="K170" s="130">
        <v>6390</v>
      </c>
      <c r="L170" s="130">
        <f>J170*K170</f>
        <v>159750</v>
      </c>
      <c r="M170" s="130"/>
      <c r="N170" s="131"/>
      <c r="O170" s="132"/>
      <c r="P170" s="91"/>
      <c r="Q170" s="91"/>
      <c r="R170" s="76" t="s">
        <v>66</v>
      </c>
      <c r="S170" s="76" t="s">
        <v>202</v>
      </c>
      <c r="T170" s="387"/>
      <c r="U170" s="387"/>
      <c r="V170" s="387"/>
      <c r="X170" s="112"/>
      <c r="Y170" s="142">
        <v>25.164</v>
      </c>
      <c r="Z170" s="134">
        <v>6130</v>
      </c>
      <c r="AA170" s="114">
        <f>Z170*Y170</f>
        <v>154255.32</v>
      </c>
      <c r="AB170" s="134"/>
      <c r="AC170" s="134"/>
      <c r="AD170" s="135"/>
      <c r="AE170" s="134"/>
      <c r="AF170" s="134"/>
      <c r="AG170" s="134"/>
      <c r="AH170" s="136"/>
      <c r="AI170" s="91"/>
      <c r="AJ170" s="137"/>
      <c r="AK170" s="137"/>
      <c r="AL170" s="138"/>
      <c r="AM170" s="114"/>
      <c r="AN170" s="114"/>
      <c r="AO170" s="139"/>
      <c r="AP170" s="91"/>
      <c r="AQ170" s="387"/>
      <c r="AR170" s="482"/>
      <c r="AS170" s="482"/>
      <c r="AT170" s="482"/>
      <c r="AU170" s="137"/>
      <c r="AV170" s="137"/>
      <c r="AW170" s="482"/>
      <c r="AX170" s="142">
        <v>25.164</v>
      </c>
      <c r="AY170" s="259">
        <v>6390</v>
      </c>
      <c r="AZ170" s="127">
        <f>AX170*AY170</f>
        <v>160797.96</v>
      </c>
      <c r="BA170" s="127">
        <v>139545</v>
      </c>
      <c r="BB170" s="127"/>
      <c r="BC170" s="127">
        <f>BA170-AZ170</f>
        <v>-21252.96</v>
      </c>
      <c r="BI170" s="75"/>
      <c r="BJ170" s="91"/>
    </row>
    <row r="171" s="76" customFormat="1" ht="14.45" customHeight="1" outlineLevel="1" spans="1:62">
      <c r="C171" s="387"/>
      <c r="E171" s="113" t="s">
        <v>203</v>
      </c>
      <c r="G171" s="479"/>
      <c r="I171" s="113" t="s">
        <v>203</v>
      </c>
      <c r="J171" s="129">
        <v>25</v>
      </c>
      <c r="K171" s="130">
        <v>6330</v>
      </c>
      <c r="L171" s="130">
        <f>J171*K171</f>
        <v>158250</v>
      </c>
      <c r="M171" s="130"/>
      <c r="N171" s="131"/>
      <c r="O171" s="132"/>
      <c r="P171" s="91"/>
      <c r="Q171" s="91"/>
      <c r="R171" s="76" t="s">
        <v>66</v>
      </c>
      <c r="S171" s="76" t="s">
        <v>202</v>
      </c>
      <c r="T171" s="387"/>
      <c r="U171" s="387"/>
      <c r="V171" s="387"/>
      <c r="X171" s="112"/>
      <c r="Y171" s="142">
        <v>25.153</v>
      </c>
      <c r="Z171" s="134">
        <v>6070</v>
      </c>
      <c r="AA171" s="114">
        <f>Z171*Y171</f>
        <v>152678.71</v>
      </c>
      <c r="AB171" s="134"/>
      <c r="AC171" s="134"/>
      <c r="AD171" s="135"/>
      <c r="AE171" s="134"/>
      <c r="AF171" s="134"/>
      <c r="AG171" s="134"/>
      <c r="AH171" s="136"/>
      <c r="AI171" s="91"/>
      <c r="AJ171" s="137"/>
      <c r="AK171" s="137"/>
      <c r="AL171" s="138"/>
      <c r="AM171" s="114"/>
      <c r="AN171" s="114"/>
      <c r="AO171" s="139"/>
      <c r="AP171" s="91"/>
      <c r="AQ171" s="387"/>
      <c r="AR171" s="482"/>
      <c r="AS171" s="482"/>
      <c r="AT171" s="482"/>
      <c r="AU171" s="137"/>
      <c r="AV171" s="137"/>
      <c r="AW171" s="482"/>
      <c r="AX171" s="142">
        <v>25.153</v>
      </c>
      <c r="AY171" s="259">
        <v>6330</v>
      </c>
      <c r="AZ171" s="127">
        <f>AX171*AY171</f>
        <v>159218.49</v>
      </c>
      <c r="BA171" s="127"/>
      <c r="BB171" s="127"/>
      <c r="BC171" s="127">
        <f>BA171-AZ171</f>
        <v>-159218.49</v>
      </c>
      <c r="BI171" s="75"/>
      <c r="BJ171" s="91"/>
    </row>
    <row r="172" s="76" customFormat="1" ht="14.45" customHeight="1" outlineLevel="1" spans="1:62">
      <c r="C172" s="387"/>
      <c r="E172" s="113" t="s">
        <v>204</v>
      </c>
      <c r="G172" s="479"/>
      <c r="I172" s="113" t="s">
        <v>204</v>
      </c>
      <c r="J172" s="129">
        <v>25</v>
      </c>
      <c r="K172" s="130">
        <v>6140</v>
      </c>
      <c r="L172" s="130">
        <f>J172*K172</f>
        <v>153500</v>
      </c>
      <c r="M172" s="130"/>
      <c r="N172" s="131"/>
      <c r="O172" s="132"/>
      <c r="P172" s="91"/>
      <c r="Q172" s="91"/>
      <c r="R172" s="76" t="s">
        <v>66</v>
      </c>
      <c r="S172" s="76" t="s">
        <v>202</v>
      </c>
      <c r="T172" s="387"/>
      <c r="U172" s="387"/>
      <c r="V172" s="387"/>
      <c r="X172" s="112"/>
      <c r="Y172" s="142">
        <v>22.812</v>
      </c>
      <c r="Z172" s="134">
        <v>5880</v>
      </c>
      <c r="AA172" s="114">
        <f>Z172*Y172</f>
        <v>134134.56</v>
      </c>
      <c r="AB172" s="134"/>
      <c r="AC172" s="134"/>
      <c r="AD172" s="135"/>
      <c r="AE172" s="134"/>
      <c r="AF172" s="134"/>
      <c r="AG172" s="134"/>
      <c r="AH172" s="136"/>
      <c r="AI172" s="91"/>
      <c r="AJ172" s="137"/>
      <c r="AK172" s="137"/>
      <c r="AL172" s="138"/>
      <c r="AM172" s="114"/>
      <c r="AN172" s="114"/>
      <c r="AO172" s="139"/>
      <c r="AP172" s="91"/>
      <c r="AQ172" s="387"/>
      <c r="AR172" s="482"/>
      <c r="AS172" s="482"/>
      <c r="AT172" s="482"/>
      <c r="AU172" s="137"/>
      <c r="AV172" s="137"/>
      <c r="AW172" s="482"/>
      <c r="AX172" s="142">
        <v>22.812</v>
      </c>
      <c r="AY172" s="259">
        <v>6140</v>
      </c>
      <c r="AZ172" s="127">
        <f>AX172*AY172</f>
        <v>140065.68</v>
      </c>
      <c r="BA172" s="127"/>
      <c r="BB172" s="127"/>
      <c r="BC172" s="127">
        <f>BA172-AZ172</f>
        <v>-140065.68</v>
      </c>
      <c r="BI172" s="75"/>
      <c r="BJ172" s="91"/>
    </row>
    <row r="173" s="79" customFormat="1" ht="43.15" customHeight="1" spans="1:62">
      <c r="A173" s="79">
        <v>24</v>
      </c>
      <c r="C173" s="463" t="s">
        <v>69</v>
      </c>
      <c r="D173" s="79" t="s">
        <v>200</v>
      </c>
      <c r="E173" s="116" t="s">
        <v>205</v>
      </c>
      <c r="F173" s="79" t="s">
        <v>200</v>
      </c>
      <c r="G173" s="486"/>
      <c r="H173" s="79" t="s">
        <v>93</v>
      </c>
      <c r="I173" s="116" t="s">
        <v>205</v>
      </c>
      <c r="J173" s="505">
        <f>AX173</f>
        <v>73.129</v>
      </c>
      <c r="K173" s="488"/>
      <c r="L173" s="528"/>
      <c r="M173" s="528"/>
      <c r="N173" s="529"/>
      <c r="O173" s="530"/>
      <c r="P173" s="91"/>
      <c r="Q173" s="91"/>
      <c r="T173" s="463"/>
      <c r="U173" s="463"/>
      <c r="V173" s="463"/>
      <c r="X173" s="193"/>
      <c r="Z173" s="531"/>
      <c r="AA173" s="192"/>
      <c r="AB173" s="192"/>
      <c r="AC173" s="531"/>
      <c r="AD173" s="535"/>
      <c r="AE173" s="531"/>
      <c r="AF173" s="531"/>
      <c r="AG173" s="531"/>
      <c r="AH173" s="532"/>
      <c r="AI173" s="91"/>
      <c r="AJ173" s="225"/>
      <c r="AK173" s="225"/>
      <c r="AM173" s="192"/>
      <c r="AN173" s="192"/>
      <c r="AO173" s="490"/>
      <c r="AP173" s="91"/>
      <c r="AQ173" s="463"/>
      <c r="AR173" s="491"/>
      <c r="AS173" s="491"/>
      <c r="AT173" s="491"/>
      <c r="AU173" s="225"/>
      <c r="AV173" s="225"/>
      <c r="AW173" s="491"/>
      <c r="AX173" s="492">
        <v>73.129</v>
      </c>
      <c r="AY173" s="192"/>
      <c r="AZ173" s="150">
        <v>460082.12</v>
      </c>
      <c r="BA173" s="150">
        <f>SUM(BA170:BA172)</f>
        <v>139545</v>
      </c>
      <c r="BB173" s="150"/>
      <c r="BC173" s="150">
        <f>SUM(BC170:BC172)</f>
        <v>-320537.13</v>
      </c>
      <c r="BI173" s="151" t="s">
        <v>60</v>
      </c>
      <c r="BJ173" s="91"/>
    </row>
    <row r="174" s="76" customFormat="1" ht="14.45" customHeight="1" outlineLevel="1" spans="1:62">
      <c r="C174" s="387"/>
      <c r="D174" s="76" t="s">
        <v>206</v>
      </c>
      <c r="E174" s="113" t="s">
        <v>92</v>
      </c>
      <c r="F174" s="76" t="s">
        <v>206</v>
      </c>
      <c r="G174" s="479">
        <v>21012</v>
      </c>
      <c r="H174" s="76" t="s">
        <v>93</v>
      </c>
      <c r="I174" s="113" t="s">
        <v>92</v>
      </c>
      <c r="J174" s="129">
        <v>2280000</v>
      </c>
      <c r="K174" s="147">
        <v>0.233</v>
      </c>
      <c r="L174" s="130">
        <f>J174*K174</f>
        <v>531240</v>
      </c>
      <c r="M174" s="130"/>
      <c r="N174" s="131"/>
      <c r="O174" s="132"/>
      <c r="P174" s="91"/>
      <c r="Q174" s="91"/>
      <c r="R174" s="76" t="s">
        <v>88</v>
      </c>
      <c r="T174" s="387"/>
      <c r="U174" s="387"/>
      <c r="V174" s="387"/>
      <c r="X174" s="112"/>
      <c r="Y174" s="142">
        <v>2280000</v>
      </c>
      <c r="Z174" s="134">
        <v>0.25</v>
      </c>
      <c r="AA174" s="114">
        <f>Y174*Z174</f>
        <v>570000</v>
      </c>
      <c r="AB174" s="114">
        <v>570000</v>
      </c>
      <c r="AC174" s="134"/>
      <c r="AD174" s="135"/>
      <c r="AE174" s="134"/>
      <c r="AF174" s="134"/>
      <c r="AG174" s="134"/>
      <c r="AH174" s="136"/>
      <c r="AI174" s="91"/>
      <c r="AJ174" s="137"/>
      <c r="AK174" s="142">
        <v>2280000</v>
      </c>
      <c r="AL174" s="263">
        <v>0.2329</v>
      </c>
      <c r="AM174" s="127">
        <f>AL174*AK174</f>
        <v>531012</v>
      </c>
      <c r="AN174" s="127">
        <v>510000</v>
      </c>
      <c r="AO174" s="144"/>
      <c r="AP174" s="91"/>
      <c r="AQ174" s="387"/>
      <c r="AR174" s="482"/>
      <c r="AS174" s="482"/>
      <c r="AT174" s="482"/>
      <c r="AU174" s="137"/>
      <c r="AV174" s="137"/>
      <c r="AW174" s="482"/>
      <c r="AX174" s="142">
        <v>2280000</v>
      </c>
      <c r="AY174" s="263">
        <v>0.2329</v>
      </c>
      <c r="AZ174" s="127">
        <f>AY174*AX174</f>
        <v>531012</v>
      </c>
      <c r="BA174" s="127">
        <v>510000</v>
      </c>
      <c r="BB174" s="127"/>
      <c r="BC174" s="127">
        <v>-21012</v>
      </c>
      <c r="BI174" s="75"/>
      <c r="BJ174" s="91"/>
    </row>
    <row r="175" s="76" customFormat="1" ht="14.45" customHeight="1" outlineLevel="1" spans="1:62">
      <c r="C175" s="387"/>
      <c r="E175" s="113"/>
      <c r="G175" s="479"/>
      <c r="I175" s="113"/>
      <c r="J175" s="129"/>
      <c r="K175" s="147"/>
      <c r="L175" s="130"/>
      <c r="M175" s="130"/>
      <c r="N175" s="131"/>
      <c r="O175" s="132"/>
      <c r="P175" s="91"/>
      <c r="Q175" s="91"/>
      <c r="R175" s="501" t="s">
        <v>95</v>
      </c>
      <c r="T175" s="387"/>
      <c r="U175" s="387"/>
      <c r="V175" s="387"/>
      <c r="X175" s="112"/>
      <c r="Y175" s="129"/>
      <c r="Z175" s="130"/>
      <c r="AA175" s="119">
        <f>-(AZ174*0.13/1.13)</f>
        <v>-61089.8761061947</v>
      </c>
      <c r="AB175" s="114"/>
      <c r="AC175" s="134"/>
      <c r="AD175" s="135"/>
      <c r="AE175" s="134"/>
      <c r="AF175" s="134"/>
      <c r="AG175" s="134"/>
      <c r="AH175" s="136"/>
      <c r="AI175" s="91"/>
      <c r="AJ175" s="137"/>
      <c r="AK175" s="142"/>
      <c r="AL175" s="263"/>
      <c r="AM175" s="127"/>
      <c r="AN175" s="114"/>
      <c r="AO175" s="144"/>
      <c r="AP175" s="91"/>
      <c r="AQ175" s="387"/>
      <c r="AR175" s="482"/>
      <c r="AS175" s="482"/>
      <c r="AT175" s="482"/>
      <c r="AU175" s="137"/>
      <c r="AV175" s="137"/>
      <c r="AW175" s="482"/>
      <c r="AX175" s="142"/>
      <c r="AY175" s="263"/>
      <c r="AZ175" s="127"/>
      <c r="BA175" s="127"/>
      <c r="BB175" s="127"/>
      <c r="BC175" s="127"/>
      <c r="BI175" s="75"/>
      <c r="BJ175" s="91"/>
    </row>
    <row r="176" s="79" customFormat="1" ht="14.45" customHeight="1" spans="1:62">
      <c r="A176" s="79">
        <v>27</v>
      </c>
      <c r="C176" s="463" t="s">
        <v>69</v>
      </c>
      <c r="D176" s="79" t="s">
        <v>206</v>
      </c>
      <c r="E176" s="116" t="s">
        <v>92</v>
      </c>
      <c r="F176" s="79" t="s">
        <v>206</v>
      </c>
      <c r="G176" s="486"/>
      <c r="H176" s="79" t="s">
        <v>93</v>
      </c>
      <c r="I176" s="116" t="s">
        <v>92</v>
      </c>
      <c r="J176" s="505">
        <f>AX176</f>
        <v>2280000</v>
      </c>
      <c r="K176" s="488"/>
      <c r="L176" s="528"/>
      <c r="M176" s="528"/>
      <c r="N176" s="529"/>
      <c r="O176" s="530"/>
      <c r="P176" s="91"/>
      <c r="Q176" s="91"/>
      <c r="T176" s="463"/>
      <c r="U176" s="463"/>
      <c r="V176" s="463"/>
      <c r="X176" s="193"/>
      <c r="Y176" s="192">
        <f>SUM(Y174:Y175)</f>
        <v>2280000</v>
      </c>
      <c r="Z176" s="531"/>
      <c r="AA176" s="192">
        <f>SUM(AA174:AA175)</f>
        <v>508910.123893805</v>
      </c>
      <c r="AB176" s="192">
        <f>SUM(AB174:AB175)</f>
        <v>570000</v>
      </c>
      <c r="AC176" s="531"/>
      <c r="AD176" s="535"/>
      <c r="AE176" s="531"/>
      <c r="AF176" s="531"/>
      <c r="AG176" s="531"/>
      <c r="AH176" s="532"/>
      <c r="AI176" s="91"/>
      <c r="AJ176" s="225"/>
      <c r="AK176" s="225"/>
      <c r="AM176" s="192">
        <f>SUM(AM174:AM175)</f>
        <v>531012</v>
      </c>
      <c r="AN176" s="192">
        <f>SUM(AN174:AN175)</f>
        <v>510000</v>
      </c>
      <c r="AO176" s="490"/>
      <c r="AP176" s="91"/>
      <c r="AQ176" s="463"/>
      <c r="AR176" s="491"/>
      <c r="AS176" s="491"/>
      <c r="AT176" s="491"/>
      <c r="AU176" s="225"/>
      <c r="AV176" s="225"/>
      <c r="AW176" s="491"/>
      <c r="AX176" s="492">
        <v>2280000</v>
      </c>
      <c r="AY176" s="192"/>
      <c r="AZ176" s="150">
        <v>531012</v>
      </c>
      <c r="BA176" s="150">
        <v>510000</v>
      </c>
      <c r="BB176" s="150"/>
      <c r="BC176" s="150">
        <v>-21012</v>
      </c>
      <c r="BI176" s="151" t="s">
        <v>60</v>
      </c>
      <c r="BJ176" s="91"/>
    </row>
    <row r="177" s="76" customFormat="1" ht="15" customHeight="1" outlineLevel="1" spans="1:62">
      <c r="C177" s="387"/>
      <c r="D177" s="76" t="s">
        <v>207</v>
      </c>
      <c r="E177" s="113" t="s">
        <v>208</v>
      </c>
      <c r="F177" s="76" t="s">
        <v>207</v>
      </c>
      <c r="G177" s="479"/>
      <c r="H177" s="76" t="s">
        <v>209</v>
      </c>
      <c r="I177" s="113" t="s">
        <v>208</v>
      </c>
      <c r="J177" s="129">
        <v>160</v>
      </c>
      <c r="K177" s="147">
        <v>6700</v>
      </c>
      <c r="L177" s="129">
        <f>J177*K177</f>
        <v>1072000</v>
      </c>
      <c r="M177" s="129"/>
      <c r="P177" s="91"/>
      <c r="Q177" s="91"/>
      <c r="R177" s="76" t="s">
        <v>88</v>
      </c>
      <c r="T177" s="387"/>
      <c r="U177" s="387"/>
      <c r="V177" s="387"/>
      <c r="Y177" s="76">
        <v>153.105</v>
      </c>
      <c r="Z177" s="114">
        <v>5100</v>
      </c>
      <c r="AA177" s="134">
        <f>Y177*Z177</f>
        <v>780835.5</v>
      </c>
      <c r="AB177" s="114">
        <v>780835.5</v>
      </c>
      <c r="AC177" s="134"/>
      <c r="AD177" s="76">
        <v>153.105</v>
      </c>
      <c r="AE177" s="134">
        <v>1600</v>
      </c>
      <c r="AF177" s="134">
        <f>AD177*AE177</f>
        <v>244968</v>
      </c>
      <c r="AG177" s="134"/>
      <c r="AH177" s="136"/>
      <c r="AI177" s="91"/>
      <c r="AJ177" s="137"/>
      <c r="AK177" s="142">
        <v>153.105</v>
      </c>
      <c r="AL177" s="114">
        <v>5300</v>
      </c>
      <c r="AM177" s="127">
        <f>AK177*AL177</f>
        <v>811456.5</v>
      </c>
      <c r="AN177" s="114"/>
      <c r="AO177" s="144"/>
      <c r="AP177" s="91"/>
      <c r="AQ177" s="387"/>
      <c r="AR177" s="482"/>
      <c r="AS177" s="482"/>
      <c r="AT177" s="482"/>
      <c r="AU177" s="137"/>
      <c r="AV177" s="137"/>
      <c r="AW177" s="482"/>
      <c r="AX177" s="142">
        <v>153.105</v>
      </c>
      <c r="AY177" s="114">
        <v>5300</v>
      </c>
      <c r="AZ177" s="127">
        <f>AX177*AY177</f>
        <v>811456.5</v>
      </c>
      <c r="BA177" s="127">
        <v>1000000</v>
      </c>
      <c r="BB177" s="127"/>
      <c r="BC177" s="127">
        <f>BA177-AZ177</f>
        <v>188543.5</v>
      </c>
      <c r="BI177" s="75"/>
      <c r="BJ177" s="91"/>
    </row>
    <row r="178" s="76" customFormat="1" ht="14.1" customHeight="1" outlineLevel="1" spans="1:62">
      <c r="C178" s="387"/>
      <c r="D178" s="76" t="s">
        <v>210</v>
      </c>
      <c r="E178" s="113" t="s">
        <v>208</v>
      </c>
      <c r="F178" s="76" t="s">
        <v>210</v>
      </c>
      <c r="G178" s="479"/>
      <c r="H178" s="76" t="s">
        <v>209</v>
      </c>
      <c r="I178" s="113" t="s">
        <v>208</v>
      </c>
      <c r="J178" s="129">
        <v>160</v>
      </c>
      <c r="K178" s="147">
        <v>6700</v>
      </c>
      <c r="L178" s="129">
        <f>J178*K178</f>
        <v>1072000</v>
      </c>
      <c r="M178" s="129"/>
      <c r="P178" s="91"/>
      <c r="Q178" s="91"/>
      <c r="R178" s="76" t="s">
        <v>88</v>
      </c>
      <c r="T178" s="387"/>
      <c r="U178" s="387"/>
      <c r="V178" s="387"/>
      <c r="Y178" s="76">
        <v>162.995</v>
      </c>
      <c r="Z178" s="114">
        <v>5100</v>
      </c>
      <c r="AA178" s="134">
        <f>Y178*Z178</f>
        <v>831274.5</v>
      </c>
      <c r="AB178" s="114">
        <v>831274.5</v>
      </c>
      <c r="AC178" s="134"/>
      <c r="AD178" s="76">
        <v>162.995</v>
      </c>
      <c r="AE178" s="134">
        <v>1600</v>
      </c>
      <c r="AF178" s="134">
        <f>AD178*AE178</f>
        <v>260792</v>
      </c>
      <c r="AG178" s="134"/>
      <c r="AH178" s="136"/>
      <c r="AI178" s="91"/>
      <c r="AJ178" s="137"/>
      <c r="AK178" s="142">
        <v>162.995</v>
      </c>
      <c r="AL178" s="114">
        <v>5300</v>
      </c>
      <c r="AM178" s="127">
        <f>AK178*AL178</f>
        <v>863873.5</v>
      </c>
      <c r="AN178" s="114"/>
      <c r="AO178" s="144"/>
      <c r="AP178" s="91"/>
      <c r="AQ178" s="387"/>
      <c r="AR178" s="482"/>
      <c r="AS178" s="482"/>
      <c r="AT178" s="482"/>
      <c r="AU178" s="137"/>
      <c r="AV178" s="137"/>
      <c r="AW178" s="482"/>
      <c r="AX178" s="142">
        <v>162.995</v>
      </c>
      <c r="AY178" s="114">
        <v>5300</v>
      </c>
      <c r="AZ178" s="127">
        <f>AX178*AY178</f>
        <v>863873.5</v>
      </c>
      <c r="BA178" s="127">
        <v>0</v>
      </c>
      <c r="BB178" s="127"/>
      <c r="BC178" s="127">
        <f>BA178-AZ178</f>
        <v>-863873.5</v>
      </c>
      <c r="BI178" s="75"/>
      <c r="BJ178" s="91"/>
    </row>
    <row r="179" s="76" customFormat="1" ht="15" customHeight="1" outlineLevel="1" spans="1:62">
      <c r="C179" s="387"/>
      <c r="D179" s="76" t="s">
        <v>211</v>
      </c>
      <c r="E179" s="76" t="s">
        <v>208</v>
      </c>
      <c r="F179" s="76" t="s">
        <v>211</v>
      </c>
      <c r="G179" s="479"/>
      <c r="H179" s="76" t="s">
        <v>209</v>
      </c>
      <c r="I179" s="76" t="s">
        <v>208</v>
      </c>
      <c r="J179" s="129"/>
      <c r="K179" s="129"/>
      <c r="L179" s="130"/>
      <c r="M179" s="130"/>
      <c r="N179" s="131"/>
      <c r="O179" s="132"/>
      <c r="P179" s="91"/>
      <c r="Q179" s="91"/>
      <c r="T179" s="387"/>
      <c r="U179" s="387"/>
      <c r="V179" s="387"/>
      <c r="X179" s="112"/>
      <c r="Y179" s="142">
        <v>27.095</v>
      </c>
      <c r="Z179" s="114">
        <v>5100</v>
      </c>
      <c r="AA179" s="134">
        <f>Y179*Z179</f>
        <v>138184.5</v>
      </c>
      <c r="AB179" s="114">
        <v>138184.5</v>
      </c>
      <c r="AC179" s="114"/>
      <c r="AD179" s="140"/>
      <c r="AE179" s="114"/>
      <c r="AF179" s="114"/>
      <c r="AG179" s="114"/>
      <c r="AH179" s="141"/>
      <c r="AI179" s="91"/>
      <c r="AJ179" s="137"/>
      <c r="AK179" s="142">
        <v>27.095</v>
      </c>
      <c r="AL179" s="114">
        <v>7045</v>
      </c>
      <c r="AM179" s="127">
        <f>AK179*AL179</f>
        <v>190884.275</v>
      </c>
      <c r="AN179" s="114"/>
      <c r="AO179" s="144"/>
      <c r="AP179" s="91"/>
      <c r="AQ179" s="387"/>
      <c r="AR179" s="482"/>
      <c r="AS179" s="482"/>
      <c r="AT179" s="482"/>
      <c r="AU179" s="137"/>
      <c r="AV179" s="137"/>
      <c r="AW179" s="482"/>
      <c r="AX179" s="142">
        <v>27.095</v>
      </c>
      <c r="AY179" s="114">
        <v>7045</v>
      </c>
      <c r="AZ179" s="127">
        <f>AX179*AY179</f>
        <v>190884.275</v>
      </c>
      <c r="BA179" s="127">
        <v>0</v>
      </c>
      <c r="BB179" s="127"/>
      <c r="BC179" s="127">
        <f>BA179-AZ179</f>
        <v>-190884.275</v>
      </c>
      <c r="BI179" s="75"/>
      <c r="BJ179" s="91"/>
    </row>
    <row r="180" s="79" customFormat="1" ht="14.45" customHeight="1" spans="1:62">
      <c r="A180" s="79">
        <v>28</v>
      </c>
      <c r="C180" s="463" t="s">
        <v>69</v>
      </c>
      <c r="D180" s="79" t="s">
        <v>212</v>
      </c>
      <c r="E180" s="79" t="s">
        <v>208</v>
      </c>
      <c r="F180" s="79" t="s">
        <v>212</v>
      </c>
      <c r="G180" s="486"/>
      <c r="H180" s="79" t="s">
        <v>93</v>
      </c>
      <c r="I180" s="79" t="s">
        <v>208</v>
      </c>
      <c r="J180" s="505">
        <f>AX180</f>
        <v>343.195</v>
      </c>
      <c r="K180" s="488"/>
      <c r="L180" s="488"/>
      <c r="M180" s="488"/>
      <c r="N180" s="544"/>
      <c r="O180" s="530"/>
      <c r="P180" s="91"/>
      <c r="Q180" s="91"/>
      <c r="T180" s="463"/>
      <c r="U180" s="463"/>
      <c r="V180" s="463"/>
      <c r="X180" s="193"/>
      <c r="Y180" s="194">
        <f>SUM(Y177:Y179)</f>
        <v>343.195</v>
      </c>
      <c r="Z180" s="531"/>
      <c r="AA180" s="194">
        <f>SUM(AA177:AA179)</f>
        <v>1750294.5</v>
      </c>
      <c r="AB180" s="194">
        <f>SUM(AB177:AB179)</f>
        <v>1750294.5</v>
      </c>
      <c r="AC180" s="192"/>
      <c r="AD180" s="196"/>
      <c r="AE180" s="192"/>
      <c r="AF180" s="192"/>
      <c r="AG180" s="192"/>
      <c r="AH180" s="227"/>
      <c r="AI180" s="91"/>
      <c r="AJ180" s="225"/>
      <c r="AK180" s="225"/>
      <c r="AM180" s="192"/>
      <c r="AN180" s="192"/>
      <c r="AO180" s="490"/>
      <c r="AP180" s="91"/>
      <c r="AQ180" s="463"/>
      <c r="AR180" s="491"/>
      <c r="AS180" s="491"/>
      <c r="AT180" s="491"/>
      <c r="AU180" s="225"/>
      <c r="AV180" s="225"/>
      <c r="AW180" s="491"/>
      <c r="AX180" s="536">
        <f>SUM(AX177:AX179)</f>
        <v>343.195</v>
      </c>
      <c r="AY180" s="192"/>
      <c r="AZ180" s="150">
        <f>SUM(AZ177:AZ179)</f>
        <v>1866214.275</v>
      </c>
      <c r="BA180" s="150">
        <f>SUM(BA177:BA179)</f>
        <v>1000000</v>
      </c>
      <c r="BB180" s="150"/>
      <c r="BC180" s="150">
        <f>SUM(BC177:BC179)</f>
        <v>-866214.275</v>
      </c>
      <c r="BI180" s="151" t="s">
        <v>60</v>
      </c>
      <c r="BJ180" s="91"/>
    </row>
    <row r="181" s="76" customFormat="1" ht="14.45" customHeight="1" outlineLevel="1" spans="1:62">
      <c r="C181" s="387"/>
      <c r="D181" s="76" t="s">
        <v>213</v>
      </c>
      <c r="E181" s="76" t="s">
        <v>208</v>
      </c>
      <c r="F181" s="76" t="s">
        <v>213</v>
      </c>
      <c r="G181" s="479"/>
      <c r="H181" s="76" t="s">
        <v>209</v>
      </c>
      <c r="I181" s="76" t="s">
        <v>208</v>
      </c>
      <c r="J181" s="130">
        <v>160</v>
      </c>
      <c r="K181" s="129">
        <v>6860</v>
      </c>
      <c r="L181" s="147">
        <f>J181*K181</f>
        <v>1097600</v>
      </c>
      <c r="M181" s="147"/>
      <c r="N181" s="545"/>
      <c r="O181" s="132"/>
      <c r="P181" s="91"/>
      <c r="Q181" s="91"/>
      <c r="R181" s="76" t="s">
        <v>88</v>
      </c>
      <c r="S181" s="76" t="s">
        <v>214</v>
      </c>
      <c r="T181" s="387">
        <v>45483</v>
      </c>
      <c r="U181" s="387"/>
      <c r="V181" s="387"/>
      <c r="X181" s="112"/>
      <c r="Y181" s="142">
        <v>70.53</v>
      </c>
      <c r="Z181" s="134">
        <v>6500</v>
      </c>
      <c r="AA181" s="114">
        <f>Y181*Z181</f>
        <v>458445</v>
      </c>
      <c r="AB181" s="114">
        <v>458445</v>
      </c>
      <c r="AC181" s="114"/>
      <c r="AD181" s="140"/>
      <c r="AE181" s="114"/>
      <c r="AF181" s="114"/>
      <c r="AG181" s="114"/>
      <c r="AH181" s="141"/>
      <c r="AI181" s="91"/>
      <c r="AJ181" s="137"/>
      <c r="AK181" s="142">
        <v>70.53</v>
      </c>
      <c r="AL181" s="114">
        <v>6841.1</v>
      </c>
      <c r="AM181" s="114">
        <f>AK181*AL181</f>
        <v>482502.783</v>
      </c>
      <c r="AN181" s="114"/>
      <c r="AO181" s="144"/>
      <c r="AP181" s="91"/>
      <c r="AQ181" s="387"/>
      <c r="AR181" s="482"/>
      <c r="AS181" s="482"/>
      <c r="AT181" s="482"/>
      <c r="AU181" s="137"/>
      <c r="AV181" s="137"/>
      <c r="AW181" s="482"/>
      <c r="AX181" s="142">
        <v>70.53</v>
      </c>
      <c r="AY181" s="114">
        <v>6841.1</v>
      </c>
      <c r="AZ181" s="127">
        <f>AY181*AX181</f>
        <v>482502.783</v>
      </c>
      <c r="BA181" s="127">
        <v>321750</v>
      </c>
      <c r="BB181" s="127"/>
      <c r="BC181" s="127">
        <f>BA181-AZ181</f>
        <v>-160752.783</v>
      </c>
      <c r="BI181" s="75"/>
      <c r="BJ181" s="91"/>
    </row>
    <row r="182" s="79" customFormat="1" ht="14.45" customHeight="1" spans="1:62">
      <c r="A182" s="79">
        <v>29</v>
      </c>
      <c r="C182" s="463" t="s">
        <v>69</v>
      </c>
      <c r="D182" s="79" t="s">
        <v>215</v>
      </c>
      <c r="E182" s="79" t="s">
        <v>208</v>
      </c>
      <c r="F182" s="79" t="s">
        <v>215</v>
      </c>
      <c r="G182" s="486"/>
      <c r="H182" s="79" t="s">
        <v>93</v>
      </c>
      <c r="I182" s="79" t="s">
        <v>208</v>
      </c>
      <c r="J182" s="505">
        <f>AX182</f>
        <v>70.53</v>
      </c>
      <c r="K182" s="487"/>
      <c r="L182" s="487"/>
      <c r="M182" s="487"/>
      <c r="N182" s="489"/>
      <c r="P182" s="91"/>
      <c r="Q182" s="91"/>
      <c r="T182" s="463"/>
      <c r="U182" s="463"/>
      <c r="V182" s="463"/>
      <c r="X182" s="193"/>
      <c r="Z182" s="192"/>
      <c r="AA182" s="192"/>
      <c r="AB182" s="192"/>
      <c r="AC182" s="192"/>
      <c r="AD182" s="196"/>
      <c r="AE182" s="192"/>
      <c r="AF182" s="192"/>
      <c r="AG182" s="192"/>
      <c r="AH182" s="227"/>
      <c r="AI182" s="91"/>
      <c r="AJ182" s="225"/>
      <c r="AK182" s="225"/>
      <c r="AM182" s="192"/>
      <c r="AN182" s="192"/>
      <c r="AO182" s="490"/>
      <c r="AP182" s="91"/>
      <c r="AQ182" s="463"/>
      <c r="AR182" s="491"/>
      <c r="AS182" s="491"/>
      <c r="AT182" s="491"/>
      <c r="AU182" s="225"/>
      <c r="AV182" s="225"/>
      <c r="AW182" s="491"/>
      <c r="AX182" s="492">
        <v>70.53</v>
      </c>
      <c r="AY182" s="192"/>
      <c r="AZ182" s="150">
        <v>482502.783</v>
      </c>
      <c r="BA182" s="150">
        <v>321750</v>
      </c>
      <c r="BB182" s="150"/>
      <c r="BC182" s="150">
        <v>-160752.783</v>
      </c>
      <c r="BI182" s="151" t="s">
        <v>60</v>
      </c>
      <c r="BJ182" s="91"/>
    </row>
    <row r="183" s="76" customFormat="1" ht="14.45" customHeight="1" outlineLevel="1" spans="1:62">
      <c r="C183" s="387"/>
      <c r="D183" s="76" t="s">
        <v>216</v>
      </c>
      <c r="E183" s="76" t="s">
        <v>217</v>
      </c>
      <c r="F183" s="76" t="s">
        <v>216</v>
      </c>
      <c r="G183" s="479">
        <v>26147.17</v>
      </c>
      <c r="H183" s="76" t="s">
        <v>93</v>
      </c>
      <c r="I183" s="76" t="s">
        <v>217</v>
      </c>
      <c r="J183" s="129">
        <v>0.7</v>
      </c>
      <c r="K183" s="546">
        <v>26305</v>
      </c>
      <c r="L183" s="146">
        <f>K183*J183</f>
        <v>18413.5</v>
      </c>
      <c r="M183" s="146"/>
      <c r="N183" s="148"/>
      <c r="P183" s="91"/>
      <c r="Q183" s="91"/>
      <c r="R183" s="76" t="s">
        <v>218</v>
      </c>
      <c r="S183" s="76" t="s">
        <v>219</v>
      </c>
      <c r="T183" s="387">
        <v>45517</v>
      </c>
      <c r="U183" s="387"/>
      <c r="V183" s="387"/>
      <c r="Y183" s="76">
        <v>0.744</v>
      </c>
      <c r="Z183" s="114">
        <v>28965</v>
      </c>
      <c r="AA183" s="114">
        <f>Y183*Z183</f>
        <v>21549.96</v>
      </c>
      <c r="AB183" s="114"/>
      <c r="AC183" s="114"/>
      <c r="AD183" s="140"/>
      <c r="AE183" s="114"/>
      <c r="AF183" s="114"/>
      <c r="AG183" s="114"/>
      <c r="AH183" s="141"/>
      <c r="AI183" s="91"/>
      <c r="AJ183" s="137"/>
      <c r="AK183" s="142">
        <v>744</v>
      </c>
      <c r="AL183" s="140">
        <v>26.305</v>
      </c>
      <c r="AM183" s="127">
        <f>AK183*AL183</f>
        <v>19570.92</v>
      </c>
      <c r="AN183" s="114"/>
      <c r="AO183" s="144"/>
      <c r="AP183" s="91"/>
      <c r="AQ183" s="387"/>
      <c r="AR183" s="482"/>
      <c r="AS183" s="482"/>
      <c r="AT183" s="482"/>
      <c r="AU183" s="137"/>
      <c r="AV183" s="137"/>
      <c r="AW183" s="482"/>
      <c r="AX183" s="142">
        <v>744</v>
      </c>
      <c r="AY183" s="140">
        <v>26.305</v>
      </c>
      <c r="AZ183" s="127">
        <f>AX183*AY183</f>
        <v>19570.92</v>
      </c>
      <c r="BA183" s="127">
        <v>0</v>
      </c>
      <c r="BB183" s="127"/>
      <c r="BC183" s="127">
        <f>BA183-AZ183</f>
        <v>-19570.92</v>
      </c>
      <c r="BI183" s="75"/>
      <c r="BJ183" s="91"/>
    </row>
    <row r="184" s="76" customFormat="1" ht="15" customHeight="1" outlineLevel="1" spans="1:62">
      <c r="C184" s="387"/>
      <c r="D184" s="76" t="s">
        <v>220</v>
      </c>
      <c r="E184" s="76" t="s">
        <v>221</v>
      </c>
      <c r="F184" s="76" t="s">
        <v>220</v>
      </c>
      <c r="G184" s="479"/>
      <c r="H184" s="76" t="s">
        <v>93</v>
      </c>
      <c r="I184" s="76" t="s">
        <v>221</v>
      </c>
      <c r="J184" s="129">
        <v>0.3</v>
      </c>
      <c r="K184" s="546">
        <v>26305</v>
      </c>
      <c r="L184" s="146">
        <f>K184*J184</f>
        <v>7891.5</v>
      </c>
      <c r="M184" s="147"/>
      <c r="N184" s="545"/>
      <c r="O184" s="132"/>
      <c r="P184" s="91"/>
      <c r="Q184" s="91"/>
      <c r="R184" s="76" t="s">
        <v>218</v>
      </c>
      <c r="S184" s="76" t="s">
        <v>219</v>
      </c>
      <c r="T184" s="387">
        <v>45517</v>
      </c>
      <c r="U184" s="387"/>
      <c r="V184" s="387"/>
      <c r="X184" s="112"/>
      <c r="Y184" s="76">
        <v>0.25</v>
      </c>
      <c r="Z184" s="114">
        <v>28965</v>
      </c>
      <c r="AA184" s="114">
        <f>Y184*Z184</f>
        <v>7241.25</v>
      </c>
      <c r="AB184" s="114"/>
      <c r="AC184" s="114"/>
      <c r="AD184" s="140"/>
      <c r="AE184" s="114"/>
      <c r="AF184" s="114"/>
      <c r="AG184" s="114"/>
      <c r="AH184" s="141"/>
      <c r="AI184" s="91"/>
      <c r="AJ184" s="137"/>
      <c r="AK184" s="142">
        <v>250</v>
      </c>
      <c r="AL184" s="140">
        <v>26.305</v>
      </c>
      <c r="AM184" s="127">
        <f>AK184*AL184</f>
        <v>6576.25</v>
      </c>
      <c r="AN184" s="114"/>
      <c r="AO184" s="144"/>
      <c r="AP184" s="91"/>
      <c r="AQ184" s="387"/>
      <c r="AR184" s="482"/>
      <c r="AS184" s="482"/>
      <c r="AT184" s="482"/>
      <c r="AU184" s="137"/>
      <c r="AV184" s="137"/>
      <c r="AW184" s="482"/>
      <c r="AX184" s="142">
        <v>250</v>
      </c>
      <c r="AY184" s="140">
        <v>26.305</v>
      </c>
      <c r="AZ184" s="127">
        <f>AX184*AY184</f>
        <v>6576.25</v>
      </c>
      <c r="BA184" s="127">
        <v>0</v>
      </c>
      <c r="BB184" s="127"/>
      <c r="BC184" s="127">
        <f>BA184-AZ184</f>
        <v>-6576.25</v>
      </c>
      <c r="BI184" s="75"/>
      <c r="BJ184" s="91"/>
    </row>
    <row r="185" s="79" customFormat="1" ht="14.45" customHeight="1" spans="1:62">
      <c r="A185" s="79">
        <v>30</v>
      </c>
      <c r="C185" s="463" t="s">
        <v>69</v>
      </c>
      <c r="D185" s="79" t="s">
        <v>216</v>
      </c>
      <c r="E185" s="79" t="s">
        <v>217</v>
      </c>
      <c r="F185" s="79" t="s">
        <v>216</v>
      </c>
      <c r="G185" s="486"/>
      <c r="H185" s="79" t="s">
        <v>93</v>
      </c>
      <c r="I185" s="79" t="s">
        <v>217</v>
      </c>
      <c r="J185" s="505">
        <f>AX185</f>
        <v>994</v>
      </c>
      <c r="K185" s="487"/>
      <c r="L185" s="487"/>
      <c r="M185" s="487"/>
      <c r="N185" s="489"/>
      <c r="P185" s="91"/>
      <c r="Q185" s="91"/>
      <c r="T185" s="463"/>
      <c r="U185" s="463"/>
      <c r="V185" s="463"/>
      <c r="X185" s="193"/>
      <c r="Z185" s="192"/>
      <c r="AA185" s="192"/>
      <c r="AB185" s="192"/>
      <c r="AC185" s="192"/>
      <c r="AD185" s="196"/>
      <c r="AE185" s="192"/>
      <c r="AF185" s="192"/>
      <c r="AG185" s="192"/>
      <c r="AH185" s="227"/>
      <c r="AI185" s="91"/>
      <c r="AJ185" s="225"/>
      <c r="AK185" s="225"/>
      <c r="AM185" s="192"/>
      <c r="AN185" s="192"/>
      <c r="AO185" s="490"/>
      <c r="AP185" s="91"/>
      <c r="AQ185" s="463"/>
      <c r="AR185" s="491"/>
      <c r="AS185" s="491"/>
      <c r="AT185" s="491"/>
      <c r="AU185" s="225"/>
      <c r="AV185" s="225"/>
      <c r="AW185" s="491"/>
      <c r="AX185" s="536">
        <f>SUM(AX183:AX184)</f>
        <v>994</v>
      </c>
      <c r="AY185" s="192"/>
      <c r="AZ185" s="150">
        <f>SUM(AZ183:AZ184)</f>
        <v>26147.17</v>
      </c>
      <c r="BA185" s="150">
        <f>SUM(BA183:BA184)</f>
        <v>0</v>
      </c>
      <c r="BB185" s="150"/>
      <c r="BC185" s="150">
        <f>SUM(BC183:BC184)</f>
        <v>-26147.17</v>
      </c>
      <c r="BI185" s="151" t="s">
        <v>60</v>
      </c>
      <c r="BJ185" s="91"/>
    </row>
    <row r="186" s="76" customFormat="1" ht="14.45" customHeight="1" outlineLevel="1" spans="1:62">
      <c r="C186" s="387"/>
      <c r="D186" s="76" t="s">
        <v>222</v>
      </c>
      <c r="E186" s="76" t="s">
        <v>208</v>
      </c>
      <c r="F186" s="76" t="s">
        <v>222</v>
      </c>
      <c r="G186" s="479"/>
      <c r="H186" s="76" t="s">
        <v>209</v>
      </c>
      <c r="I186" s="76" t="s">
        <v>208</v>
      </c>
      <c r="J186" s="146"/>
      <c r="K186" s="146"/>
      <c r="L186" s="147"/>
      <c r="M186" s="147"/>
      <c r="N186" s="148"/>
      <c r="P186" s="91"/>
      <c r="Q186" s="91"/>
      <c r="R186" s="76" t="s">
        <v>66</v>
      </c>
      <c r="S186" s="76" t="s">
        <v>223</v>
      </c>
      <c r="T186" s="387">
        <v>45512</v>
      </c>
      <c r="U186" s="387"/>
      <c r="V186" s="387"/>
      <c r="Y186" s="142">
        <v>156.698</v>
      </c>
      <c r="Z186" s="114">
        <v>6120</v>
      </c>
      <c r="AA186" s="114">
        <f>Y186*Z186</f>
        <v>958991.76</v>
      </c>
      <c r="AB186" s="114">
        <v>958991.76</v>
      </c>
      <c r="AC186" s="114"/>
      <c r="AD186" s="140"/>
      <c r="AE186" s="114"/>
      <c r="AF186" s="114"/>
      <c r="AG186" s="114"/>
      <c r="AH186" s="141"/>
      <c r="AI186" s="91"/>
      <c r="AJ186" s="137"/>
      <c r="AK186" s="142">
        <v>156.698</v>
      </c>
      <c r="AL186" s="114">
        <v>6320</v>
      </c>
      <c r="AM186" s="127">
        <f>AK186*AL186</f>
        <v>990331.36</v>
      </c>
      <c r="AN186" s="114"/>
      <c r="AO186" s="144"/>
      <c r="AP186" s="91"/>
      <c r="AQ186" s="387"/>
      <c r="AR186" s="482"/>
      <c r="AS186" s="482"/>
      <c r="AT186" s="482"/>
      <c r="AU186" s="137"/>
      <c r="AV186" s="137"/>
      <c r="AW186" s="482"/>
      <c r="AX186" s="142">
        <v>156.698</v>
      </c>
      <c r="AY186" s="114">
        <v>6320</v>
      </c>
      <c r="AZ186" s="127">
        <f>AX186*AY186</f>
        <v>990331.36</v>
      </c>
      <c r="BA186" s="127">
        <v>980000</v>
      </c>
      <c r="BB186" s="127"/>
      <c r="BC186" s="127">
        <f>BA186-AZ186</f>
        <v>-10331.3600000001</v>
      </c>
      <c r="BI186" s="75"/>
      <c r="BJ186" s="91"/>
    </row>
    <row r="187" s="79" customFormat="1" ht="14.45" customHeight="1" spans="1:62">
      <c r="A187" s="79">
        <v>31</v>
      </c>
      <c r="C187" s="463" t="s">
        <v>69</v>
      </c>
      <c r="D187" s="79" t="s">
        <v>222</v>
      </c>
      <c r="E187" s="79" t="s">
        <v>208</v>
      </c>
      <c r="F187" s="79" t="s">
        <v>222</v>
      </c>
      <c r="G187" s="486"/>
      <c r="H187" s="79" t="s">
        <v>93</v>
      </c>
      <c r="I187" s="79" t="s">
        <v>208</v>
      </c>
      <c r="J187" s="505">
        <f>AX187</f>
        <v>156.698</v>
      </c>
      <c r="K187" s="487"/>
      <c r="L187" s="488"/>
      <c r="M187" s="488"/>
      <c r="N187" s="489"/>
      <c r="P187" s="91"/>
      <c r="Q187" s="91"/>
      <c r="T187" s="463"/>
      <c r="U187" s="463"/>
      <c r="V187" s="463"/>
      <c r="X187" s="193"/>
      <c r="Z187" s="192"/>
      <c r="AA187" s="192"/>
      <c r="AB187" s="192"/>
      <c r="AC187" s="192"/>
      <c r="AD187" s="196"/>
      <c r="AE187" s="192"/>
      <c r="AF187" s="192"/>
      <c r="AG187" s="192"/>
      <c r="AH187" s="227"/>
      <c r="AI187" s="91"/>
      <c r="AJ187" s="225"/>
      <c r="AK187" s="225"/>
      <c r="AM187" s="192"/>
      <c r="AN187" s="192"/>
      <c r="AO187" s="490"/>
      <c r="AP187" s="91"/>
      <c r="AQ187" s="463"/>
      <c r="AR187" s="491"/>
      <c r="AS187" s="491"/>
      <c r="AT187" s="491"/>
      <c r="AU187" s="225"/>
      <c r="AV187" s="225"/>
      <c r="AW187" s="491"/>
      <c r="AX187" s="492">
        <v>156.698</v>
      </c>
      <c r="AY187" s="192"/>
      <c r="AZ187" s="150">
        <v>990331.36</v>
      </c>
      <c r="BA187" s="150">
        <v>980000</v>
      </c>
      <c r="BB187" s="150"/>
      <c r="BC187" s="150">
        <v>-10331.3600000001</v>
      </c>
      <c r="BI187" s="151" t="s">
        <v>60</v>
      </c>
      <c r="BJ187" s="91"/>
    </row>
    <row r="188" s="76" customFormat="1" ht="14.45" customHeight="1" outlineLevel="2" spans="1:62">
      <c r="C188" s="387">
        <v>45544</v>
      </c>
      <c r="D188" s="76" t="s">
        <v>224</v>
      </c>
      <c r="E188" s="76" t="s">
        <v>115</v>
      </c>
      <c r="F188" s="76" t="s">
        <v>224</v>
      </c>
      <c r="G188" s="479">
        <f>63216.31+100286.34</f>
        <v>163502.65</v>
      </c>
      <c r="H188" s="76" t="s">
        <v>93</v>
      </c>
      <c r="I188" s="76" t="s">
        <v>115</v>
      </c>
      <c r="J188" s="146">
        <v>54</v>
      </c>
      <c r="K188" s="146">
        <v>6280</v>
      </c>
      <c r="L188" s="147">
        <f>J188*K188</f>
        <v>339120</v>
      </c>
      <c r="M188" s="147"/>
      <c r="N188" s="148">
        <v>99000</v>
      </c>
      <c r="O188" s="76">
        <f>L188-N188</f>
        <v>240120</v>
      </c>
      <c r="P188" s="91"/>
      <c r="Q188" s="91"/>
      <c r="R188" s="76" t="s">
        <v>88</v>
      </c>
      <c r="S188" s="76" t="s">
        <v>225</v>
      </c>
      <c r="T188" s="387">
        <v>45553</v>
      </c>
      <c r="U188" s="387">
        <f>T188+60</f>
        <v>45613</v>
      </c>
      <c r="V188" s="387"/>
      <c r="X188" s="112"/>
      <c r="Y188" s="142">
        <v>41.339</v>
      </c>
      <c r="Z188" s="114">
        <v>6100</v>
      </c>
      <c r="AA188" s="114">
        <f>Y188*Z188</f>
        <v>252167.9</v>
      </c>
      <c r="AB188" s="114">
        <v>252167.9</v>
      </c>
      <c r="AC188" s="114"/>
      <c r="AD188" s="140"/>
      <c r="AE188" s="114"/>
      <c r="AF188" s="114"/>
      <c r="AG188" s="114"/>
      <c r="AH188" s="141"/>
      <c r="AI188" s="91"/>
      <c r="AJ188" s="137"/>
      <c r="AK188" s="137"/>
      <c r="AM188" s="114"/>
      <c r="AN188" s="114"/>
      <c r="AO188" s="144"/>
      <c r="AP188" s="91"/>
      <c r="AQ188" s="387"/>
      <c r="AR188" s="482"/>
      <c r="AS188" s="482"/>
      <c r="AT188" s="482"/>
      <c r="AU188" s="137"/>
      <c r="AV188" s="137"/>
      <c r="AW188" s="482"/>
      <c r="AX188" s="142"/>
      <c r="AY188" s="114"/>
      <c r="AZ188" s="127"/>
      <c r="BA188" s="127">
        <v>99000</v>
      </c>
      <c r="BB188" s="127"/>
      <c r="BC188" s="127">
        <f>BB188+BA188-AZ188</f>
        <v>99000</v>
      </c>
      <c r="BI188" s="75"/>
      <c r="BJ188" s="91"/>
    </row>
    <row r="189" s="76" customFormat="1" ht="14.45" customHeight="1" outlineLevel="2" spans="1:62">
      <c r="C189" s="387"/>
      <c r="D189" s="76" t="s">
        <v>226</v>
      </c>
      <c r="F189" s="76" t="s">
        <v>226</v>
      </c>
      <c r="G189" s="479"/>
      <c r="H189" s="76" t="s">
        <v>93</v>
      </c>
      <c r="J189" s="129"/>
      <c r="K189" s="146"/>
      <c r="L189" s="147"/>
      <c r="M189" s="147"/>
      <c r="N189" s="148"/>
      <c r="P189" s="91"/>
      <c r="Q189" s="91"/>
      <c r="T189" s="387"/>
      <c r="U189" s="387"/>
      <c r="V189" s="387"/>
      <c r="Z189" s="114"/>
      <c r="AA189" s="114"/>
      <c r="AB189" s="114"/>
      <c r="AC189" s="114"/>
      <c r="AD189" s="140"/>
      <c r="AE189" s="114"/>
      <c r="AF189" s="114"/>
      <c r="AG189" s="114"/>
      <c r="AH189" s="141"/>
      <c r="AI189" s="91"/>
      <c r="AJ189" s="137"/>
      <c r="AK189" s="142">
        <v>41.339</v>
      </c>
      <c r="AL189" s="114">
        <v>6350</v>
      </c>
      <c r="AM189" s="127">
        <f>AK189*AL189</f>
        <v>262502.65</v>
      </c>
      <c r="AN189" s="114"/>
      <c r="AO189" s="144"/>
      <c r="AP189" s="91"/>
      <c r="AQ189" s="387"/>
      <c r="AR189" s="482"/>
      <c r="AS189" s="482"/>
      <c r="AT189" s="482"/>
      <c r="AU189" s="137"/>
      <c r="AV189" s="137"/>
      <c r="AW189" s="482"/>
      <c r="AX189" s="142">
        <v>41.339</v>
      </c>
      <c r="AY189" s="114">
        <v>6350</v>
      </c>
      <c r="AZ189" s="127">
        <f>AX189*AY189</f>
        <v>262502.65</v>
      </c>
      <c r="BA189" s="127"/>
      <c r="BB189" s="127"/>
      <c r="BC189" s="127">
        <f>BB189+BA189-AZ189</f>
        <v>-262502.65</v>
      </c>
      <c r="BI189" s="149"/>
      <c r="BJ189" s="91"/>
    </row>
    <row r="190" s="79" customFormat="1" ht="14.45" customHeight="1" spans="1:62">
      <c r="A190" s="79">
        <v>33</v>
      </c>
      <c r="C190" s="463" t="s">
        <v>69</v>
      </c>
      <c r="D190" s="79" t="s">
        <v>224</v>
      </c>
      <c r="E190" s="79" t="s">
        <v>115</v>
      </c>
      <c r="F190" s="79" t="s">
        <v>224</v>
      </c>
      <c r="G190" s="486"/>
      <c r="H190" s="79" t="s">
        <v>93</v>
      </c>
      <c r="I190" s="79" t="s">
        <v>115</v>
      </c>
      <c r="J190" s="194">
        <v>54</v>
      </c>
      <c r="K190" s="487"/>
      <c r="L190" s="488"/>
      <c r="M190" s="488"/>
      <c r="N190" s="489"/>
      <c r="P190" s="91"/>
      <c r="Q190" s="91"/>
      <c r="T190" s="463"/>
      <c r="U190" s="463"/>
      <c r="V190" s="463"/>
      <c r="X190" s="193"/>
      <c r="Z190" s="192"/>
      <c r="AA190" s="192"/>
      <c r="AB190" s="192"/>
      <c r="AC190" s="192"/>
      <c r="AD190" s="196"/>
      <c r="AE190" s="192"/>
      <c r="AF190" s="192"/>
      <c r="AG190" s="192"/>
      <c r="AH190" s="227"/>
      <c r="AI190" s="91"/>
      <c r="AJ190" s="225"/>
      <c r="AK190" s="225"/>
      <c r="AM190" s="192"/>
      <c r="AN190" s="192"/>
      <c r="AO190" s="490"/>
      <c r="AP190" s="91"/>
      <c r="AQ190" s="463"/>
      <c r="AR190" s="491"/>
      <c r="AS190" s="491"/>
      <c r="AT190" s="491"/>
      <c r="AU190" s="225"/>
      <c r="AV190" s="225"/>
      <c r="AW190" s="491"/>
      <c r="AX190" s="492">
        <v>41.339</v>
      </c>
      <c r="AY190" s="192"/>
      <c r="AZ190" s="150">
        <v>262502.65</v>
      </c>
      <c r="BA190" s="150">
        <v>99000</v>
      </c>
      <c r="BB190" s="150">
        <v>252167.9</v>
      </c>
      <c r="BC190" s="150">
        <f>SUM(BC188:BC189)</f>
        <v>-163502.65</v>
      </c>
      <c r="BI190" s="151" t="s">
        <v>60</v>
      </c>
      <c r="BJ190" s="91"/>
    </row>
    <row r="191" s="76" customFormat="1" ht="14.45" customHeight="1" outlineLevel="1" spans="1:62">
      <c r="C191" s="387"/>
      <c r="D191" s="76" t="s">
        <v>227</v>
      </c>
      <c r="E191" s="76" t="s">
        <v>92</v>
      </c>
      <c r="F191" s="76" t="s">
        <v>227</v>
      </c>
      <c r="G191" s="479">
        <f>31049.185</f>
        <v>31049.185</v>
      </c>
      <c r="H191" s="76" t="s">
        <v>93</v>
      </c>
      <c r="I191" s="76" t="s">
        <v>92</v>
      </c>
      <c r="J191" s="146">
        <v>2280000</v>
      </c>
      <c r="K191" s="146">
        <v>0.2329</v>
      </c>
      <c r="L191" s="147">
        <f>J191*K191</f>
        <v>531012</v>
      </c>
      <c r="M191" s="147"/>
      <c r="N191" s="148"/>
      <c r="P191" s="91"/>
      <c r="Q191" s="91"/>
      <c r="R191" s="76" t="s">
        <v>88</v>
      </c>
      <c r="S191" s="76" t="s">
        <v>228</v>
      </c>
      <c r="T191" s="387">
        <v>45587</v>
      </c>
      <c r="U191" s="387"/>
      <c r="V191" s="387"/>
      <c r="Y191" s="76">
        <v>1140000</v>
      </c>
      <c r="Z191" s="114">
        <v>0.25</v>
      </c>
      <c r="AA191" s="114">
        <f>Y191*Z191</f>
        <v>285000</v>
      </c>
      <c r="AB191" s="114">
        <v>285000</v>
      </c>
      <c r="AC191" s="114"/>
      <c r="AD191" s="140"/>
      <c r="AE191" s="114"/>
      <c r="AF191" s="114"/>
      <c r="AG191" s="114"/>
      <c r="AH191" s="141"/>
      <c r="AI191" s="91"/>
      <c r="AJ191" s="137"/>
      <c r="AK191" s="142">
        <v>1140000</v>
      </c>
      <c r="AL191" s="263">
        <v>0.2334</v>
      </c>
      <c r="AM191" s="114">
        <f>AK191*AL191</f>
        <v>266076</v>
      </c>
      <c r="AN191" s="127">
        <v>500000</v>
      </c>
      <c r="AO191" s="144"/>
      <c r="AP191" s="91"/>
      <c r="AQ191" s="387"/>
      <c r="AR191" s="482"/>
      <c r="AS191" s="482"/>
      <c r="AT191" s="482"/>
      <c r="AU191" s="137"/>
      <c r="AV191" s="137"/>
      <c r="AW191" s="482"/>
      <c r="AX191" s="142">
        <v>1140000</v>
      </c>
      <c r="AY191" s="263">
        <v>0.2334</v>
      </c>
      <c r="AZ191" s="127">
        <f>AY191*AX191</f>
        <v>266076</v>
      </c>
      <c r="BA191" s="127">
        <v>500000</v>
      </c>
      <c r="BB191" s="127"/>
      <c r="BC191" s="127">
        <f>BA191-AZ191</f>
        <v>233924</v>
      </c>
      <c r="BI191" s="75"/>
      <c r="BJ191" s="91"/>
    </row>
    <row r="192" s="76" customFormat="1" ht="14.45" customHeight="1" outlineLevel="1" spans="1:62">
      <c r="C192" s="387"/>
      <c r="G192" s="479"/>
      <c r="J192" s="146"/>
      <c r="K192" s="146"/>
      <c r="L192" s="147"/>
      <c r="M192" s="147"/>
      <c r="N192" s="148"/>
      <c r="P192" s="91"/>
      <c r="Q192" s="91"/>
      <c r="R192" s="501" t="s">
        <v>95</v>
      </c>
      <c r="T192" s="387"/>
      <c r="U192" s="387"/>
      <c r="V192" s="387"/>
      <c r="X192" s="112"/>
      <c r="Y192" s="129"/>
      <c r="Z192" s="130"/>
      <c r="AA192" s="119">
        <f>-(AZ191*0.13/1.13)</f>
        <v>-30610.5132743363</v>
      </c>
      <c r="AB192" s="114"/>
      <c r="AC192" s="114"/>
      <c r="AD192" s="140"/>
      <c r="AE192" s="114"/>
      <c r="AF192" s="114"/>
      <c r="AG192" s="114"/>
      <c r="AH192" s="141"/>
      <c r="AI192" s="91"/>
      <c r="AJ192" s="137"/>
      <c r="AK192" s="142"/>
      <c r="AL192" s="263"/>
      <c r="AM192" s="114"/>
      <c r="AN192" s="127"/>
      <c r="AO192" s="144"/>
      <c r="AP192" s="91"/>
      <c r="AQ192" s="387"/>
      <c r="AR192" s="482"/>
      <c r="AS192" s="482"/>
      <c r="AT192" s="482"/>
      <c r="AU192" s="137"/>
      <c r="AV192" s="137"/>
      <c r="AW192" s="482"/>
      <c r="AX192" s="142"/>
      <c r="AY192" s="263"/>
      <c r="AZ192" s="127"/>
      <c r="BA192" s="127"/>
      <c r="BB192" s="127"/>
      <c r="BC192" s="127"/>
      <c r="BI192" s="75"/>
      <c r="BJ192" s="91"/>
    </row>
    <row r="193" s="76" customFormat="1" ht="14.45" customHeight="1" outlineLevel="1" spans="1:62">
      <c r="C193" s="387"/>
      <c r="D193" s="76" t="s">
        <v>229</v>
      </c>
      <c r="E193" s="76" t="s">
        <v>92</v>
      </c>
      <c r="F193" s="76" t="s">
        <v>229</v>
      </c>
      <c r="G193" s="479"/>
      <c r="H193" s="76" t="s">
        <v>93</v>
      </c>
      <c r="I193" s="76" t="s">
        <v>92</v>
      </c>
      <c r="J193" s="146"/>
      <c r="K193" s="146"/>
      <c r="L193" s="147"/>
      <c r="M193" s="147"/>
      <c r="N193" s="148"/>
      <c r="P193" s="91"/>
      <c r="Q193" s="91"/>
      <c r="R193" s="76" t="s">
        <v>88</v>
      </c>
      <c r="S193" s="76" t="s">
        <v>228</v>
      </c>
      <c r="T193" s="387">
        <v>45587</v>
      </c>
      <c r="U193" s="387"/>
      <c r="V193" s="387"/>
      <c r="Y193" s="142">
        <v>1135275</v>
      </c>
      <c r="Z193" s="114">
        <v>0.25</v>
      </c>
      <c r="AA193" s="114">
        <f>Y193*Z193</f>
        <v>283818.75</v>
      </c>
      <c r="AB193" s="114">
        <v>283818.75</v>
      </c>
      <c r="AC193" s="114"/>
      <c r="AD193" s="140"/>
      <c r="AE193" s="114"/>
      <c r="AF193" s="114"/>
      <c r="AG193" s="114"/>
      <c r="AH193" s="141"/>
      <c r="AI193" s="91"/>
      <c r="AJ193" s="137"/>
      <c r="AK193" s="142">
        <v>1135275</v>
      </c>
      <c r="AL193" s="263">
        <v>0.2334</v>
      </c>
      <c r="AM193" s="114">
        <f>AK193*AL193</f>
        <v>264973.185</v>
      </c>
      <c r="AN193" s="127">
        <v>0</v>
      </c>
      <c r="AO193" s="144"/>
      <c r="AP193" s="91"/>
      <c r="AQ193" s="387"/>
      <c r="AR193" s="482"/>
      <c r="AS193" s="482"/>
      <c r="AT193" s="482"/>
      <c r="AU193" s="137"/>
      <c r="AV193" s="137"/>
      <c r="AW193" s="482"/>
      <c r="AX193" s="142">
        <v>1135275</v>
      </c>
      <c r="AY193" s="263">
        <v>0.2334</v>
      </c>
      <c r="AZ193" s="127">
        <f>AY193*AX193</f>
        <v>264973.185</v>
      </c>
      <c r="BA193" s="127">
        <v>0</v>
      </c>
      <c r="BB193" s="127"/>
      <c r="BC193" s="127">
        <f>BA193-AZ193</f>
        <v>-264973.185</v>
      </c>
      <c r="BI193" s="75"/>
      <c r="BJ193" s="91"/>
    </row>
    <row r="194" s="76" customFormat="1" ht="14.45" customHeight="1" outlineLevel="1" spans="1:62">
      <c r="C194" s="387"/>
      <c r="G194" s="479"/>
      <c r="J194" s="146"/>
      <c r="K194" s="146"/>
      <c r="L194" s="147"/>
      <c r="M194" s="147"/>
      <c r="N194" s="148"/>
      <c r="P194" s="91"/>
      <c r="Q194" s="91"/>
      <c r="R194" s="501" t="s">
        <v>95</v>
      </c>
      <c r="T194" s="387"/>
      <c r="U194" s="387"/>
      <c r="V194" s="387"/>
      <c r="X194" s="112"/>
      <c r="Y194" s="129"/>
      <c r="Z194" s="130"/>
      <c r="AA194" s="119">
        <f>-(AZ193*0.13/1.13)</f>
        <v>-30483.6407522124</v>
      </c>
      <c r="AB194" s="114"/>
      <c r="AC194" s="114"/>
      <c r="AD194" s="140"/>
      <c r="AE194" s="114"/>
      <c r="AF194" s="114"/>
      <c r="AG194" s="114"/>
      <c r="AH194" s="141"/>
      <c r="AI194" s="91"/>
      <c r="AJ194" s="137"/>
      <c r="AK194" s="142"/>
      <c r="AL194" s="263"/>
      <c r="AM194" s="114"/>
      <c r="AN194" s="127"/>
      <c r="AO194" s="144"/>
      <c r="AP194" s="91"/>
      <c r="AQ194" s="387"/>
      <c r="AR194" s="482"/>
      <c r="AS194" s="482"/>
      <c r="AT194" s="482"/>
      <c r="AU194" s="137"/>
      <c r="AV194" s="137"/>
      <c r="AW194" s="482"/>
      <c r="AX194" s="142"/>
      <c r="AY194" s="263"/>
      <c r="AZ194" s="127"/>
      <c r="BA194" s="127"/>
      <c r="BB194" s="127"/>
      <c r="BC194" s="127"/>
      <c r="BI194" s="75"/>
      <c r="BJ194" s="91"/>
    </row>
    <row r="195" s="79" customFormat="1" ht="14.45" customHeight="1" spans="1:62">
      <c r="A195" s="79">
        <v>34</v>
      </c>
      <c r="C195" s="463" t="s">
        <v>69</v>
      </c>
      <c r="D195" s="79" t="s">
        <v>230</v>
      </c>
      <c r="E195" s="79" t="s">
        <v>92</v>
      </c>
      <c r="F195" s="79" t="s">
        <v>230</v>
      </c>
      <c r="G195" s="486"/>
      <c r="H195" s="79" t="s">
        <v>93</v>
      </c>
      <c r="I195" s="79" t="s">
        <v>92</v>
      </c>
      <c r="J195" s="505">
        <f>AX195</f>
        <v>2275275</v>
      </c>
      <c r="K195" s="487"/>
      <c r="L195" s="488"/>
      <c r="M195" s="488"/>
      <c r="N195" s="489"/>
      <c r="P195" s="91"/>
      <c r="Q195" s="91"/>
      <c r="T195" s="463"/>
      <c r="U195" s="463"/>
      <c r="V195" s="463"/>
      <c r="X195" s="193"/>
      <c r="Y195" s="192">
        <f>SUM(Y191:Y194)</f>
        <v>2275275</v>
      </c>
      <c r="Z195" s="192"/>
      <c r="AA195" s="192">
        <f>SUM(AA191:AA194)</f>
        <v>507724.595973451</v>
      </c>
      <c r="AB195" s="192">
        <f>SUM(AB191:AB194)</f>
        <v>568818.75</v>
      </c>
      <c r="AC195" s="192"/>
      <c r="AD195" s="196"/>
      <c r="AE195" s="192"/>
      <c r="AF195" s="192"/>
      <c r="AG195" s="192"/>
      <c r="AH195" s="227"/>
      <c r="AI195" s="91"/>
      <c r="AJ195" s="225"/>
      <c r="AK195" s="192">
        <f>SUM(AK191:AK194)</f>
        <v>2275275</v>
      </c>
      <c r="AM195" s="192">
        <f>SUM(AM191:AM194)</f>
        <v>531049.185</v>
      </c>
      <c r="AN195" s="192">
        <f>SUM(AN191:AN194)</f>
        <v>500000</v>
      </c>
      <c r="AO195" s="490"/>
      <c r="AP195" s="91"/>
      <c r="AQ195" s="463"/>
      <c r="AR195" s="491"/>
      <c r="AS195" s="491"/>
      <c r="AT195" s="491"/>
      <c r="AU195" s="225"/>
      <c r="AV195" s="225"/>
      <c r="AW195" s="491"/>
      <c r="AX195" s="536">
        <f>SUM(AX191:AX193)</f>
        <v>2275275</v>
      </c>
      <c r="AY195" s="192"/>
      <c r="AZ195" s="150">
        <f>SUM(AZ191:AZ193)</f>
        <v>531049.185</v>
      </c>
      <c r="BA195" s="150">
        <f>SUM(BA191:BA193)</f>
        <v>500000</v>
      </c>
      <c r="BB195" s="150"/>
      <c r="BC195" s="150">
        <f>SUM(BC191:BC193)</f>
        <v>-31049.185</v>
      </c>
      <c r="BI195" s="151" t="s">
        <v>60</v>
      </c>
      <c r="BJ195" s="91"/>
    </row>
    <row r="196" s="76" customFormat="1" ht="14.45" customHeight="1" outlineLevel="2" spans="1:62">
      <c r="C196" s="387">
        <v>45546</v>
      </c>
      <c r="D196" s="76" t="s">
        <v>231</v>
      </c>
      <c r="E196" s="76" t="s">
        <v>232</v>
      </c>
      <c r="F196" s="76" t="s">
        <v>231</v>
      </c>
      <c r="G196" s="479"/>
      <c r="H196" s="76" t="s">
        <v>93</v>
      </c>
      <c r="I196" s="76" t="s">
        <v>232</v>
      </c>
      <c r="J196" s="129">
        <v>270</v>
      </c>
      <c r="K196" s="131">
        <v>6160</v>
      </c>
      <c r="L196" s="131">
        <f>J196*K196</f>
        <v>1663200</v>
      </c>
      <c r="M196" s="131"/>
      <c r="N196" s="131">
        <v>608400</v>
      </c>
      <c r="O196" s="132">
        <f>L196-N196</f>
        <v>1054800</v>
      </c>
      <c r="P196" s="91"/>
      <c r="Q196" s="91"/>
      <c r="R196" s="76" t="s">
        <v>56</v>
      </c>
      <c r="S196" s="76" t="s">
        <v>57</v>
      </c>
      <c r="T196" s="387">
        <v>45587</v>
      </c>
      <c r="U196" s="387">
        <f>T196+60</f>
        <v>45647</v>
      </c>
      <c r="V196" s="387"/>
      <c r="X196" s="112"/>
      <c r="Y196" s="76">
        <v>312.365</v>
      </c>
      <c r="Z196" s="134">
        <v>3660</v>
      </c>
      <c r="AA196" s="114">
        <f>Y196*Z196</f>
        <v>1143255.9</v>
      </c>
      <c r="AB196" s="134">
        <v>1143255.9</v>
      </c>
      <c r="AC196" s="134">
        <f>AA196-AB196</f>
        <v>0</v>
      </c>
      <c r="AD196" s="135"/>
      <c r="AE196" s="134"/>
      <c r="AF196" s="134"/>
      <c r="AG196" s="134"/>
      <c r="AH196" s="136"/>
      <c r="AI196" s="91"/>
      <c r="AJ196" s="137"/>
      <c r="AK196" s="137">
        <v>264.507</v>
      </c>
      <c r="AL196" s="138">
        <v>6160</v>
      </c>
      <c r="AM196" s="114">
        <f>AK196*AL196</f>
        <v>1629363.12</v>
      </c>
      <c r="AN196" s="114"/>
      <c r="AO196" s="139"/>
      <c r="AP196" s="91"/>
      <c r="AQ196" s="387"/>
      <c r="AR196" s="482"/>
      <c r="AS196" s="482"/>
      <c r="AT196" s="482"/>
      <c r="AU196" s="137"/>
      <c r="AV196" s="137"/>
      <c r="AW196" s="482"/>
      <c r="AX196" s="137">
        <f>AK196</f>
        <v>264.507</v>
      </c>
      <c r="AY196" s="114">
        <v>6160</v>
      </c>
      <c r="AZ196" s="114">
        <f>AX196*AY196</f>
        <v>1629363.12</v>
      </c>
      <c r="BA196" s="114">
        <f>N196</f>
        <v>608400</v>
      </c>
      <c r="BB196" s="114">
        <v>1080000</v>
      </c>
      <c r="BC196" s="150">
        <f>BB196+BA196-AZ196</f>
        <v>59036.8799999999</v>
      </c>
      <c r="BD196" s="76" t="s">
        <v>233</v>
      </c>
      <c r="BE196" s="76" t="s">
        <v>234</v>
      </c>
      <c r="BF196" s="112">
        <v>45635</v>
      </c>
      <c r="BG196" s="76">
        <v>2800</v>
      </c>
      <c r="BH196" s="76">
        <f>AK196-AX196</f>
        <v>0</v>
      </c>
      <c r="BI196" s="151" t="s">
        <v>60</v>
      </c>
      <c r="BJ196" s="91"/>
    </row>
    <row r="197" s="76" customFormat="1" ht="14.45" customHeight="1" outlineLevel="2" spans="1:62">
      <c r="C197" s="387"/>
      <c r="G197" s="479"/>
      <c r="J197" s="129"/>
      <c r="K197" s="131"/>
      <c r="L197" s="131"/>
      <c r="M197" s="131"/>
      <c r="N197" s="131"/>
      <c r="O197" s="132"/>
      <c r="P197" s="91"/>
      <c r="Q197" s="91"/>
      <c r="S197" s="76" t="s">
        <v>61</v>
      </c>
      <c r="T197" s="387"/>
      <c r="U197" s="387"/>
      <c r="V197" s="387"/>
      <c r="X197" s="112"/>
      <c r="Z197" s="134"/>
      <c r="AA197" s="114"/>
      <c r="AB197" s="134"/>
      <c r="AC197" s="134"/>
      <c r="AD197" s="140">
        <v>312.365</v>
      </c>
      <c r="AE197" s="134">
        <v>30</v>
      </c>
      <c r="AF197" s="114">
        <f>AD197*AE197</f>
        <v>9370.95</v>
      </c>
      <c r="AG197" s="134">
        <v>0</v>
      </c>
      <c r="AH197" s="136">
        <f>AF197-AG197</f>
        <v>9370.95</v>
      </c>
      <c r="AI197" s="91"/>
      <c r="AJ197" s="137"/>
      <c r="AK197" s="137"/>
      <c r="AL197" s="138"/>
      <c r="AM197" s="114"/>
      <c r="AN197" s="114"/>
      <c r="AO197" s="139"/>
      <c r="AP197" s="91"/>
      <c r="AQ197" s="387"/>
      <c r="AR197" s="482"/>
      <c r="AS197" s="482"/>
      <c r="AT197" s="482"/>
      <c r="AU197" s="137"/>
      <c r="AV197" s="137"/>
      <c r="AW197" s="482"/>
      <c r="AX197" s="137"/>
      <c r="AY197" s="114"/>
      <c r="AZ197" s="114"/>
      <c r="BA197" s="114"/>
      <c r="BB197" s="114"/>
      <c r="BC197" s="150"/>
      <c r="BI197" s="151" t="s">
        <v>60</v>
      </c>
      <c r="BJ197" s="91"/>
    </row>
    <row r="198" s="76" customFormat="1" ht="14.45" customHeight="1" outlineLevel="2" spans="1:62">
      <c r="C198" s="387"/>
      <c r="G198" s="479"/>
      <c r="J198" s="129"/>
      <c r="K198" s="131"/>
      <c r="L198" s="131"/>
      <c r="M198" s="131"/>
      <c r="N198" s="131"/>
      <c r="O198" s="132"/>
      <c r="P198" s="91"/>
      <c r="Q198" s="91"/>
      <c r="S198" s="76" t="s">
        <v>62</v>
      </c>
      <c r="T198" s="387"/>
      <c r="U198" s="387"/>
      <c r="V198" s="387"/>
      <c r="X198" s="112"/>
      <c r="Y198" s="76">
        <v>35.258</v>
      </c>
      <c r="Z198" s="134">
        <v>-3200</v>
      </c>
      <c r="AA198" s="114">
        <f>Y198*Z198</f>
        <v>-112825.6</v>
      </c>
      <c r="AB198" s="134">
        <f>AA198</f>
        <v>-112825.6</v>
      </c>
      <c r="AC198" s="114">
        <f>AB198</f>
        <v>-112825.6</v>
      </c>
      <c r="AD198" s="140">
        <v>0.636595750436792</v>
      </c>
      <c r="AE198" s="134">
        <v>-2300</v>
      </c>
      <c r="AF198" s="114">
        <f>AD198*AE198</f>
        <v>-1464.17022600462</v>
      </c>
      <c r="AG198" s="134"/>
      <c r="AH198" s="136"/>
      <c r="AI198" s="91"/>
      <c r="AJ198" s="137"/>
      <c r="AK198" s="137"/>
      <c r="AL198" s="138"/>
      <c r="AM198" s="114"/>
      <c r="AN198" s="114"/>
      <c r="AO198" s="139"/>
      <c r="AP198" s="91"/>
      <c r="AQ198" s="387"/>
      <c r="AR198" s="482"/>
      <c r="AS198" s="482"/>
      <c r="AT198" s="482"/>
      <c r="AU198" s="137"/>
      <c r="AV198" s="137"/>
      <c r="AW198" s="482"/>
      <c r="AX198" s="137"/>
      <c r="AY198" s="114"/>
      <c r="AZ198" s="114"/>
      <c r="BA198" s="114"/>
      <c r="BB198" s="114"/>
      <c r="BI198" s="151" t="s">
        <v>60</v>
      </c>
      <c r="BJ198" s="91"/>
    </row>
    <row r="199" s="76" customFormat="1" ht="14.45" customHeight="1" outlineLevel="2" spans="1:62">
      <c r="C199" s="387"/>
      <c r="G199" s="479"/>
      <c r="J199" s="129"/>
      <c r="K199" s="131"/>
      <c r="L199" s="131"/>
      <c r="M199" s="131"/>
      <c r="N199" s="131"/>
      <c r="O199" s="132"/>
      <c r="P199" s="91"/>
      <c r="Q199" s="91"/>
      <c r="S199" s="76" t="s">
        <v>63</v>
      </c>
      <c r="T199" s="387"/>
      <c r="U199" s="387"/>
      <c r="V199" s="387"/>
      <c r="X199" s="112"/>
      <c r="Z199" s="134"/>
      <c r="AA199" s="114"/>
      <c r="AB199" s="134"/>
      <c r="AC199" s="114"/>
      <c r="AD199" s="140">
        <v>275.84</v>
      </c>
      <c r="AE199" s="134">
        <v>20</v>
      </c>
      <c r="AF199" s="114">
        <f>AD199*AE199</f>
        <v>5516.8</v>
      </c>
      <c r="AG199" s="134"/>
      <c r="AH199" s="136"/>
      <c r="AI199" s="91"/>
      <c r="AJ199" s="137"/>
      <c r="AK199" s="137"/>
      <c r="AL199" s="138"/>
      <c r="AM199" s="114"/>
      <c r="AN199" s="114"/>
      <c r="AO199" s="139"/>
      <c r="AP199" s="91"/>
      <c r="AQ199" s="387"/>
      <c r="AR199" s="482"/>
      <c r="AS199" s="482"/>
      <c r="AT199" s="482"/>
      <c r="AU199" s="137"/>
      <c r="AV199" s="137"/>
      <c r="AW199" s="482"/>
      <c r="AX199" s="137"/>
      <c r="AY199" s="114"/>
      <c r="AZ199" s="114"/>
      <c r="BA199" s="114"/>
      <c r="BB199" s="114"/>
      <c r="BI199" s="151" t="s">
        <v>60</v>
      </c>
      <c r="BJ199" s="91"/>
    </row>
    <row r="200" s="76" customFormat="1" ht="14.45" customHeight="1" outlineLevel="2" spans="1:62">
      <c r="C200" s="387"/>
      <c r="G200" s="479"/>
      <c r="J200" s="129"/>
      <c r="K200" s="131"/>
      <c r="L200" s="131"/>
      <c r="M200" s="131"/>
      <c r="N200" s="131"/>
      <c r="O200" s="132"/>
      <c r="P200" s="91"/>
      <c r="Q200" s="91"/>
      <c r="R200" s="76" t="s">
        <v>64</v>
      </c>
      <c r="S200" s="76" t="s">
        <v>65</v>
      </c>
      <c r="T200" s="387">
        <v>45610</v>
      </c>
      <c r="U200" s="387">
        <f>T200+21</f>
        <v>45631</v>
      </c>
      <c r="V200" s="387"/>
      <c r="X200" s="112"/>
      <c r="Y200" s="76">
        <v>263.883</v>
      </c>
      <c r="Z200" s="134">
        <v>810</v>
      </c>
      <c r="AA200" s="114">
        <f>Y200*Z200</f>
        <v>213745.23</v>
      </c>
      <c r="AB200" s="134">
        <v>213745.23</v>
      </c>
      <c r="AC200" s="134">
        <f>AA200-AB200</f>
        <v>0</v>
      </c>
      <c r="AD200" s="140"/>
      <c r="AE200" s="134"/>
      <c r="AF200" s="114"/>
      <c r="AG200" s="134"/>
      <c r="AH200" s="136"/>
      <c r="AI200" s="91"/>
      <c r="AJ200" s="137"/>
      <c r="AK200" s="137"/>
      <c r="AL200" s="138"/>
      <c r="AM200" s="114"/>
      <c r="AN200" s="114"/>
      <c r="AO200" s="139"/>
      <c r="AP200" s="91"/>
      <c r="AQ200" s="387"/>
      <c r="AR200" s="482"/>
      <c r="AS200" s="482"/>
      <c r="AT200" s="482"/>
      <c r="AU200" s="137"/>
      <c r="AV200" s="137"/>
      <c r="AW200" s="482"/>
      <c r="AX200" s="137"/>
      <c r="AY200" s="114"/>
      <c r="AZ200" s="114"/>
      <c r="BA200" s="114"/>
      <c r="BB200" s="114"/>
      <c r="BI200" s="151" t="s">
        <v>60</v>
      </c>
      <c r="BJ200" s="91"/>
    </row>
    <row r="201" s="76" customFormat="1" ht="14.45" customHeight="1" outlineLevel="2" spans="1:62">
      <c r="C201" s="387"/>
      <c r="G201" s="479"/>
      <c r="J201" s="129"/>
      <c r="K201" s="131"/>
      <c r="L201" s="131"/>
      <c r="M201" s="131"/>
      <c r="N201" s="131"/>
      <c r="O201" s="132"/>
      <c r="P201" s="91"/>
      <c r="Q201" s="91"/>
      <c r="S201" s="76" t="s">
        <v>63</v>
      </c>
      <c r="T201" s="387"/>
      <c r="U201" s="387"/>
      <c r="V201" s="387"/>
      <c r="X201" s="112"/>
      <c r="Y201" s="76">
        <v>263.883</v>
      </c>
      <c r="Z201" s="134">
        <v>30</v>
      </c>
      <c r="AA201" s="114">
        <f>Y201*Z201</f>
        <v>7916.49</v>
      </c>
      <c r="AB201" s="134"/>
      <c r="AC201" s="134">
        <f>AA201-AB201</f>
        <v>7916.49</v>
      </c>
      <c r="AD201" s="140"/>
      <c r="AE201" s="134"/>
      <c r="AF201" s="114"/>
      <c r="AG201" s="134"/>
      <c r="AH201" s="136"/>
      <c r="AI201" s="91"/>
      <c r="AJ201" s="137"/>
      <c r="AK201" s="137"/>
      <c r="AL201" s="138"/>
      <c r="AM201" s="114"/>
      <c r="AN201" s="114"/>
      <c r="AO201" s="139"/>
      <c r="AP201" s="91"/>
      <c r="AQ201" s="387"/>
      <c r="AR201" s="482"/>
      <c r="AS201" s="482"/>
      <c r="AT201" s="482"/>
      <c r="AU201" s="137"/>
      <c r="AV201" s="137"/>
      <c r="AW201" s="482"/>
      <c r="AX201" s="137"/>
      <c r="AY201" s="114"/>
      <c r="AZ201" s="114"/>
      <c r="BA201" s="114"/>
      <c r="BB201" s="114"/>
      <c r="BI201" s="151" t="s">
        <v>60</v>
      </c>
      <c r="BJ201" s="91"/>
    </row>
    <row r="202" s="76" customFormat="1" ht="14.45" customHeight="1" outlineLevel="2" spans="1:62">
      <c r="C202" s="387"/>
      <c r="G202" s="479"/>
      <c r="J202" s="129"/>
      <c r="K202" s="131"/>
      <c r="L202" s="131"/>
      <c r="M202" s="131"/>
      <c r="N202" s="131"/>
      <c r="O202" s="132"/>
      <c r="P202" s="91"/>
      <c r="Q202" s="91"/>
      <c r="R202" s="76" t="s">
        <v>66</v>
      </c>
      <c r="S202" s="76" t="s">
        <v>67</v>
      </c>
      <c r="T202" s="387">
        <v>45627</v>
      </c>
      <c r="U202" s="387">
        <v>45627</v>
      </c>
      <c r="V202" s="387"/>
      <c r="X202" s="112"/>
      <c r="Y202" s="76">
        <v>264.507</v>
      </c>
      <c r="Z202" s="134">
        <v>1260</v>
      </c>
      <c r="AA202" s="114">
        <f>Y202*Z202</f>
        <v>333278.82</v>
      </c>
      <c r="AB202" s="114">
        <v>333278.82</v>
      </c>
      <c r="AC202" s="134">
        <f>AA202-AB202</f>
        <v>0</v>
      </c>
      <c r="AD202" s="140"/>
      <c r="AE202" s="134"/>
      <c r="AF202" s="114"/>
      <c r="AG202" s="134"/>
      <c r="AH202" s="136"/>
      <c r="AI202" s="91"/>
      <c r="AJ202" s="137"/>
      <c r="AK202" s="137"/>
      <c r="AL202" s="138"/>
      <c r="AM202" s="114"/>
      <c r="AN202" s="114"/>
      <c r="AO202" s="139"/>
      <c r="AP202" s="91"/>
      <c r="AQ202" s="387"/>
      <c r="AR202" s="482"/>
      <c r="AS202" s="482"/>
      <c r="AT202" s="482"/>
      <c r="AU202" s="137"/>
      <c r="AV202" s="137"/>
      <c r="AW202" s="482"/>
      <c r="AX202" s="137"/>
      <c r="AY202" s="114"/>
      <c r="AZ202" s="114"/>
      <c r="BA202" s="114"/>
      <c r="BB202" s="114"/>
      <c r="BI202" s="151" t="s">
        <v>60</v>
      </c>
      <c r="BJ202" s="91"/>
    </row>
    <row r="203" s="76" customFormat="1" ht="14.45" customHeight="1" outlineLevel="2" spans="1:62">
      <c r="C203" s="387"/>
      <c r="G203" s="479"/>
      <c r="J203" s="129"/>
      <c r="K203" s="129"/>
      <c r="L203" s="129"/>
      <c r="M203" s="129"/>
      <c r="P203" s="91"/>
      <c r="Q203" s="91"/>
      <c r="T203" s="387"/>
      <c r="U203" s="387"/>
      <c r="V203" s="387"/>
      <c r="Z203" s="114"/>
      <c r="AA203" s="114"/>
      <c r="AB203" s="114"/>
      <c r="AC203" s="114"/>
      <c r="AD203" s="140"/>
      <c r="AE203" s="114"/>
      <c r="AF203" s="114"/>
      <c r="AG203" s="114"/>
      <c r="AH203" s="141"/>
      <c r="AI203" s="91"/>
      <c r="AJ203" s="137"/>
      <c r="AK203" s="137"/>
      <c r="AM203" s="114"/>
      <c r="AN203" s="114"/>
      <c r="AO203" s="144"/>
      <c r="AP203" s="91"/>
      <c r="AQ203" s="387"/>
      <c r="AR203" s="482"/>
      <c r="AS203" s="482"/>
      <c r="AT203" s="482"/>
      <c r="AU203" s="137"/>
      <c r="AV203" s="137"/>
      <c r="AW203" s="482"/>
      <c r="AX203" s="142"/>
      <c r="AY203" s="114"/>
      <c r="AZ203" s="127"/>
      <c r="BA203" s="127"/>
      <c r="BB203" s="127"/>
      <c r="BC203" s="127"/>
      <c r="BI203" s="151" t="s">
        <v>60</v>
      </c>
      <c r="BJ203" s="91"/>
    </row>
    <row r="204" s="79" customFormat="1" ht="14.45" customHeight="1" spans="1:62">
      <c r="A204" s="79">
        <v>35</v>
      </c>
      <c r="C204" s="463" t="s">
        <v>69</v>
      </c>
      <c r="D204" s="79" t="s">
        <v>231</v>
      </c>
      <c r="E204" s="79" t="s">
        <v>232</v>
      </c>
      <c r="F204" s="79" t="s">
        <v>231</v>
      </c>
      <c r="G204" s="486"/>
      <c r="H204" s="79" t="s">
        <v>93</v>
      </c>
      <c r="I204" s="79" t="s">
        <v>232</v>
      </c>
      <c r="J204" s="194">
        <v>270</v>
      </c>
      <c r="K204" s="488"/>
      <c r="L204" s="194"/>
      <c r="M204" s="194"/>
      <c r="P204" s="91"/>
      <c r="Q204" s="91"/>
      <c r="T204" s="463"/>
      <c r="U204" s="463"/>
      <c r="V204" s="463"/>
      <c r="X204" s="193"/>
      <c r="Z204" s="192"/>
      <c r="AA204" s="192"/>
      <c r="AB204" s="192"/>
      <c r="AC204" s="531"/>
      <c r="AD204" s="535"/>
      <c r="AE204" s="531"/>
      <c r="AF204" s="531"/>
      <c r="AG204" s="531"/>
      <c r="AH204" s="532"/>
      <c r="AI204" s="91"/>
      <c r="AJ204" s="225"/>
      <c r="AK204" s="225"/>
      <c r="AM204" s="192"/>
      <c r="AN204" s="192"/>
      <c r="AO204" s="490"/>
      <c r="AP204" s="91"/>
      <c r="AQ204" s="463"/>
      <c r="AR204" s="491"/>
      <c r="AS204" s="491"/>
      <c r="AT204" s="491"/>
      <c r="AU204" s="225"/>
      <c r="AV204" s="225"/>
      <c r="AW204" s="491"/>
      <c r="AX204" s="492">
        <f>SUM(AX196:AX203)</f>
        <v>264.507</v>
      </c>
      <c r="AY204" s="192"/>
      <c r="AZ204" s="150">
        <f>SUM(AZ196:AZ203)</f>
        <v>1629363.12</v>
      </c>
      <c r="BA204" s="150">
        <f>SUM(BA196:BA203)</f>
        <v>608400</v>
      </c>
      <c r="BB204" s="150">
        <f>SUM(BB196:BB203)</f>
        <v>1080000</v>
      </c>
      <c r="BC204" s="150">
        <f>SUM(BC196:BC203)</f>
        <v>59036.8799999999</v>
      </c>
      <c r="BI204" s="151" t="s">
        <v>60</v>
      </c>
      <c r="BJ204" s="91"/>
    </row>
    <row r="205" s="76" customFormat="1" ht="57.6" customHeight="1" outlineLevel="1" spans="1:62">
      <c r="C205" s="387"/>
      <c r="D205" s="76" t="s">
        <v>235</v>
      </c>
      <c r="E205" s="76" t="s">
        <v>236</v>
      </c>
      <c r="F205" s="76" t="s">
        <v>235</v>
      </c>
      <c r="G205" s="479"/>
      <c r="H205" s="113" t="s">
        <v>237</v>
      </c>
      <c r="I205" s="76" t="s">
        <v>236</v>
      </c>
      <c r="J205" s="146">
        <v>1960400</v>
      </c>
      <c r="K205" s="146">
        <v>0.018</v>
      </c>
      <c r="L205" s="147">
        <f>J205*K205</f>
        <v>35287.2</v>
      </c>
      <c r="M205" s="147"/>
      <c r="N205" s="148"/>
      <c r="P205" s="91"/>
      <c r="Q205" s="91"/>
      <c r="R205" s="76" t="s">
        <v>88</v>
      </c>
      <c r="S205" s="76" t="s">
        <v>238</v>
      </c>
      <c r="T205" s="387">
        <v>45657</v>
      </c>
      <c r="U205" s="387"/>
      <c r="V205" s="387"/>
      <c r="Y205" s="76">
        <v>1960400</v>
      </c>
      <c r="Z205" s="114">
        <v>0.137</v>
      </c>
      <c r="AA205" s="114">
        <f>Y205*Z205</f>
        <v>268574.8</v>
      </c>
      <c r="AB205" s="114"/>
      <c r="AC205" s="114"/>
      <c r="AD205" s="140"/>
      <c r="AE205" s="114"/>
      <c r="AF205" s="114"/>
      <c r="AG205" s="114"/>
      <c r="AH205" s="141"/>
      <c r="AI205" s="91"/>
      <c r="AJ205" s="137"/>
      <c r="AK205" s="142">
        <v>1960400</v>
      </c>
      <c r="AL205" s="263">
        <v>0.0185</v>
      </c>
      <c r="AM205" s="127">
        <f>AK205*AL205</f>
        <v>36267.4</v>
      </c>
      <c r="AN205" s="127">
        <v>7253.48</v>
      </c>
      <c r="AO205" s="144"/>
      <c r="AP205" s="91"/>
      <c r="AQ205" s="387"/>
      <c r="AR205" s="482"/>
      <c r="AS205" s="482"/>
      <c r="AT205" s="482"/>
      <c r="AU205" s="137"/>
      <c r="AV205" s="137"/>
      <c r="AW205" s="482"/>
      <c r="AX205" s="142">
        <v>1960400</v>
      </c>
      <c r="AY205" s="263">
        <v>0.0185</v>
      </c>
      <c r="AZ205" s="127">
        <f>AX205*AY205</f>
        <v>36267.4</v>
      </c>
      <c r="BA205" s="127">
        <v>7253.48</v>
      </c>
      <c r="BB205" s="127">
        <v>29013.92</v>
      </c>
      <c r="BC205" s="150">
        <f>BA205+BB205-AZ205</f>
        <v>0</v>
      </c>
      <c r="BI205" s="151" t="s">
        <v>60</v>
      </c>
      <c r="BJ205" s="91"/>
    </row>
    <row r="206" s="76" customFormat="1" ht="57.6" customHeight="1" outlineLevel="1" spans="1:62">
      <c r="C206" s="387"/>
      <c r="G206" s="479"/>
      <c r="H206" s="113"/>
      <c r="J206" s="146"/>
      <c r="K206" s="146"/>
      <c r="L206" s="147"/>
      <c r="M206" s="147"/>
      <c r="N206" s="148"/>
      <c r="P206" s="91"/>
      <c r="Q206" s="91"/>
      <c r="R206" s="501" t="s">
        <v>95</v>
      </c>
      <c r="T206" s="387"/>
      <c r="U206" s="387"/>
      <c r="V206" s="387"/>
      <c r="X206" s="112"/>
      <c r="Y206" s="129"/>
      <c r="Z206" s="130"/>
      <c r="AA206" s="119">
        <f>-(AZ205*0.13/1.13)*7.1</f>
        <v>-29623.725840708</v>
      </c>
      <c r="AB206" s="114"/>
      <c r="AC206" s="114"/>
      <c r="AD206" s="140"/>
      <c r="AE206" s="114"/>
      <c r="AF206" s="114"/>
      <c r="AG206" s="114"/>
      <c r="AH206" s="141"/>
      <c r="AI206" s="91"/>
      <c r="AJ206" s="137"/>
      <c r="AK206" s="142"/>
      <c r="AL206" s="263"/>
      <c r="AM206" s="127"/>
      <c r="AN206" s="127">
        <v>29013.92</v>
      </c>
      <c r="AO206" s="144"/>
      <c r="AP206" s="91"/>
      <c r="AQ206" s="387"/>
      <c r="AR206" s="482"/>
      <c r="AS206" s="482"/>
      <c r="AT206" s="482"/>
      <c r="AU206" s="137"/>
      <c r="AV206" s="137"/>
      <c r="AW206" s="482"/>
      <c r="AX206" s="142"/>
      <c r="AY206" s="263"/>
      <c r="AZ206" s="127"/>
      <c r="BA206" s="127"/>
      <c r="BB206" s="127"/>
      <c r="BC206" s="150"/>
      <c r="BI206" s="151"/>
      <c r="BJ206" s="91"/>
    </row>
    <row r="207" s="79" customFormat="1" ht="14.45" customHeight="1" spans="1:62">
      <c r="A207" s="79">
        <v>36</v>
      </c>
      <c r="C207" s="463" t="s">
        <v>69</v>
      </c>
      <c r="D207" s="79" t="s">
        <v>235</v>
      </c>
      <c r="E207" s="79" t="s">
        <v>236</v>
      </c>
      <c r="F207" s="79" t="s">
        <v>235</v>
      </c>
      <c r="G207" s="486"/>
      <c r="H207" s="79" t="s">
        <v>142</v>
      </c>
      <c r="I207" s="79" t="s">
        <v>236</v>
      </c>
      <c r="J207" s="505">
        <f>AX207</f>
        <v>1960400</v>
      </c>
      <c r="K207" s="487"/>
      <c r="L207" s="488"/>
      <c r="M207" s="488"/>
      <c r="N207" s="489"/>
      <c r="P207" s="91"/>
      <c r="Q207" s="91"/>
      <c r="T207" s="463"/>
      <c r="U207" s="463"/>
      <c r="V207" s="463"/>
      <c r="X207" s="193"/>
      <c r="Z207" s="192"/>
      <c r="AA207" s="192">
        <f>SUM(AA205:AA206)</f>
        <v>238951.074159292</v>
      </c>
      <c r="AB207" s="192"/>
      <c r="AC207" s="192"/>
      <c r="AD207" s="196"/>
      <c r="AE207" s="192"/>
      <c r="AF207" s="192"/>
      <c r="AG207" s="192"/>
      <c r="AH207" s="227"/>
      <c r="AI207" s="91"/>
      <c r="AJ207" s="225"/>
      <c r="AK207" s="225"/>
      <c r="AM207" s="192">
        <f>SUM(AM205:AM206)</f>
        <v>36267.4</v>
      </c>
      <c r="AN207" s="192">
        <f>SUM(AN205:AN206)</f>
        <v>36267.4</v>
      </c>
      <c r="AO207" s="490"/>
      <c r="AP207" s="91"/>
      <c r="AQ207" s="463"/>
      <c r="AR207" s="491"/>
      <c r="AS207" s="491"/>
      <c r="AT207" s="491"/>
      <c r="AU207" s="225"/>
      <c r="AV207" s="225"/>
      <c r="AW207" s="491"/>
      <c r="AX207" s="492">
        <v>1960400</v>
      </c>
      <c r="AY207" s="192"/>
      <c r="AZ207" s="150">
        <v>36267.4</v>
      </c>
      <c r="BA207" s="150">
        <v>7228.48</v>
      </c>
      <c r="BB207" s="150"/>
      <c r="BC207" s="150">
        <f>SUM(BC205)</f>
        <v>0</v>
      </c>
      <c r="BI207" s="151" t="s">
        <v>60</v>
      </c>
      <c r="BJ207" s="91"/>
    </row>
    <row r="208" s="76" customFormat="1" ht="14.45" customHeight="1" outlineLevel="2" spans="1:62">
      <c r="C208" s="387">
        <v>45560</v>
      </c>
      <c r="D208" s="76" t="s">
        <v>239</v>
      </c>
      <c r="E208" s="76" t="s">
        <v>240</v>
      </c>
      <c r="F208" s="76" t="s">
        <v>239</v>
      </c>
      <c r="G208" s="479"/>
      <c r="H208" s="76" t="s">
        <v>93</v>
      </c>
      <c r="I208" s="76" t="s">
        <v>240</v>
      </c>
      <c r="J208" s="129">
        <v>48</v>
      </c>
      <c r="K208" s="131">
        <v>6490</v>
      </c>
      <c r="L208" s="131">
        <f>J208*K208</f>
        <v>311520</v>
      </c>
      <c r="M208" s="131"/>
      <c r="N208" s="131">
        <f>159057/2+388000/2</f>
        <v>273528.5</v>
      </c>
      <c r="O208" s="132">
        <f>L208-N208</f>
        <v>37991.5</v>
      </c>
      <c r="P208" s="91"/>
      <c r="Q208" s="91"/>
      <c r="R208" s="76" t="s">
        <v>56</v>
      </c>
      <c r="S208" s="76" t="s">
        <v>57</v>
      </c>
      <c r="T208" s="387">
        <v>45589</v>
      </c>
      <c r="U208" s="387">
        <f>T208+60</f>
        <v>45649</v>
      </c>
      <c r="V208" s="387"/>
      <c r="X208" s="112"/>
      <c r="Y208" s="76">
        <v>49.09</v>
      </c>
      <c r="Z208" s="134">
        <v>3660</v>
      </c>
      <c r="AA208" s="114">
        <f>Y208*Z208</f>
        <v>179669.4</v>
      </c>
      <c r="AB208" s="134">
        <f>AA208</f>
        <v>179669.4</v>
      </c>
      <c r="AC208" s="134">
        <f>AA208-AB208</f>
        <v>0</v>
      </c>
      <c r="AD208" s="135"/>
      <c r="AE208" s="134"/>
      <c r="AF208" s="134"/>
      <c r="AG208" s="134"/>
      <c r="AH208" s="136"/>
      <c r="AI208" s="91"/>
      <c r="AJ208" s="137"/>
      <c r="AK208" s="137">
        <v>42.337</v>
      </c>
      <c r="AL208" s="134">
        <v>5892</v>
      </c>
      <c r="AM208" s="114">
        <f>AL208*AK208</f>
        <v>249449.604</v>
      </c>
      <c r="AN208" s="114">
        <f>N208</f>
        <v>273528.5</v>
      </c>
      <c r="AO208" s="141">
        <f>AM208-AN208</f>
        <v>-24078.896</v>
      </c>
      <c r="AP208" s="91"/>
      <c r="AQ208" s="387"/>
      <c r="AR208" s="482"/>
      <c r="AS208" s="482"/>
      <c r="AT208" s="482"/>
      <c r="AU208" s="137"/>
      <c r="AV208" s="137"/>
      <c r="AW208" s="482"/>
      <c r="AX208" s="137">
        <v>42.503</v>
      </c>
      <c r="AY208" s="134">
        <v>5892</v>
      </c>
      <c r="AZ208" s="114">
        <f>AY208*AX208</f>
        <v>250427.676</v>
      </c>
      <c r="BA208" s="152"/>
      <c r="BB208" s="152">
        <v>388000</v>
      </c>
      <c r="BC208" s="127">
        <f>BA208+BB208-AZ208</f>
        <v>137572.324</v>
      </c>
      <c r="BI208" s="75"/>
      <c r="BJ208" s="91"/>
    </row>
    <row r="209" s="76" customFormat="1" ht="14.45" customHeight="1" outlineLevel="2" spans="1:62">
      <c r="C209" s="387"/>
      <c r="G209" s="479"/>
      <c r="J209" s="129"/>
      <c r="K209" s="131"/>
      <c r="L209" s="131"/>
      <c r="M209" s="131"/>
      <c r="N209" s="131"/>
      <c r="O209" s="132"/>
      <c r="P209" s="91"/>
      <c r="Q209" s="91"/>
      <c r="S209" s="76" t="s">
        <v>61</v>
      </c>
      <c r="T209" s="387"/>
      <c r="U209" s="387"/>
      <c r="V209" s="387"/>
      <c r="X209" s="112"/>
      <c r="Z209" s="134"/>
      <c r="AA209" s="114"/>
      <c r="AB209" s="134"/>
      <c r="AC209" s="134"/>
      <c r="AD209" s="135">
        <v>49.09</v>
      </c>
      <c r="AE209" s="134">
        <v>30</v>
      </c>
      <c r="AF209" s="114">
        <f>AD209*AE209</f>
        <v>1472.7</v>
      </c>
      <c r="AG209" s="134">
        <v>0</v>
      </c>
      <c r="AH209" s="136">
        <f>AF209-AG209</f>
        <v>1472.7</v>
      </c>
      <c r="AI209" s="91"/>
      <c r="AJ209" s="137"/>
      <c r="AK209" s="137"/>
      <c r="AL209" s="134"/>
      <c r="AM209" s="114"/>
      <c r="AN209" s="114"/>
      <c r="AO209" s="141"/>
      <c r="AP209" s="91"/>
      <c r="AQ209" s="387"/>
      <c r="AR209" s="482"/>
      <c r="AS209" s="482"/>
      <c r="AT209" s="482"/>
      <c r="AU209" s="137"/>
      <c r="AV209" s="137"/>
      <c r="AW209" s="482"/>
      <c r="AX209" s="137"/>
      <c r="AY209" s="134"/>
      <c r="AZ209" s="114"/>
      <c r="BA209" s="114"/>
      <c r="BB209" s="127"/>
      <c r="BC209" s="127"/>
      <c r="BI209" s="75"/>
      <c r="BJ209" s="91"/>
    </row>
    <row r="210" s="76" customFormat="1" ht="14.45" customHeight="1" outlineLevel="2" spans="1:62">
      <c r="C210" s="387"/>
      <c r="G210" s="479"/>
      <c r="J210" s="129"/>
      <c r="K210" s="131"/>
      <c r="L210" s="131"/>
      <c r="M210" s="131"/>
      <c r="N210" s="131"/>
      <c r="O210" s="132"/>
      <c r="P210" s="91"/>
      <c r="Q210" s="91"/>
      <c r="S210" s="76" t="s">
        <v>62</v>
      </c>
      <c r="T210" s="387"/>
      <c r="U210" s="387"/>
      <c r="V210" s="387"/>
      <c r="X210" s="112"/>
      <c r="Y210" s="76">
        <v>4.68</v>
      </c>
      <c r="Z210" s="134">
        <v>-3200</v>
      </c>
      <c r="AA210" s="114">
        <f>Y210*Z210</f>
        <v>-14976</v>
      </c>
      <c r="AB210" s="134">
        <f>AA210</f>
        <v>-14976</v>
      </c>
      <c r="AC210" s="114">
        <f>AB210</f>
        <v>-14976</v>
      </c>
      <c r="AD210" s="135">
        <v>0.100044772586372</v>
      </c>
      <c r="AE210" s="134">
        <v>-2300</v>
      </c>
      <c r="AF210" s="114">
        <f>AD210*AE210</f>
        <v>-230.102976948656</v>
      </c>
      <c r="AG210" s="134"/>
      <c r="AH210" s="136"/>
      <c r="AI210" s="91"/>
      <c r="AJ210" s="137"/>
      <c r="AK210" s="137"/>
      <c r="AL210" s="134"/>
      <c r="AM210" s="114"/>
      <c r="AN210" s="114"/>
      <c r="AO210" s="141"/>
      <c r="AP210" s="91"/>
      <c r="AQ210" s="387"/>
      <c r="AR210" s="482"/>
      <c r="AS210" s="482"/>
      <c r="AT210" s="482"/>
      <c r="AU210" s="137"/>
      <c r="AV210" s="137"/>
      <c r="AW210" s="482"/>
      <c r="AX210" s="137"/>
      <c r="AY210" s="134"/>
      <c r="AZ210" s="114"/>
      <c r="BA210" s="114"/>
      <c r="BB210" s="127"/>
      <c r="BC210" s="127"/>
      <c r="BI210" s="75"/>
      <c r="BJ210" s="91"/>
    </row>
    <row r="211" s="76" customFormat="1" ht="14.45" customHeight="1" outlineLevel="2" spans="1:62">
      <c r="C211" s="387"/>
      <c r="G211" s="479"/>
      <c r="J211" s="129"/>
      <c r="K211" s="131"/>
      <c r="L211" s="131"/>
      <c r="M211" s="131"/>
      <c r="N211" s="131"/>
      <c r="O211" s="132"/>
      <c r="P211" s="91"/>
      <c r="Q211" s="91"/>
      <c r="S211" s="76" t="s">
        <v>63</v>
      </c>
      <c r="T211" s="387"/>
      <c r="U211" s="387"/>
      <c r="V211" s="387"/>
      <c r="X211" s="112"/>
      <c r="Z211" s="134"/>
      <c r="AA211" s="114"/>
      <c r="AB211" s="134"/>
      <c r="AC211" s="134"/>
      <c r="AD211" s="135">
        <v>44.68</v>
      </c>
      <c r="AE211" s="134">
        <v>20</v>
      </c>
      <c r="AF211" s="114">
        <f>AD211*AE211</f>
        <v>893.6</v>
      </c>
      <c r="AG211" s="134"/>
      <c r="AH211" s="136"/>
      <c r="AI211" s="91"/>
      <c r="AJ211" s="137"/>
      <c r="AK211" s="137"/>
      <c r="AL211" s="134"/>
      <c r="AM211" s="114"/>
      <c r="AN211" s="114"/>
      <c r="AO211" s="141"/>
      <c r="AP211" s="91"/>
      <c r="AQ211" s="387"/>
      <c r="AR211" s="482"/>
      <c r="AS211" s="482"/>
      <c r="AT211" s="482"/>
      <c r="AU211" s="137"/>
      <c r="AV211" s="137"/>
      <c r="AW211" s="482"/>
      <c r="AX211" s="137"/>
      <c r="AY211" s="134"/>
      <c r="AZ211" s="114"/>
      <c r="BA211" s="114"/>
      <c r="BB211" s="127"/>
      <c r="BC211" s="127"/>
      <c r="BI211" s="75"/>
      <c r="BJ211" s="91"/>
    </row>
    <row r="212" s="76" customFormat="1" ht="14.45" customHeight="1" outlineLevel="2" spans="1:62">
      <c r="C212" s="387"/>
      <c r="G212" s="479"/>
      <c r="J212" s="129"/>
      <c r="K212" s="131"/>
      <c r="L212" s="131"/>
      <c r="M212" s="131"/>
      <c r="N212" s="131"/>
      <c r="O212" s="132"/>
      <c r="P212" s="91"/>
      <c r="Q212" s="91"/>
      <c r="R212" s="76" t="s">
        <v>64</v>
      </c>
      <c r="S212" s="76" t="s">
        <v>65</v>
      </c>
      <c r="T212" s="387">
        <v>45610</v>
      </c>
      <c r="U212" s="387">
        <f>T212+21</f>
        <v>45631</v>
      </c>
      <c r="V212" s="387"/>
      <c r="X212" s="112"/>
      <c r="Y212" s="76">
        <v>42.214</v>
      </c>
      <c r="Z212" s="134">
        <v>650</v>
      </c>
      <c r="AA212" s="114">
        <f>Y212*Z212</f>
        <v>27439.1</v>
      </c>
      <c r="AB212" s="134"/>
      <c r="AC212" s="134">
        <f>AA212-AB212</f>
        <v>27439.1</v>
      </c>
      <c r="AD212" s="135"/>
      <c r="AE212" s="134"/>
      <c r="AF212" s="114"/>
      <c r="AG212" s="134"/>
      <c r="AH212" s="136"/>
      <c r="AI212" s="91"/>
      <c r="AJ212" s="137"/>
      <c r="AK212" s="137"/>
      <c r="AL212" s="134"/>
      <c r="AM212" s="114"/>
      <c r="AN212" s="114"/>
      <c r="AO212" s="141"/>
      <c r="AP212" s="91"/>
      <c r="AQ212" s="387"/>
      <c r="AR212" s="482"/>
      <c r="AS212" s="482"/>
      <c r="AT212" s="482"/>
      <c r="AU212" s="137"/>
      <c r="AV212" s="137"/>
      <c r="AW212" s="482"/>
      <c r="AX212" s="137"/>
      <c r="AY212" s="134"/>
      <c r="AZ212" s="114"/>
      <c r="BA212" s="114"/>
      <c r="BB212" s="127"/>
      <c r="BC212" s="127"/>
      <c r="BI212" s="75"/>
      <c r="BJ212" s="91"/>
    </row>
    <row r="213" s="76" customFormat="1" ht="14.45" customHeight="1" outlineLevel="2" spans="1:62">
      <c r="C213" s="387"/>
      <c r="G213" s="479"/>
      <c r="J213" s="129"/>
      <c r="K213" s="131"/>
      <c r="L213" s="131"/>
      <c r="M213" s="131"/>
      <c r="N213" s="131"/>
      <c r="O213" s="132"/>
      <c r="P213" s="91"/>
      <c r="Q213" s="91"/>
      <c r="S213" s="76" t="s">
        <v>63</v>
      </c>
      <c r="T213" s="387"/>
      <c r="U213" s="387"/>
      <c r="V213" s="387"/>
      <c r="X213" s="112"/>
      <c r="Y213" s="76">
        <v>42.214</v>
      </c>
      <c r="Z213" s="134">
        <v>30</v>
      </c>
      <c r="AA213" s="114">
        <f>Y213*Z213</f>
        <v>1266.42</v>
      </c>
      <c r="AB213" s="134"/>
      <c r="AC213" s="134">
        <f>AA213-AB213</f>
        <v>1266.42</v>
      </c>
      <c r="AD213" s="135"/>
      <c r="AE213" s="134"/>
      <c r="AF213" s="114"/>
      <c r="AG213" s="134"/>
      <c r="AH213" s="136"/>
      <c r="AI213" s="91"/>
      <c r="AJ213" s="137"/>
      <c r="AK213" s="137"/>
      <c r="AL213" s="134"/>
      <c r="AM213" s="114"/>
      <c r="AN213" s="114"/>
      <c r="AO213" s="141"/>
      <c r="AP213" s="91"/>
      <c r="AQ213" s="387"/>
      <c r="AR213" s="482"/>
      <c r="AS213" s="482"/>
      <c r="AT213" s="482"/>
      <c r="AU213" s="137"/>
      <c r="AV213" s="137"/>
      <c r="AW213" s="482"/>
      <c r="AX213" s="137"/>
      <c r="AY213" s="134"/>
      <c r="AZ213" s="114"/>
      <c r="BA213" s="114"/>
      <c r="BB213" s="127"/>
      <c r="BC213" s="127"/>
      <c r="BI213" s="75"/>
      <c r="BJ213" s="91"/>
    </row>
    <row r="214" s="76" customFormat="1" ht="14.45" customHeight="1" outlineLevel="2" spans="1:62">
      <c r="C214" s="387"/>
      <c r="G214" s="479"/>
      <c r="J214" s="129"/>
      <c r="K214" s="131"/>
      <c r="L214" s="131"/>
      <c r="M214" s="131"/>
      <c r="N214" s="131"/>
      <c r="O214" s="132"/>
      <c r="P214" s="91"/>
      <c r="Q214" s="91"/>
      <c r="R214" s="76" t="s">
        <v>66</v>
      </c>
      <c r="S214" s="76" t="s">
        <v>67</v>
      </c>
      <c r="T214" s="387">
        <v>45627</v>
      </c>
      <c r="U214" s="387">
        <v>45627</v>
      </c>
      <c r="V214" s="387"/>
      <c r="X214" s="112"/>
      <c r="Y214" s="76">
        <v>42.337</v>
      </c>
      <c r="Z214" s="134">
        <v>1035</v>
      </c>
      <c r="AA214" s="114">
        <f>Y214*Z214</f>
        <v>43818.795</v>
      </c>
      <c r="AB214" s="114"/>
      <c r="AC214" s="134">
        <f>AA214-AB214</f>
        <v>43818.795</v>
      </c>
      <c r="AD214" s="135"/>
      <c r="AE214" s="134"/>
      <c r="AF214" s="114"/>
      <c r="AG214" s="134"/>
      <c r="AH214" s="136"/>
      <c r="AI214" s="91"/>
      <c r="AJ214" s="137"/>
      <c r="AK214" s="137"/>
      <c r="AL214" s="134"/>
      <c r="AM214" s="114"/>
      <c r="AN214" s="114"/>
      <c r="AO214" s="141"/>
      <c r="AP214" s="91"/>
      <c r="AQ214" s="387"/>
      <c r="AR214" s="482"/>
      <c r="AS214" s="482"/>
      <c r="AT214" s="482"/>
      <c r="AU214" s="137"/>
      <c r="AV214" s="137"/>
      <c r="AW214" s="482"/>
      <c r="AX214" s="137"/>
      <c r="AY214" s="134"/>
      <c r="AZ214" s="114"/>
      <c r="BA214" s="114"/>
      <c r="BB214" s="127"/>
      <c r="BC214" s="127"/>
      <c r="BI214" s="75"/>
      <c r="BJ214" s="91"/>
    </row>
    <row r="215" s="76" customFormat="1" ht="14.45" customHeight="1" outlineLevel="2" spans="1:62">
      <c r="C215" s="387">
        <v>45560</v>
      </c>
      <c r="D215" s="76" t="s">
        <v>239</v>
      </c>
      <c r="E215" s="76" t="s">
        <v>241</v>
      </c>
      <c r="F215" s="76" t="s">
        <v>239</v>
      </c>
      <c r="G215" s="479"/>
      <c r="H215" s="76" t="s">
        <v>93</v>
      </c>
      <c r="I215" s="76" t="s">
        <v>241</v>
      </c>
      <c r="J215" s="129">
        <v>48</v>
      </c>
      <c r="K215" s="131">
        <v>6980</v>
      </c>
      <c r="L215" s="131">
        <f>J215*K215</f>
        <v>335040</v>
      </c>
      <c r="M215" s="131"/>
      <c r="N215" s="131">
        <f>159057/2+388000/2</f>
        <v>273528.5</v>
      </c>
      <c r="O215" s="132">
        <f>L215-N215</f>
        <v>61511.5</v>
      </c>
      <c r="P215" s="91"/>
      <c r="Q215" s="91"/>
      <c r="R215" s="76" t="s">
        <v>56</v>
      </c>
      <c r="S215" s="76" t="s">
        <v>57</v>
      </c>
      <c r="T215" s="387">
        <v>45589</v>
      </c>
      <c r="U215" s="387">
        <f>T215+60</f>
        <v>45649</v>
      </c>
      <c r="V215" s="387"/>
      <c r="X215" s="112"/>
      <c r="Y215" s="76">
        <v>49.235</v>
      </c>
      <c r="Z215" s="134">
        <v>3660</v>
      </c>
      <c r="AA215" s="114">
        <f>Y215*Z215</f>
        <v>180200.1</v>
      </c>
      <c r="AB215" s="134">
        <f>AA215</f>
        <v>180200.1</v>
      </c>
      <c r="AC215" s="134">
        <f>AA215-AB215</f>
        <v>0</v>
      </c>
      <c r="AD215" s="135"/>
      <c r="AE215" s="134"/>
      <c r="AF215" s="134"/>
      <c r="AG215" s="134"/>
      <c r="AH215" s="136"/>
      <c r="AI215" s="91"/>
      <c r="AJ215" s="137"/>
      <c r="AK215" s="137">
        <v>44.592</v>
      </c>
      <c r="AL215" s="134">
        <v>6282</v>
      </c>
      <c r="AM215" s="114">
        <f>AL215*AK215</f>
        <v>280126.944</v>
      </c>
      <c r="AN215" s="114">
        <f>N215</f>
        <v>273528.5</v>
      </c>
      <c r="AO215" s="141">
        <f>AM215-AN215</f>
        <v>6598.44400000002</v>
      </c>
      <c r="AP215" s="91"/>
      <c r="AQ215" s="387"/>
      <c r="AR215" s="482"/>
      <c r="AS215" s="482"/>
      <c r="AT215" s="482"/>
      <c r="AU215" s="137"/>
      <c r="AV215" s="137"/>
      <c r="AW215" s="482"/>
      <c r="AX215" s="137">
        <v>45.198</v>
      </c>
      <c r="AY215" s="134">
        <v>6282</v>
      </c>
      <c r="AZ215" s="114">
        <f>AY215*AX215</f>
        <v>283933.836</v>
      </c>
      <c r="BA215" s="114"/>
      <c r="BB215" s="127">
        <v>159057</v>
      </c>
      <c r="BC215" s="127">
        <f>BA215+BB215-AZ215</f>
        <v>-124876.836</v>
      </c>
      <c r="BI215" s="75"/>
      <c r="BJ215" s="91"/>
    </row>
    <row r="216" s="76" customFormat="1" ht="14.45" customHeight="1" outlineLevel="2" spans="1:62">
      <c r="C216" s="387"/>
      <c r="G216" s="479"/>
      <c r="J216" s="129"/>
      <c r="K216" s="131"/>
      <c r="L216" s="131"/>
      <c r="M216" s="131"/>
      <c r="N216" s="131"/>
      <c r="O216" s="132"/>
      <c r="P216" s="91"/>
      <c r="Q216" s="91"/>
      <c r="S216" s="76" t="s">
        <v>61</v>
      </c>
      <c r="T216" s="387"/>
      <c r="U216" s="387"/>
      <c r="V216" s="387"/>
      <c r="Z216" s="114"/>
      <c r="AA216" s="114"/>
      <c r="AB216" s="114"/>
      <c r="AC216" s="114"/>
      <c r="AD216" s="135">
        <v>49.235</v>
      </c>
      <c r="AE216" s="134">
        <v>30</v>
      </c>
      <c r="AF216" s="114">
        <f>AD216*AE216</f>
        <v>1477.05</v>
      </c>
      <c r="AG216" s="134">
        <v>0</v>
      </c>
      <c r="AH216" s="136">
        <f>AF216-AG216</f>
        <v>1477.05</v>
      </c>
      <c r="AI216" s="91"/>
      <c r="AJ216" s="137"/>
      <c r="AK216" s="137"/>
      <c r="AM216" s="114"/>
      <c r="AN216" s="114"/>
      <c r="AO216" s="144"/>
      <c r="AP216" s="91"/>
      <c r="AQ216" s="387"/>
      <c r="AR216" s="482"/>
      <c r="AS216" s="482"/>
      <c r="AT216" s="482"/>
      <c r="AU216" s="137"/>
      <c r="AV216" s="137"/>
      <c r="AW216" s="482"/>
      <c r="AX216" s="142"/>
      <c r="AY216" s="114"/>
      <c r="AZ216" s="127"/>
      <c r="BA216" s="127"/>
      <c r="BB216" s="127"/>
      <c r="BC216" s="127"/>
      <c r="BI216" s="75"/>
      <c r="BJ216" s="91"/>
    </row>
    <row r="217" s="76" customFormat="1" ht="14.45" customHeight="1" outlineLevel="2" spans="1:62">
      <c r="C217" s="387"/>
      <c r="G217" s="479"/>
      <c r="J217" s="129"/>
      <c r="K217" s="131"/>
      <c r="L217" s="131"/>
      <c r="M217" s="131"/>
      <c r="N217" s="131"/>
      <c r="O217" s="132"/>
      <c r="P217" s="91"/>
      <c r="Q217" s="91"/>
      <c r="S217" s="76" t="s">
        <v>62</v>
      </c>
      <c r="T217" s="387"/>
      <c r="U217" s="387"/>
      <c r="V217" s="387"/>
      <c r="Y217" s="76">
        <v>1.432</v>
      </c>
      <c r="Z217" s="134">
        <v>-3200</v>
      </c>
      <c r="AA217" s="114">
        <f>Y217*Z217</f>
        <v>-4582.4</v>
      </c>
      <c r="AB217" s="134">
        <f>AA217</f>
        <v>-4582.4</v>
      </c>
      <c r="AC217" s="114">
        <f>AB217</f>
        <v>-4582.4</v>
      </c>
      <c r="AD217" s="135">
        <v>0.100340280674069</v>
      </c>
      <c r="AE217" s="134">
        <v>-2300</v>
      </c>
      <c r="AF217" s="114">
        <f>AD217*AE217</f>
        <v>-230.782645550359</v>
      </c>
      <c r="AG217" s="134"/>
      <c r="AH217" s="136"/>
      <c r="AI217" s="91"/>
      <c r="AJ217" s="137"/>
      <c r="AK217" s="137"/>
      <c r="AM217" s="114"/>
      <c r="AN217" s="114"/>
      <c r="AO217" s="144"/>
      <c r="AP217" s="91"/>
      <c r="AQ217" s="387"/>
      <c r="AR217" s="482"/>
      <c r="AS217" s="482"/>
      <c r="AT217" s="482"/>
      <c r="AU217" s="137"/>
      <c r="AV217" s="137"/>
      <c r="AW217" s="482"/>
      <c r="AX217" s="142"/>
      <c r="AY217" s="114"/>
      <c r="AZ217" s="127"/>
      <c r="BA217" s="127"/>
      <c r="BB217" s="127"/>
      <c r="BC217" s="127"/>
      <c r="BI217" s="75"/>
      <c r="BJ217" s="91"/>
    </row>
    <row r="218" s="76" customFormat="1" ht="14.45" customHeight="1" outlineLevel="2" spans="1:62">
      <c r="C218" s="387"/>
      <c r="G218" s="479"/>
      <c r="J218" s="129"/>
      <c r="K218" s="131"/>
      <c r="L218" s="131"/>
      <c r="M218" s="131"/>
      <c r="N218" s="131"/>
      <c r="O218" s="132"/>
      <c r="P218" s="91"/>
      <c r="Q218" s="91"/>
      <c r="S218" s="76" t="s">
        <v>63</v>
      </c>
      <c r="T218" s="387"/>
      <c r="U218" s="387"/>
      <c r="V218" s="387"/>
      <c r="Z218" s="134"/>
      <c r="AA218" s="114"/>
      <c r="AB218" s="134"/>
      <c r="AC218" s="114"/>
      <c r="AD218" s="135">
        <v>47.905</v>
      </c>
      <c r="AE218" s="134">
        <v>20</v>
      </c>
      <c r="AF218" s="114">
        <f>AD218*AE218</f>
        <v>958.1</v>
      </c>
      <c r="AG218" s="134"/>
      <c r="AH218" s="136"/>
      <c r="AI218" s="91"/>
      <c r="AJ218" s="137"/>
      <c r="AK218" s="137"/>
      <c r="AM218" s="114"/>
      <c r="AN218" s="114"/>
      <c r="AO218" s="144"/>
      <c r="AP218" s="91"/>
      <c r="AQ218" s="387"/>
      <c r="AR218" s="482"/>
      <c r="AS218" s="482"/>
      <c r="AT218" s="482"/>
      <c r="AU218" s="137"/>
      <c r="AV218" s="137"/>
      <c r="AW218" s="482"/>
      <c r="AX218" s="142"/>
      <c r="AY218" s="114"/>
      <c r="AZ218" s="127"/>
      <c r="BA218" s="127"/>
      <c r="BB218" s="127"/>
      <c r="BC218" s="127"/>
      <c r="BI218" s="75"/>
      <c r="BJ218" s="91"/>
    </row>
    <row r="219" s="76" customFormat="1" ht="14.45" customHeight="1" outlineLevel="2" spans="1:62">
      <c r="C219" s="387"/>
      <c r="G219" s="479"/>
      <c r="J219" s="129"/>
      <c r="K219" s="131"/>
      <c r="L219" s="131"/>
      <c r="M219" s="131"/>
      <c r="N219" s="131"/>
      <c r="O219" s="132"/>
      <c r="P219" s="91"/>
      <c r="Q219" s="91"/>
      <c r="R219" s="76" t="s">
        <v>64</v>
      </c>
      <c r="S219" s="76" t="s">
        <v>65</v>
      </c>
      <c r="T219" s="387">
        <v>45610</v>
      </c>
      <c r="U219" s="387">
        <f>T219+21</f>
        <v>45631</v>
      </c>
      <c r="V219" s="387"/>
      <c r="X219" s="112"/>
      <c r="Y219" s="76">
        <v>44.821</v>
      </c>
      <c r="Z219" s="134">
        <v>810</v>
      </c>
      <c r="AA219" s="114">
        <f>Y219*Z219</f>
        <v>36305.01</v>
      </c>
      <c r="AB219" s="134"/>
      <c r="AC219" s="134">
        <f>AA219-AB219</f>
        <v>36305.01</v>
      </c>
      <c r="AD219" s="135"/>
      <c r="AE219" s="134"/>
      <c r="AF219" s="114"/>
      <c r="AG219" s="134"/>
      <c r="AH219" s="136"/>
      <c r="AI219" s="91"/>
      <c r="AJ219" s="137"/>
      <c r="AK219" s="137"/>
      <c r="AM219" s="114"/>
      <c r="AN219" s="114"/>
      <c r="AO219" s="144"/>
      <c r="AP219" s="91"/>
      <c r="AQ219" s="387"/>
      <c r="AR219" s="482"/>
      <c r="AS219" s="482"/>
      <c r="AT219" s="482"/>
      <c r="AU219" s="137"/>
      <c r="AV219" s="137"/>
      <c r="AW219" s="482"/>
      <c r="AX219" s="142"/>
      <c r="AY219" s="114"/>
      <c r="AZ219" s="127"/>
      <c r="BA219" s="127"/>
      <c r="BB219" s="127"/>
      <c r="BC219" s="127"/>
      <c r="BI219" s="75"/>
      <c r="BJ219" s="91"/>
    </row>
    <row r="220" s="76" customFormat="1" ht="14.45" customHeight="1" outlineLevel="2" spans="1:62">
      <c r="C220" s="387"/>
      <c r="G220" s="479"/>
      <c r="J220" s="129"/>
      <c r="K220" s="131"/>
      <c r="L220" s="131"/>
      <c r="M220" s="131"/>
      <c r="N220" s="131"/>
      <c r="O220" s="132"/>
      <c r="P220" s="91"/>
      <c r="Q220" s="91"/>
      <c r="S220" s="76" t="s">
        <v>63</v>
      </c>
      <c r="T220" s="387"/>
      <c r="U220" s="387"/>
      <c r="V220" s="387"/>
      <c r="X220" s="112"/>
      <c r="Y220" s="76">
        <v>44.821</v>
      </c>
      <c r="Z220" s="134">
        <v>30</v>
      </c>
      <c r="AA220" s="114">
        <f>Y220*Z220</f>
        <v>1344.63</v>
      </c>
      <c r="AB220" s="134"/>
      <c r="AC220" s="134">
        <f>AA220-AB220</f>
        <v>1344.63</v>
      </c>
      <c r="AD220" s="135"/>
      <c r="AE220" s="134"/>
      <c r="AF220" s="114"/>
      <c r="AG220" s="134"/>
      <c r="AH220" s="136"/>
      <c r="AI220" s="91"/>
      <c r="AJ220" s="137"/>
      <c r="AK220" s="137"/>
      <c r="AM220" s="114"/>
      <c r="AN220" s="114"/>
      <c r="AO220" s="144"/>
      <c r="AP220" s="91"/>
      <c r="AQ220" s="387"/>
      <c r="AR220" s="482"/>
      <c r="AS220" s="482"/>
      <c r="AT220" s="482"/>
      <c r="AU220" s="137"/>
      <c r="AV220" s="137"/>
      <c r="AW220" s="482"/>
      <c r="AX220" s="142"/>
      <c r="AY220" s="114"/>
      <c r="AZ220" s="127"/>
      <c r="BA220" s="127"/>
      <c r="BB220" s="127"/>
      <c r="BC220" s="127"/>
      <c r="BI220" s="75"/>
      <c r="BJ220" s="91"/>
    </row>
    <row r="221" s="76" customFormat="1" ht="14.45" customHeight="1" outlineLevel="2" spans="1:62">
      <c r="C221" s="387"/>
      <c r="G221" s="479"/>
      <c r="J221" s="129"/>
      <c r="K221" s="131"/>
      <c r="L221" s="131"/>
      <c r="M221" s="131"/>
      <c r="N221" s="131">
        <f>SUM(N208:N220)</f>
        <v>547057</v>
      </c>
      <c r="O221" s="131">
        <f>SUM(O208:O220)</f>
        <v>99503</v>
      </c>
      <c r="P221" s="91"/>
      <c r="Q221" s="91"/>
      <c r="R221" s="76" t="s">
        <v>66</v>
      </c>
      <c r="S221" s="76" t="s">
        <v>67</v>
      </c>
      <c r="T221" s="387"/>
      <c r="U221" s="387"/>
      <c r="V221" s="387"/>
      <c r="X221" s="112"/>
      <c r="Y221" s="76">
        <v>44.592</v>
      </c>
      <c r="Z221" s="134">
        <v>1270</v>
      </c>
      <c r="AA221" s="114">
        <f>Y221*Z221</f>
        <v>56631.84</v>
      </c>
      <c r="AB221" s="114"/>
      <c r="AC221" s="134">
        <f>AA221-AB221</f>
        <v>56631.84</v>
      </c>
      <c r="AD221" s="135"/>
      <c r="AE221" s="134"/>
      <c r="AF221" s="114"/>
      <c r="AG221" s="134"/>
      <c r="AH221" s="136"/>
      <c r="AI221" s="91"/>
      <c r="AJ221" s="137"/>
      <c r="AK221" s="137">
        <f>SUM(AK208:AK220)</f>
        <v>86.929</v>
      </c>
      <c r="AM221" s="114">
        <f>SUM(AM208:AM220)</f>
        <v>529576.548</v>
      </c>
      <c r="AN221" s="114"/>
      <c r="AO221" s="153"/>
      <c r="AP221" s="91"/>
      <c r="AQ221" s="387"/>
      <c r="AR221" s="482"/>
      <c r="AS221" s="482"/>
      <c r="AT221" s="482"/>
      <c r="AU221" s="137"/>
      <c r="AV221" s="137"/>
      <c r="AW221" s="482"/>
      <c r="AX221" s="142"/>
      <c r="AY221" s="114"/>
      <c r="AZ221" s="127"/>
      <c r="BA221" s="127"/>
      <c r="BB221" s="127"/>
      <c r="BC221" s="127"/>
      <c r="BI221" s="75"/>
      <c r="BJ221" s="91"/>
    </row>
    <row r="222" s="79" customFormat="1" ht="14.45" customHeight="1" spans="1:62">
      <c r="A222" s="79">
        <v>37</v>
      </c>
      <c r="C222" s="463" t="s">
        <v>69</v>
      </c>
      <c r="D222" s="79" t="s">
        <v>239</v>
      </c>
      <c r="E222" s="79" t="s">
        <v>242</v>
      </c>
      <c r="F222" s="79" t="s">
        <v>239</v>
      </c>
      <c r="G222" s="486"/>
      <c r="H222" s="79" t="s">
        <v>93</v>
      </c>
      <c r="I222" s="79" t="s">
        <v>242</v>
      </c>
      <c r="J222" s="194">
        <f>J208+J215</f>
        <v>96</v>
      </c>
      <c r="K222" s="194"/>
      <c r="L222" s="530">
        <f>SUM(L208:L221)</f>
        <v>646560</v>
      </c>
      <c r="M222" s="194"/>
      <c r="N222" s="530">
        <f>N221</f>
        <v>547057</v>
      </c>
      <c r="O222" s="530">
        <f>O221</f>
        <v>99503</v>
      </c>
      <c r="P222" s="91"/>
      <c r="Q222" s="91"/>
      <c r="T222" s="463"/>
      <c r="U222" s="463"/>
      <c r="V222" s="463"/>
      <c r="X222" s="193"/>
      <c r="Z222" s="192"/>
      <c r="AA222" s="192"/>
      <c r="AB222" s="192"/>
      <c r="AC222" s="192"/>
      <c r="AD222" s="196"/>
      <c r="AE222" s="192"/>
      <c r="AF222" s="192"/>
      <c r="AG222" s="192"/>
      <c r="AH222" s="227"/>
      <c r="AI222" s="91"/>
      <c r="AJ222" s="225"/>
      <c r="AK222" s="225">
        <f>AK221</f>
        <v>86.929</v>
      </c>
      <c r="AM222" s="192">
        <f>AM221</f>
        <v>529576.548</v>
      </c>
      <c r="AN222" s="192"/>
      <c r="AO222" s="547"/>
      <c r="AP222" s="91"/>
      <c r="AQ222" s="463"/>
      <c r="AR222" s="491"/>
      <c r="AS222" s="491"/>
      <c r="AT222" s="491"/>
      <c r="AU222" s="225"/>
      <c r="AV222" s="225"/>
      <c r="AW222" s="491"/>
      <c r="AX222" s="492">
        <f>AX208+AX215</f>
        <v>87.701</v>
      </c>
      <c r="AY222" s="192"/>
      <c r="AZ222" s="150">
        <f>AZ208+AZ215</f>
        <v>534361.512</v>
      </c>
      <c r="BA222" s="150"/>
      <c r="BB222" s="150">
        <f>SUM(BB208:BB221)</f>
        <v>547057</v>
      </c>
      <c r="BC222" s="150">
        <f>SUM(BC208:BC221)</f>
        <v>12695.488</v>
      </c>
      <c r="BI222" s="478" t="s">
        <v>60</v>
      </c>
      <c r="BJ222" s="91"/>
    </row>
    <row r="223" s="76" customFormat="1" ht="14.45" customHeight="1" outlineLevel="1" spans="1:62">
      <c r="C223" s="387"/>
      <c r="D223" s="76" t="s">
        <v>243</v>
      </c>
      <c r="E223" s="113" t="s">
        <v>244</v>
      </c>
      <c r="F223" s="76" t="s">
        <v>243</v>
      </c>
      <c r="G223" s="479"/>
      <c r="H223" s="76" t="s">
        <v>93</v>
      </c>
      <c r="I223" s="113" t="s">
        <v>244</v>
      </c>
      <c r="J223" s="146">
        <v>14.729</v>
      </c>
      <c r="K223" s="146">
        <v>9680</v>
      </c>
      <c r="L223" s="146">
        <f>J223*K223</f>
        <v>142576.72</v>
      </c>
      <c r="M223" s="146"/>
      <c r="N223" s="148"/>
      <c r="P223" s="91"/>
      <c r="Q223" s="91"/>
      <c r="R223" s="76" t="s">
        <v>88</v>
      </c>
      <c r="T223" s="387"/>
      <c r="U223" s="387"/>
      <c r="V223" s="387"/>
      <c r="Y223" s="76">
        <v>14.729</v>
      </c>
      <c r="Z223" s="114">
        <v>9300</v>
      </c>
      <c r="AA223" s="114">
        <f>Y223*Z223</f>
        <v>136979.7</v>
      </c>
      <c r="AB223" s="114">
        <v>136979.7</v>
      </c>
      <c r="AC223" s="114"/>
      <c r="AD223" s="140"/>
      <c r="AE223" s="114"/>
      <c r="AF223" s="114"/>
      <c r="AG223" s="114"/>
      <c r="AH223" s="141"/>
      <c r="AI223" s="91"/>
      <c r="AJ223" s="137"/>
      <c r="AK223" s="142">
        <v>25.334</v>
      </c>
      <c r="AL223" s="253">
        <v>9680</v>
      </c>
      <c r="AM223" s="127">
        <v>243112.12</v>
      </c>
      <c r="AN223" s="114"/>
      <c r="AO223" s="144"/>
      <c r="AP223" s="91"/>
      <c r="AQ223" s="387"/>
      <c r="AR223" s="482"/>
      <c r="AS223" s="482"/>
      <c r="AT223" s="482"/>
      <c r="AU223" s="137"/>
      <c r="AV223" s="137"/>
      <c r="AW223" s="482"/>
      <c r="AX223" s="142">
        <v>25.334</v>
      </c>
      <c r="AY223" s="253">
        <v>9680</v>
      </c>
      <c r="AZ223" s="127">
        <v>243112.12</v>
      </c>
      <c r="BA223" s="129">
        <v>139120</v>
      </c>
      <c r="BB223" s="127">
        <v>243112.12</v>
      </c>
      <c r="BC223" s="127">
        <f>BB223+BA223-AZ223</f>
        <v>139120</v>
      </c>
      <c r="BI223" s="75"/>
      <c r="BJ223" s="91"/>
    </row>
    <row r="224" s="76" customFormat="1" ht="14.45" customHeight="1" outlineLevel="1" spans="1:62">
      <c r="C224" s="387"/>
      <c r="E224" s="113" t="s">
        <v>245</v>
      </c>
      <c r="G224" s="479"/>
      <c r="I224" s="113" t="s">
        <v>245</v>
      </c>
      <c r="J224" s="146">
        <v>10.605</v>
      </c>
      <c r="K224" s="146">
        <v>9480</v>
      </c>
      <c r="L224" s="146">
        <f>J224*K224</f>
        <v>100535.4</v>
      </c>
      <c r="M224" s="146"/>
      <c r="N224" s="148"/>
      <c r="P224" s="91"/>
      <c r="Q224" s="91"/>
      <c r="R224" s="76" t="s">
        <v>88</v>
      </c>
      <c r="T224" s="387"/>
      <c r="U224" s="387"/>
      <c r="V224" s="387"/>
      <c r="Y224" s="76">
        <v>31.318</v>
      </c>
      <c r="Z224" s="114">
        <v>9100</v>
      </c>
      <c r="AA224" s="114">
        <f>Y224*Z224</f>
        <v>284993.8</v>
      </c>
      <c r="AB224" s="114">
        <v>284993.8</v>
      </c>
      <c r="AC224" s="114"/>
      <c r="AD224" s="140"/>
      <c r="AE224" s="114"/>
      <c r="AF224" s="114"/>
      <c r="AG224" s="114"/>
      <c r="AH224" s="141"/>
      <c r="AI224" s="91"/>
      <c r="AJ224" s="137"/>
      <c r="AK224" s="137"/>
      <c r="AM224" s="114"/>
      <c r="AN224" s="114"/>
      <c r="AO224" s="144"/>
      <c r="AP224" s="91"/>
      <c r="AQ224" s="387"/>
      <c r="AR224" s="482"/>
      <c r="AS224" s="482"/>
      <c r="AT224" s="482"/>
      <c r="AU224" s="137"/>
      <c r="AV224" s="137"/>
      <c r="AW224" s="482"/>
      <c r="AX224" s="142"/>
      <c r="AY224" s="253"/>
      <c r="AZ224" s="127"/>
      <c r="BA224" s="129"/>
      <c r="BB224" s="127"/>
      <c r="BC224" s="127"/>
      <c r="BI224" s="75"/>
      <c r="BJ224" s="91"/>
    </row>
    <row r="225" s="76" customFormat="1" ht="14.45" customHeight="1" outlineLevel="1" spans="1:62">
      <c r="C225" s="387"/>
      <c r="D225" s="76" t="s">
        <v>246</v>
      </c>
      <c r="E225" s="76" t="s">
        <v>245</v>
      </c>
      <c r="F225" s="76" t="s">
        <v>246</v>
      </c>
      <c r="G225" s="479"/>
      <c r="H225" s="76" t="s">
        <v>93</v>
      </c>
      <c r="I225" s="76" t="s">
        <v>245</v>
      </c>
      <c r="J225" s="146">
        <v>20.713</v>
      </c>
      <c r="K225" s="146">
        <v>9480</v>
      </c>
      <c r="L225" s="146">
        <f>J225*K225</f>
        <v>196359.24</v>
      </c>
      <c r="M225" s="146"/>
      <c r="N225" s="148"/>
      <c r="P225" s="91"/>
      <c r="Q225" s="91"/>
      <c r="T225" s="387"/>
      <c r="U225" s="387"/>
      <c r="V225" s="387"/>
      <c r="Z225" s="114"/>
      <c r="AA225" s="114"/>
      <c r="AB225" s="114"/>
      <c r="AC225" s="114"/>
      <c r="AD225" s="140"/>
      <c r="AE225" s="114"/>
      <c r="AF225" s="114"/>
      <c r="AG225" s="114"/>
      <c r="AH225" s="141"/>
      <c r="AI225" s="91"/>
      <c r="AJ225" s="137"/>
      <c r="AK225" s="142">
        <v>20.713</v>
      </c>
      <c r="AL225" s="114">
        <v>9480</v>
      </c>
      <c r="AM225" s="127">
        <f>AL225*AK225</f>
        <v>196359.24</v>
      </c>
      <c r="AN225" s="114"/>
      <c r="AO225" s="144"/>
      <c r="AP225" s="91"/>
      <c r="AQ225" s="387"/>
      <c r="AR225" s="482"/>
      <c r="AS225" s="482"/>
      <c r="AT225" s="482"/>
      <c r="AU225" s="137"/>
      <c r="AV225" s="137"/>
      <c r="AW225" s="482"/>
      <c r="AX225" s="142">
        <v>20.713</v>
      </c>
      <c r="AY225" s="114">
        <v>9480</v>
      </c>
      <c r="AZ225" s="127">
        <f>AY225*AX225</f>
        <v>196359.24</v>
      </c>
      <c r="BA225" s="127"/>
      <c r="BB225" s="129">
        <v>57239.24</v>
      </c>
      <c r="BC225" s="127">
        <f>BB225+BA225-AZ225</f>
        <v>-139120</v>
      </c>
      <c r="BI225" s="75"/>
      <c r="BJ225" s="91"/>
    </row>
    <row r="226" s="79" customFormat="1" ht="14.45" customHeight="1" spans="1:62">
      <c r="A226" s="79">
        <v>38</v>
      </c>
      <c r="C226" s="463" t="s">
        <v>69</v>
      </c>
      <c r="D226" s="79" t="s">
        <v>247</v>
      </c>
      <c r="E226" s="79" t="s">
        <v>245</v>
      </c>
      <c r="F226" s="79" t="s">
        <v>247</v>
      </c>
      <c r="G226" s="486"/>
      <c r="H226" s="79" t="s">
        <v>93</v>
      </c>
      <c r="I226" s="79" t="s">
        <v>245</v>
      </c>
      <c r="J226" s="505">
        <f>AX226</f>
        <v>46.047</v>
      </c>
      <c r="K226" s="487"/>
      <c r="L226" s="487"/>
      <c r="M226" s="487"/>
      <c r="N226" s="489"/>
      <c r="P226" s="91"/>
      <c r="Q226" s="91"/>
      <c r="T226" s="463"/>
      <c r="U226" s="463"/>
      <c r="V226" s="463"/>
      <c r="X226" s="193"/>
      <c r="Y226" s="492">
        <f>SUM(Y223:Y225)</f>
        <v>46.047</v>
      </c>
      <c r="Z226" s="192"/>
      <c r="AA226" s="492">
        <f>SUM(AA223:AA225)</f>
        <v>421973.5</v>
      </c>
      <c r="AB226" s="492">
        <f>SUM(AB223:AB225)</f>
        <v>421973.5</v>
      </c>
      <c r="AC226" s="192"/>
      <c r="AD226" s="196"/>
      <c r="AE226" s="192"/>
      <c r="AF226" s="192"/>
      <c r="AG226" s="192"/>
      <c r="AH226" s="227"/>
      <c r="AI226" s="91"/>
      <c r="AJ226" s="225"/>
      <c r="AK226" s="492">
        <f>SUM(AK223:AK225)</f>
        <v>46.047</v>
      </c>
      <c r="AM226" s="192"/>
      <c r="AN226" s="192"/>
      <c r="AO226" s="490"/>
      <c r="AP226" s="91"/>
      <c r="AQ226" s="463"/>
      <c r="AR226" s="491"/>
      <c r="AS226" s="491"/>
      <c r="AT226" s="491"/>
      <c r="AU226" s="225"/>
      <c r="AV226" s="225"/>
      <c r="AW226" s="491"/>
      <c r="AX226" s="548">
        <f>SUM(AX223,AX225)</f>
        <v>46.047</v>
      </c>
      <c r="AY226" s="192"/>
      <c r="AZ226" s="150">
        <f>SUM(AZ223,AZ225)</f>
        <v>439471.36</v>
      </c>
      <c r="BA226" s="150">
        <f>SUM(BA223,BA225)</f>
        <v>139120</v>
      </c>
      <c r="BB226" s="150"/>
      <c r="BC226" s="150">
        <f>SUM(BC223:BC225)</f>
        <v>0</v>
      </c>
      <c r="BI226" s="151" t="s">
        <v>60</v>
      </c>
      <c r="BJ226" s="91"/>
    </row>
    <row r="227" s="76" customFormat="1" ht="12" customHeight="1" outlineLevel="1" spans="1:62">
      <c r="C227" s="387">
        <v>45644</v>
      </c>
      <c r="D227" s="76" t="s">
        <v>248</v>
      </c>
      <c r="E227" s="265" t="s">
        <v>249</v>
      </c>
      <c r="F227" s="76" t="s">
        <v>248</v>
      </c>
      <c r="G227" s="479"/>
      <c r="I227" s="549" t="s">
        <v>249</v>
      </c>
      <c r="J227" s="129">
        <v>5.5</v>
      </c>
      <c r="K227" s="546">
        <v>30703</v>
      </c>
      <c r="L227" s="131">
        <f>K227*J227</f>
        <v>168866.5</v>
      </c>
      <c r="M227" s="131"/>
      <c r="N227" s="148"/>
      <c r="P227" s="91"/>
      <c r="Q227" s="91"/>
      <c r="R227" s="76" t="s">
        <v>218</v>
      </c>
      <c r="T227" s="387">
        <v>45643</v>
      </c>
      <c r="U227" s="387">
        <v>45657</v>
      </c>
      <c r="V227" s="387"/>
      <c r="X227" s="112"/>
      <c r="Y227" s="129">
        <v>7.613</v>
      </c>
      <c r="Z227" s="550">
        <v>30250</v>
      </c>
      <c r="AA227" s="131">
        <f>Y227*Z227</f>
        <v>230293.25</v>
      </c>
      <c r="AB227" s="114"/>
      <c r="AC227" s="114"/>
      <c r="AD227" s="140"/>
      <c r="AE227" s="114"/>
      <c r="AF227" s="114"/>
      <c r="AG227" s="114"/>
      <c r="AH227" s="141"/>
      <c r="AI227" s="91"/>
      <c r="AJ227" s="137"/>
      <c r="AK227" s="551">
        <v>7.613</v>
      </c>
      <c r="AL227" s="146">
        <v>30703</v>
      </c>
      <c r="AM227" s="114">
        <f>AL227*AK227</f>
        <v>233741.939</v>
      </c>
      <c r="AN227" s="114"/>
      <c r="AO227" s="144"/>
      <c r="AP227" s="91"/>
      <c r="AQ227" s="387"/>
      <c r="AR227" s="482"/>
      <c r="AS227" s="482"/>
      <c r="AT227" s="482"/>
      <c r="AU227" s="137"/>
      <c r="AV227" s="137"/>
      <c r="AW227" s="482"/>
      <c r="AX227" s="551">
        <v>7.613</v>
      </c>
      <c r="AY227" s="146">
        <v>30703</v>
      </c>
      <c r="AZ227" s="134">
        <f>AY227*AX227</f>
        <v>233741.939</v>
      </c>
      <c r="BA227" s="127"/>
      <c r="BB227" s="127"/>
      <c r="BC227" s="127"/>
      <c r="BI227" s="75"/>
      <c r="BJ227" s="91"/>
    </row>
    <row r="228" s="76" customFormat="1" ht="12" customHeight="1" outlineLevel="1" spans="1:62">
      <c r="C228" s="387"/>
      <c r="E228" s="265" t="s">
        <v>250</v>
      </c>
      <c r="G228" s="479"/>
      <c r="I228" s="549" t="s">
        <v>250</v>
      </c>
      <c r="J228" s="129">
        <v>4.5</v>
      </c>
      <c r="K228" s="546">
        <v>30703</v>
      </c>
      <c r="L228" s="131">
        <f>K228*J228</f>
        <v>138163.5</v>
      </c>
      <c r="M228" s="131"/>
      <c r="N228" s="148"/>
      <c r="P228" s="91"/>
      <c r="Q228" s="91"/>
      <c r="R228" s="76" t="s">
        <v>218</v>
      </c>
      <c r="T228" s="387">
        <v>45643</v>
      </c>
      <c r="U228" s="387">
        <v>45657</v>
      </c>
      <c r="V228" s="387"/>
      <c r="X228" s="112"/>
      <c r="Y228" s="129">
        <v>3.55</v>
      </c>
      <c r="Z228" s="550">
        <v>30250</v>
      </c>
      <c r="AA228" s="131">
        <f>Y228*Z228</f>
        <v>107387.5</v>
      </c>
      <c r="AB228" s="114"/>
      <c r="AC228" s="114"/>
      <c r="AD228" s="140"/>
      <c r="AE228" s="114"/>
      <c r="AF228" s="114"/>
      <c r="AG228" s="114"/>
      <c r="AH228" s="141"/>
      <c r="AI228" s="91"/>
      <c r="AJ228" s="137"/>
      <c r="AK228" s="551">
        <v>3.55</v>
      </c>
      <c r="AL228" s="146">
        <v>30703</v>
      </c>
      <c r="AM228" s="114">
        <f>AL228*AK228</f>
        <v>108995.65</v>
      </c>
      <c r="AN228" s="114"/>
      <c r="AO228" s="144"/>
      <c r="AP228" s="91"/>
      <c r="AQ228" s="387"/>
      <c r="AR228" s="482"/>
      <c r="AS228" s="482"/>
      <c r="AT228" s="482"/>
      <c r="AU228" s="137"/>
      <c r="AV228" s="137"/>
      <c r="AW228" s="482"/>
      <c r="AX228" s="551">
        <v>3.55</v>
      </c>
      <c r="AY228" s="146">
        <v>30703</v>
      </c>
      <c r="AZ228" s="114">
        <f>AY228*AX228</f>
        <v>108995.65</v>
      </c>
      <c r="BA228" s="127"/>
      <c r="BB228" s="127"/>
      <c r="BC228" s="127"/>
      <c r="BI228" s="75"/>
      <c r="BJ228" s="91"/>
    </row>
    <row r="229" s="76" customFormat="1" ht="14.25" customHeight="1" outlineLevel="1" spans="1:62">
      <c r="C229" s="387"/>
      <c r="G229" s="479"/>
      <c r="M229" s="131"/>
      <c r="N229" s="148"/>
      <c r="P229" s="91"/>
      <c r="Q229" s="91"/>
      <c r="T229" s="387"/>
      <c r="U229" s="387"/>
      <c r="V229" s="387"/>
      <c r="X229" s="112"/>
      <c r="Y229" s="129"/>
      <c r="Z229" s="146"/>
      <c r="AA229" s="131"/>
      <c r="AB229" s="114"/>
      <c r="AC229" s="114"/>
      <c r="AD229" s="140"/>
      <c r="AE229" s="114"/>
      <c r="AF229" s="114"/>
      <c r="AG229" s="114"/>
      <c r="AH229" s="141"/>
      <c r="AI229" s="91"/>
      <c r="AJ229" s="137"/>
      <c r="AK229" s="137"/>
      <c r="AN229" s="114"/>
      <c r="AO229" s="144"/>
      <c r="AP229" s="91"/>
      <c r="AQ229" s="387"/>
      <c r="AR229" s="482"/>
      <c r="AS229" s="482"/>
      <c r="AT229" s="482"/>
      <c r="AU229" s="137"/>
      <c r="AV229" s="137"/>
      <c r="AW229" s="482"/>
      <c r="AX229" s="137"/>
      <c r="BA229" s="127"/>
      <c r="BB229" s="552">
        <v>342745.96</v>
      </c>
      <c r="BC229" s="127"/>
      <c r="BI229" s="75"/>
      <c r="BJ229" s="91"/>
    </row>
    <row r="230" s="419" customFormat="1" ht="14.45" customHeight="1" spans="1:62">
      <c r="A230" s="419">
        <v>39</v>
      </c>
      <c r="C230" s="553" t="s">
        <v>69</v>
      </c>
      <c r="D230" s="419" t="s">
        <v>248</v>
      </c>
      <c r="E230" s="419" t="s">
        <v>251</v>
      </c>
      <c r="F230" s="419" t="s">
        <v>248</v>
      </c>
      <c r="G230" s="554"/>
      <c r="H230" s="419" t="s">
        <v>93</v>
      </c>
      <c r="I230" s="419" t="s">
        <v>251</v>
      </c>
      <c r="J230" s="555">
        <f>SUM(J227:J229)</f>
        <v>10</v>
      </c>
      <c r="K230" s="556"/>
      <c r="L230" s="555">
        <f>SUM(L227:L229)</f>
        <v>307030</v>
      </c>
      <c r="M230" s="556"/>
      <c r="N230" s="557"/>
      <c r="P230" s="175"/>
      <c r="Q230" s="175"/>
      <c r="T230" s="553"/>
      <c r="U230" s="553"/>
      <c r="V230" s="553"/>
      <c r="X230" s="558"/>
      <c r="Y230" s="555">
        <f>SUM(Y227:Y229)</f>
        <v>11.163</v>
      </c>
      <c r="Z230" s="556"/>
      <c r="AA230" s="555">
        <f>SUM(AA227:AA229)</f>
        <v>337680.75</v>
      </c>
      <c r="AB230" s="559"/>
      <c r="AC230" s="559"/>
      <c r="AD230" s="560"/>
      <c r="AE230" s="559"/>
      <c r="AF230" s="559"/>
      <c r="AG230" s="559"/>
      <c r="AH230" s="561"/>
      <c r="AI230" s="91"/>
      <c r="AJ230" s="562"/>
      <c r="AK230" s="563"/>
      <c r="AM230" s="559"/>
      <c r="AN230" s="559"/>
      <c r="AO230" s="564"/>
      <c r="AP230" s="91"/>
      <c r="AQ230" s="553"/>
      <c r="AR230" s="565"/>
      <c r="AS230" s="565"/>
      <c r="AT230" s="565"/>
      <c r="AU230" s="563"/>
      <c r="AV230" s="563"/>
      <c r="AW230" s="565"/>
      <c r="AX230" s="566"/>
      <c r="AY230" s="559"/>
      <c r="AZ230" s="567">
        <f>AZ227+AZ228</f>
        <v>342737.589</v>
      </c>
      <c r="BA230" s="567"/>
      <c r="BB230" s="567">
        <f>BB229</f>
        <v>342745.96</v>
      </c>
      <c r="BC230" s="568">
        <f>BB230-AZ230</f>
        <v>8.37099999998463</v>
      </c>
      <c r="BI230" s="151" t="s">
        <v>60</v>
      </c>
      <c r="BJ230" s="175"/>
    </row>
    <row r="231" s="77" customFormat="1" ht="14.45" customHeight="1" outlineLevel="2" spans="1:62">
      <c r="C231" s="569">
        <v>45587</v>
      </c>
      <c r="D231" s="77" t="s">
        <v>252</v>
      </c>
      <c r="E231" s="77" t="s">
        <v>103</v>
      </c>
      <c r="F231" s="77" t="s">
        <v>253</v>
      </c>
      <c r="G231" s="570"/>
      <c r="H231" s="77" t="s">
        <v>93</v>
      </c>
      <c r="I231" s="77" t="s">
        <v>103</v>
      </c>
      <c r="J231" s="157">
        <v>150</v>
      </c>
      <c r="K231" s="158">
        <v>9350</v>
      </c>
      <c r="L231" s="158">
        <f>J231*K231</f>
        <v>1402500</v>
      </c>
      <c r="M231" s="158"/>
      <c r="N231" s="158">
        <v>300000</v>
      </c>
      <c r="O231" s="159">
        <f>L231-N231</f>
        <v>1102500</v>
      </c>
      <c r="P231" s="160"/>
      <c r="Q231" s="160"/>
      <c r="R231" s="77" t="s">
        <v>88</v>
      </c>
      <c r="S231" s="77" t="s">
        <v>228</v>
      </c>
      <c r="T231" s="569">
        <v>45587</v>
      </c>
      <c r="U231" s="569">
        <f>T231+60</f>
        <v>45647</v>
      </c>
      <c r="V231" s="569"/>
      <c r="X231" s="154"/>
      <c r="Y231" s="157">
        <v>150</v>
      </c>
      <c r="Z231" s="162">
        <v>9350</v>
      </c>
      <c r="AA231" s="155">
        <f t="shared" ref="AA231:AA239" si="14">Y231*Z231</f>
        <v>1402500</v>
      </c>
      <c r="AB231" s="155"/>
      <c r="AC231" s="155"/>
      <c r="AD231" s="163"/>
      <c r="AE231" s="155"/>
      <c r="AF231" s="155"/>
      <c r="AG231" s="155"/>
      <c r="AH231" s="164"/>
      <c r="AI231" s="91"/>
      <c r="AJ231" s="165"/>
      <c r="AK231" s="165"/>
      <c r="AL231" s="158"/>
      <c r="AM231" s="155"/>
      <c r="AN231" s="155"/>
      <c r="AO231" s="166"/>
      <c r="AP231" s="91"/>
      <c r="AQ231" s="569"/>
      <c r="AR231" s="571"/>
      <c r="AS231" s="571"/>
      <c r="AT231" s="571"/>
      <c r="AU231" s="165"/>
      <c r="AV231" s="165"/>
      <c r="AW231" s="571"/>
      <c r="AX231" s="167"/>
      <c r="AY231" s="155"/>
      <c r="AZ231" s="168"/>
      <c r="BA231" s="168">
        <v>566000</v>
      </c>
      <c r="BB231" s="168"/>
      <c r="BC231" s="168">
        <f t="shared" ref="BC231:BC239" si="15">BA231-AZ231</f>
        <v>566000</v>
      </c>
      <c r="BI231" s="169"/>
      <c r="BJ231" s="160"/>
    </row>
    <row r="232" s="76" customFormat="1" ht="14.45" customHeight="1" outlineLevel="2" collapsed="1" spans="1:62">
      <c r="C232" s="387">
        <v>45674</v>
      </c>
      <c r="D232" s="76" t="s">
        <v>254</v>
      </c>
      <c r="E232" s="76" t="s">
        <v>103</v>
      </c>
      <c r="F232" s="76" t="s">
        <v>255</v>
      </c>
      <c r="G232" s="479"/>
      <c r="H232" s="76" t="s">
        <v>93</v>
      </c>
      <c r="I232" s="76" t="s">
        <v>103</v>
      </c>
      <c r="J232" s="129"/>
      <c r="K232" s="129"/>
      <c r="L232" s="129"/>
      <c r="M232" s="129"/>
      <c r="P232" s="91"/>
      <c r="Q232" s="91"/>
      <c r="R232" s="76" t="s">
        <v>88</v>
      </c>
      <c r="T232" s="387"/>
      <c r="U232" s="387"/>
      <c r="V232" s="387"/>
      <c r="Y232" s="129">
        <v>54.57</v>
      </c>
      <c r="Z232" s="114">
        <v>6600</v>
      </c>
      <c r="AA232" s="131">
        <f t="shared" si="14"/>
        <v>360162</v>
      </c>
      <c r="AB232" s="114">
        <f t="shared" ref="AB232:AB237" si="16">AA232</f>
        <v>360162</v>
      </c>
      <c r="AC232" s="114"/>
      <c r="AD232" s="140"/>
      <c r="AE232" s="114"/>
      <c r="AF232" s="114"/>
      <c r="AG232" s="114"/>
      <c r="AH232" s="141"/>
      <c r="AI232" s="91"/>
      <c r="AJ232" s="137"/>
      <c r="AK232" s="142">
        <v>54.57</v>
      </c>
      <c r="AL232" s="114">
        <v>6850</v>
      </c>
      <c r="AM232" s="131">
        <f t="shared" ref="AM232:AM237" si="17">AK232*AL232</f>
        <v>373804.5</v>
      </c>
      <c r="AN232" s="114">
        <f t="shared" ref="AN232:AN237" si="18">566000/336.253*AK232</f>
        <v>91855.2994322727</v>
      </c>
      <c r="AO232" s="170">
        <f t="shared" ref="AO232:AO237" si="19">AN232-AM232</f>
        <v>-281949.200567727</v>
      </c>
      <c r="AP232" s="91"/>
      <c r="AQ232" s="387"/>
      <c r="AR232" s="482"/>
      <c r="AS232" s="482"/>
      <c r="AT232" s="482"/>
      <c r="AU232" s="137"/>
      <c r="AV232" s="137"/>
      <c r="AW232" s="482"/>
      <c r="AX232" s="142">
        <v>54.57</v>
      </c>
      <c r="AY232" s="114">
        <v>6850</v>
      </c>
      <c r="AZ232" s="171">
        <f t="shared" ref="AZ232:AZ237" si="20">AX232*AY232</f>
        <v>373804.5</v>
      </c>
      <c r="BA232" s="127"/>
      <c r="BB232" s="127"/>
      <c r="BC232" s="127">
        <f t="shared" si="15"/>
        <v>-373804.5</v>
      </c>
      <c r="BI232" s="149"/>
      <c r="BJ232" s="91"/>
    </row>
    <row r="233" s="76" customFormat="1" ht="14.45" customHeight="1" outlineLevel="2" spans="1:62">
      <c r="C233" s="387">
        <v>45677</v>
      </c>
      <c r="D233" s="76" t="s">
        <v>256</v>
      </c>
      <c r="E233" s="76" t="s">
        <v>101</v>
      </c>
      <c r="F233" s="76" t="s">
        <v>257</v>
      </c>
      <c r="G233" s="479"/>
      <c r="H233" s="76" t="s">
        <v>93</v>
      </c>
      <c r="I233" s="76" t="s">
        <v>101</v>
      </c>
      <c r="J233" s="129"/>
      <c r="K233" s="129"/>
      <c r="L233" s="129"/>
      <c r="M233" s="129"/>
      <c r="P233" s="91"/>
      <c r="Q233" s="91"/>
      <c r="R233" s="76" t="s">
        <v>88</v>
      </c>
      <c r="T233" s="387"/>
      <c r="U233" s="387"/>
      <c r="V233" s="387"/>
      <c r="Y233" s="129">
        <v>19.695</v>
      </c>
      <c r="Z233" s="114">
        <v>6600</v>
      </c>
      <c r="AA233" s="131">
        <f t="shared" si="14"/>
        <v>129987</v>
      </c>
      <c r="AB233" s="114">
        <f t="shared" si="16"/>
        <v>129987</v>
      </c>
      <c r="AC233" s="114"/>
      <c r="AD233" s="140"/>
      <c r="AE233" s="114"/>
      <c r="AF233" s="114"/>
      <c r="AG233" s="114"/>
      <c r="AH233" s="141"/>
      <c r="AI233" s="91"/>
      <c r="AJ233" s="137"/>
      <c r="AK233" s="142">
        <v>19.695</v>
      </c>
      <c r="AL233" s="114">
        <v>6850</v>
      </c>
      <c r="AM233" s="131">
        <f t="shared" si="17"/>
        <v>134910.75</v>
      </c>
      <c r="AN233" s="114">
        <f t="shared" si="18"/>
        <v>33151.7339622249</v>
      </c>
      <c r="AO233" s="170">
        <f t="shared" si="19"/>
        <v>-101759.016037775</v>
      </c>
      <c r="AP233" s="91"/>
      <c r="AQ233" s="387"/>
      <c r="AR233" s="482"/>
      <c r="AS233" s="482"/>
      <c r="AT233" s="482"/>
      <c r="AU233" s="137"/>
      <c r="AV233" s="137"/>
      <c r="AW233" s="482"/>
      <c r="AX233" s="142">
        <v>19.695</v>
      </c>
      <c r="AY233" s="114">
        <v>6850</v>
      </c>
      <c r="AZ233" s="171">
        <f t="shared" si="20"/>
        <v>134910.75</v>
      </c>
      <c r="BA233" s="127"/>
      <c r="BB233" s="127"/>
      <c r="BC233" s="127">
        <f t="shared" si="15"/>
        <v>-134910.75</v>
      </c>
      <c r="BI233" s="149"/>
      <c r="BJ233" s="91"/>
    </row>
    <row r="234" s="76" customFormat="1" ht="14.45" customHeight="1" outlineLevel="2" spans="1:62">
      <c r="C234" s="387">
        <v>45677</v>
      </c>
      <c r="D234" s="76" t="s">
        <v>256</v>
      </c>
      <c r="E234" s="76" t="s">
        <v>103</v>
      </c>
      <c r="G234" s="479"/>
      <c r="H234" s="76" t="s">
        <v>93</v>
      </c>
      <c r="J234" s="129"/>
      <c r="K234" s="129"/>
      <c r="L234" s="129"/>
      <c r="M234" s="129"/>
      <c r="P234" s="91"/>
      <c r="Q234" s="91"/>
      <c r="R234" s="76" t="s">
        <v>88</v>
      </c>
      <c r="T234" s="387"/>
      <c r="U234" s="387"/>
      <c r="V234" s="387"/>
      <c r="Y234" s="129">
        <v>8.025</v>
      </c>
      <c r="Z234" s="114">
        <v>6600</v>
      </c>
      <c r="AA234" s="131">
        <f t="shared" si="14"/>
        <v>52965</v>
      </c>
      <c r="AB234" s="114">
        <f t="shared" si="16"/>
        <v>52965</v>
      </c>
      <c r="AC234" s="114"/>
      <c r="AD234" s="140"/>
      <c r="AE234" s="114"/>
      <c r="AF234" s="114"/>
      <c r="AG234" s="114"/>
      <c r="AH234" s="141"/>
      <c r="AI234" s="91"/>
      <c r="AJ234" s="137"/>
      <c r="AK234" s="142">
        <v>8.025</v>
      </c>
      <c r="AL234" s="114">
        <v>6850</v>
      </c>
      <c r="AM234" s="131">
        <f t="shared" si="17"/>
        <v>54971.25</v>
      </c>
      <c r="AN234" s="114">
        <f t="shared" si="18"/>
        <v>13508.1322694519</v>
      </c>
      <c r="AO234" s="170">
        <f t="shared" si="19"/>
        <v>-41463.1177305481</v>
      </c>
      <c r="AP234" s="91"/>
      <c r="AQ234" s="387"/>
      <c r="AR234" s="482"/>
      <c r="AS234" s="482"/>
      <c r="AT234" s="482"/>
      <c r="AU234" s="137"/>
      <c r="AV234" s="137"/>
      <c r="AW234" s="482"/>
      <c r="AX234" s="142">
        <v>8.025</v>
      </c>
      <c r="AY234" s="114">
        <v>6850</v>
      </c>
      <c r="AZ234" s="171">
        <f t="shared" si="20"/>
        <v>54971.25</v>
      </c>
      <c r="BA234" s="127"/>
      <c r="BB234" s="127"/>
      <c r="BC234" s="127">
        <f t="shared" si="15"/>
        <v>-54971.25</v>
      </c>
      <c r="BI234" s="149"/>
      <c r="BJ234" s="91"/>
    </row>
    <row r="235" s="76" customFormat="1" ht="14.45" customHeight="1" outlineLevel="2" spans="1:62">
      <c r="C235" s="387">
        <v>45677</v>
      </c>
      <c r="D235" s="76" t="s">
        <v>258</v>
      </c>
      <c r="E235" s="76" t="s">
        <v>101</v>
      </c>
      <c r="F235" s="76" t="s">
        <v>259</v>
      </c>
      <c r="G235" s="479"/>
      <c r="H235" s="76" t="s">
        <v>93</v>
      </c>
      <c r="I235" s="76" t="s">
        <v>101</v>
      </c>
      <c r="J235" s="129"/>
      <c r="K235" s="129"/>
      <c r="L235" s="129"/>
      <c r="M235" s="129"/>
      <c r="P235" s="91"/>
      <c r="Q235" s="91"/>
      <c r="R235" s="76" t="s">
        <v>88</v>
      </c>
      <c r="T235" s="387"/>
      <c r="U235" s="387"/>
      <c r="V235" s="387"/>
      <c r="Y235" s="129">
        <v>9.09</v>
      </c>
      <c r="Z235" s="114">
        <v>6600</v>
      </c>
      <c r="AA235" s="131">
        <f t="shared" si="14"/>
        <v>59994</v>
      </c>
      <c r="AB235" s="114">
        <f t="shared" si="16"/>
        <v>59994</v>
      </c>
      <c r="AC235" s="114"/>
      <c r="AD235" s="140"/>
      <c r="AE235" s="114"/>
      <c r="AF235" s="114"/>
      <c r="AG235" s="114"/>
      <c r="AH235" s="141"/>
      <c r="AI235" s="91"/>
      <c r="AJ235" s="137"/>
      <c r="AK235" s="142">
        <v>9.09</v>
      </c>
      <c r="AL235" s="114">
        <v>6850</v>
      </c>
      <c r="AM235" s="131">
        <f t="shared" si="17"/>
        <v>62266.5</v>
      </c>
      <c r="AN235" s="114">
        <f t="shared" si="18"/>
        <v>15300.8002902576</v>
      </c>
      <c r="AO235" s="170">
        <f t="shared" si="19"/>
        <v>-46965.6997097424</v>
      </c>
      <c r="AP235" s="91"/>
      <c r="AQ235" s="387"/>
      <c r="AR235" s="482"/>
      <c r="AS235" s="482"/>
      <c r="AT235" s="482"/>
      <c r="AU235" s="137"/>
      <c r="AV235" s="137"/>
      <c r="AW235" s="482"/>
      <c r="AX235" s="142">
        <v>9.09</v>
      </c>
      <c r="AY235" s="114">
        <v>6850</v>
      </c>
      <c r="AZ235" s="171">
        <f t="shared" si="20"/>
        <v>62266.5</v>
      </c>
      <c r="BA235" s="127"/>
      <c r="BB235" s="127"/>
      <c r="BC235" s="127">
        <f t="shared" si="15"/>
        <v>-62266.5</v>
      </c>
      <c r="BI235" s="149"/>
      <c r="BJ235" s="91"/>
    </row>
    <row r="236" s="76" customFormat="1" ht="14.45" customHeight="1" outlineLevel="2" spans="1:62">
      <c r="C236" s="387">
        <v>45677</v>
      </c>
      <c r="D236" s="76" t="s">
        <v>258</v>
      </c>
      <c r="E236" s="76" t="s">
        <v>103</v>
      </c>
      <c r="F236" s="76" t="s">
        <v>259</v>
      </c>
      <c r="G236" s="479"/>
      <c r="H236" s="76" t="s">
        <v>93</v>
      </c>
      <c r="I236" s="76" t="s">
        <v>103</v>
      </c>
      <c r="J236" s="129"/>
      <c r="K236" s="129"/>
      <c r="L236" s="129"/>
      <c r="M236" s="129"/>
      <c r="P236" s="91"/>
      <c r="Q236" s="91"/>
      <c r="R236" s="76" t="s">
        <v>88</v>
      </c>
      <c r="T236" s="387"/>
      <c r="U236" s="387"/>
      <c r="V236" s="387"/>
      <c r="Y236" s="129">
        <v>10.684</v>
      </c>
      <c r="Z236" s="114">
        <v>6600</v>
      </c>
      <c r="AA236" s="131">
        <f t="shared" si="14"/>
        <v>70514.4</v>
      </c>
      <c r="AB236" s="114">
        <f t="shared" si="16"/>
        <v>70514.4</v>
      </c>
      <c r="AC236" s="114"/>
      <c r="AD236" s="140"/>
      <c r="AE236" s="114"/>
      <c r="AF236" s="114"/>
      <c r="AG236" s="114"/>
      <c r="AH236" s="141"/>
      <c r="AI236" s="91"/>
      <c r="AJ236" s="137"/>
      <c r="AK236" s="142">
        <v>10.684</v>
      </c>
      <c r="AL236" s="114">
        <v>6850</v>
      </c>
      <c r="AM236" s="131">
        <f t="shared" si="17"/>
        <v>73185.4</v>
      </c>
      <c r="AN236" s="114">
        <f t="shared" si="18"/>
        <v>17983.9109242148</v>
      </c>
      <c r="AO236" s="170">
        <f t="shared" si="19"/>
        <v>-55201.4890757852</v>
      </c>
      <c r="AP236" s="91"/>
      <c r="AQ236" s="387"/>
      <c r="AR236" s="482"/>
      <c r="AS236" s="482"/>
      <c r="AT236" s="482"/>
      <c r="AU236" s="137"/>
      <c r="AV236" s="137"/>
      <c r="AW236" s="482"/>
      <c r="AX236" s="142">
        <v>10.684</v>
      </c>
      <c r="AY236" s="114">
        <v>6850</v>
      </c>
      <c r="AZ236" s="171">
        <f t="shared" si="20"/>
        <v>73185.4</v>
      </c>
      <c r="BA236" s="127"/>
      <c r="BB236" s="127"/>
      <c r="BC236" s="127">
        <f t="shared" si="15"/>
        <v>-73185.4</v>
      </c>
      <c r="BI236" s="149"/>
      <c r="BJ236" s="91"/>
    </row>
    <row r="237" s="78" customFormat="1" ht="14.45" customHeight="1" outlineLevel="2" spans="1:62">
      <c r="C237" s="572">
        <v>45677</v>
      </c>
      <c r="D237" s="78" t="s">
        <v>260</v>
      </c>
      <c r="E237" s="78" t="s">
        <v>103</v>
      </c>
      <c r="F237" s="78" t="s">
        <v>261</v>
      </c>
      <c r="G237" s="573"/>
      <c r="H237" s="78" t="s">
        <v>93</v>
      </c>
      <c r="I237" s="78" t="s">
        <v>103</v>
      </c>
      <c r="J237" s="174"/>
      <c r="K237" s="174"/>
      <c r="L237" s="174"/>
      <c r="M237" s="174"/>
      <c r="P237" s="175"/>
      <c r="Q237" s="175"/>
      <c r="R237" s="78" t="s">
        <v>88</v>
      </c>
      <c r="T237" s="572"/>
      <c r="U237" s="572"/>
      <c r="V237" s="572"/>
      <c r="Y237" s="174">
        <v>54.57</v>
      </c>
      <c r="Z237" s="173">
        <v>6600</v>
      </c>
      <c r="AA237" s="177">
        <f t="shared" si="14"/>
        <v>360162</v>
      </c>
      <c r="AB237" s="114">
        <f t="shared" si="16"/>
        <v>360162</v>
      </c>
      <c r="AC237" s="173"/>
      <c r="AD237" s="178"/>
      <c r="AE237" s="173"/>
      <c r="AF237" s="173"/>
      <c r="AG237" s="173"/>
      <c r="AH237" s="179"/>
      <c r="AI237" s="91"/>
      <c r="AJ237" s="180"/>
      <c r="AK237" s="181">
        <v>54.57</v>
      </c>
      <c r="AL237" s="173">
        <v>6850</v>
      </c>
      <c r="AM237" s="177">
        <f t="shared" si="17"/>
        <v>373804.5</v>
      </c>
      <c r="AN237" s="173">
        <f t="shared" si="18"/>
        <v>91855.2994322727</v>
      </c>
      <c r="AO237" s="182">
        <f t="shared" si="19"/>
        <v>-281949.200567727</v>
      </c>
      <c r="AP237" s="91"/>
      <c r="AQ237" s="572"/>
      <c r="AR237" s="574"/>
      <c r="AS237" s="574"/>
      <c r="AT237" s="574"/>
      <c r="AU237" s="575"/>
      <c r="AV237" s="575"/>
      <c r="AW237" s="574"/>
      <c r="AX237" s="181">
        <v>54.57</v>
      </c>
      <c r="AY237" s="173">
        <v>6850</v>
      </c>
      <c r="AZ237" s="183">
        <f t="shared" si="20"/>
        <v>373804.5</v>
      </c>
      <c r="BA237" s="184"/>
      <c r="BB237" s="184"/>
      <c r="BC237" s="184">
        <f t="shared" si="15"/>
        <v>-373804.5</v>
      </c>
      <c r="BI237" s="185"/>
      <c r="BJ237" s="175"/>
    </row>
    <row r="238" s="77" customFormat="1" ht="14.45" customHeight="1" outlineLevel="2" spans="1:62">
      <c r="C238" s="387">
        <v>45587</v>
      </c>
      <c r="D238" s="77" t="s">
        <v>252</v>
      </c>
      <c r="E238" s="77" t="s">
        <v>124</v>
      </c>
      <c r="F238" s="77" t="s">
        <v>253</v>
      </c>
      <c r="G238" s="570"/>
      <c r="H238" s="77" t="s">
        <v>93</v>
      </c>
      <c r="I238" s="77" t="s">
        <v>124</v>
      </c>
      <c r="J238" s="157">
        <v>25</v>
      </c>
      <c r="K238" s="158">
        <v>9600</v>
      </c>
      <c r="L238" s="158">
        <f>J238*K238</f>
        <v>240000</v>
      </c>
      <c r="M238" s="158"/>
      <c r="N238" s="158">
        <v>50000</v>
      </c>
      <c r="O238" s="159">
        <f>L238-N238</f>
        <v>190000</v>
      </c>
      <c r="P238" s="160"/>
      <c r="Q238" s="160"/>
      <c r="R238" s="77" t="s">
        <v>88</v>
      </c>
      <c r="S238" s="77" t="s">
        <v>228</v>
      </c>
      <c r="T238" s="569">
        <v>45587</v>
      </c>
      <c r="U238" s="569">
        <f>T238+60</f>
        <v>45647</v>
      </c>
      <c r="V238" s="569"/>
      <c r="X238" s="154"/>
      <c r="Y238" s="157">
        <v>25</v>
      </c>
      <c r="Z238" s="162">
        <v>9600</v>
      </c>
      <c r="AA238" s="155">
        <f t="shared" si="14"/>
        <v>240000</v>
      </c>
      <c r="AB238" s="155"/>
      <c r="AC238" s="155"/>
      <c r="AD238" s="163"/>
      <c r="AE238" s="155"/>
      <c r="AF238" s="155"/>
      <c r="AG238" s="155"/>
      <c r="AH238" s="164"/>
      <c r="AI238" s="91"/>
      <c r="AJ238" s="165"/>
      <c r="AK238" s="165"/>
      <c r="AL238" s="158"/>
      <c r="AM238" s="155"/>
      <c r="AN238" s="155"/>
      <c r="AO238" s="166"/>
      <c r="AP238" s="91"/>
      <c r="AQ238" s="569"/>
      <c r="AR238" s="571"/>
      <c r="AS238" s="571"/>
      <c r="AT238" s="571"/>
      <c r="AU238" s="165"/>
      <c r="AV238" s="165"/>
      <c r="AW238" s="571"/>
      <c r="AX238" s="167"/>
      <c r="AY238" s="155"/>
      <c r="AZ238" s="186"/>
      <c r="BA238" s="168"/>
      <c r="BB238" s="168"/>
      <c r="BC238" s="168">
        <f t="shared" si="15"/>
        <v>0</v>
      </c>
      <c r="BI238" s="169"/>
      <c r="BJ238" s="160"/>
    </row>
    <row r="239" s="76" customFormat="1" ht="14.45" customHeight="1" outlineLevel="2" spans="1:62">
      <c r="C239" s="387">
        <v>45677</v>
      </c>
      <c r="D239" s="76" t="s">
        <v>256</v>
      </c>
      <c r="E239" s="76" t="s">
        <v>262</v>
      </c>
      <c r="F239" s="76" t="s">
        <v>257</v>
      </c>
      <c r="G239" s="479"/>
      <c r="H239" s="76" t="s">
        <v>93</v>
      </c>
      <c r="I239" s="76" t="s">
        <v>262</v>
      </c>
      <c r="J239" s="129"/>
      <c r="K239" s="129"/>
      <c r="L239" s="129"/>
      <c r="M239" s="129"/>
      <c r="P239" s="91"/>
      <c r="Q239" s="91"/>
      <c r="R239" s="76" t="s">
        <v>88</v>
      </c>
      <c r="T239" s="387"/>
      <c r="U239" s="387"/>
      <c r="V239" s="387"/>
      <c r="Y239" s="129">
        <v>14.243</v>
      </c>
      <c r="Z239" s="114">
        <v>6750</v>
      </c>
      <c r="AA239" s="131">
        <f t="shared" si="14"/>
        <v>96140.25</v>
      </c>
      <c r="AB239" s="114">
        <f>AA239</f>
        <v>96140.25</v>
      </c>
      <c r="AC239" s="114"/>
      <c r="AD239" s="140"/>
      <c r="AE239" s="114"/>
      <c r="AF239" s="114"/>
      <c r="AG239" s="114"/>
      <c r="AH239" s="141"/>
      <c r="AI239" s="91"/>
      <c r="AJ239" s="137"/>
      <c r="AK239" s="142">
        <v>14.243</v>
      </c>
      <c r="AL239" s="114">
        <v>7000</v>
      </c>
      <c r="AM239" s="131">
        <f>AK239*AL239</f>
        <v>99701</v>
      </c>
      <c r="AN239" s="114">
        <f>566000/336.253*AK239</f>
        <v>23974.6203007854</v>
      </c>
      <c r="AO239" s="170">
        <f>AN239-AM239</f>
        <v>-75726.3796992146</v>
      </c>
      <c r="AP239" s="91"/>
      <c r="AQ239" s="387"/>
      <c r="AR239" s="482"/>
      <c r="AS239" s="482"/>
      <c r="AT239" s="482"/>
      <c r="AU239" s="137"/>
      <c r="AV239" s="137"/>
      <c r="AW239" s="482"/>
      <c r="AX239" s="142">
        <v>14.243</v>
      </c>
      <c r="AY239" s="114">
        <v>7000</v>
      </c>
      <c r="AZ239" s="171">
        <f>AX239*AY239</f>
        <v>99701</v>
      </c>
      <c r="BA239" s="127"/>
      <c r="BB239" s="127"/>
      <c r="BC239" s="127">
        <f t="shared" si="15"/>
        <v>-99701</v>
      </c>
      <c r="BI239" s="149"/>
      <c r="BJ239" s="91"/>
    </row>
    <row r="240" s="78" customFormat="1" ht="14.45" customHeight="1" outlineLevel="2" spans="1:62">
      <c r="C240" s="572"/>
      <c r="G240" s="573"/>
      <c r="J240" s="174"/>
      <c r="K240" s="174"/>
      <c r="L240" s="174"/>
      <c r="M240" s="174"/>
      <c r="P240" s="175"/>
      <c r="Q240" s="175"/>
      <c r="R240" s="78" t="s">
        <v>178</v>
      </c>
      <c r="T240" s="572"/>
      <c r="U240" s="572"/>
      <c r="V240" s="572"/>
      <c r="Y240" s="174"/>
      <c r="Z240" s="173"/>
      <c r="AA240" s="177"/>
      <c r="AB240" s="173"/>
      <c r="AC240" s="173"/>
      <c r="AD240" s="178">
        <v>14.243</v>
      </c>
      <c r="AE240" s="173">
        <v>2500</v>
      </c>
      <c r="AF240" s="173">
        <f>AD240*AE240</f>
        <v>35607.5</v>
      </c>
      <c r="AG240" s="173">
        <v>96900</v>
      </c>
      <c r="AH240" s="179">
        <f>AG240-AF240</f>
        <v>61292.5</v>
      </c>
      <c r="AI240" s="91"/>
      <c r="AJ240" s="180"/>
      <c r="AK240" s="181"/>
      <c r="AL240" s="173"/>
      <c r="AM240" s="177"/>
      <c r="AN240" s="173"/>
      <c r="AO240" s="187"/>
      <c r="AP240" s="91"/>
      <c r="AQ240" s="572"/>
      <c r="AR240" s="574"/>
      <c r="AS240" s="574"/>
      <c r="AT240" s="574"/>
      <c r="AU240" s="575"/>
      <c r="AV240" s="575"/>
      <c r="AW240" s="574"/>
      <c r="AX240" s="181"/>
      <c r="AY240" s="173"/>
      <c r="AZ240" s="183"/>
      <c r="BA240" s="184"/>
      <c r="BB240" s="184"/>
      <c r="BC240" s="184"/>
      <c r="BI240" s="185"/>
      <c r="BJ240" s="175"/>
    </row>
    <row r="241" s="77" customFormat="1" ht="14.45" customHeight="1" outlineLevel="2" spans="1:62">
      <c r="C241" s="387">
        <v>45587</v>
      </c>
      <c r="D241" s="77" t="s">
        <v>252</v>
      </c>
      <c r="E241" s="77" t="s">
        <v>263</v>
      </c>
      <c r="F241" s="77" t="s">
        <v>253</v>
      </c>
      <c r="G241" s="570"/>
      <c r="H241" s="77" t="s">
        <v>93</v>
      </c>
      <c r="I241" s="77" t="s">
        <v>263</v>
      </c>
      <c r="J241" s="157">
        <v>108</v>
      </c>
      <c r="K241" s="158">
        <v>9600</v>
      </c>
      <c r="L241" s="158">
        <f>J241*K241</f>
        <v>1036800</v>
      </c>
      <c r="M241" s="158"/>
      <c r="N241" s="158">
        <v>216000</v>
      </c>
      <c r="O241" s="159">
        <f>L241-N241</f>
        <v>820800</v>
      </c>
      <c r="P241" s="160"/>
      <c r="Q241" s="160"/>
      <c r="R241" s="77" t="s">
        <v>88</v>
      </c>
      <c r="S241" s="77" t="s">
        <v>228</v>
      </c>
      <c r="T241" s="569">
        <v>45587</v>
      </c>
      <c r="U241" s="569">
        <f>T241+60</f>
        <v>45647</v>
      </c>
      <c r="V241" s="569"/>
      <c r="X241" s="154"/>
      <c r="Y241" s="157">
        <v>108</v>
      </c>
      <c r="Z241" s="162">
        <v>9600</v>
      </c>
      <c r="AA241" s="155">
        <f t="shared" ref="AA241:AA246" si="21">Y241*Z241</f>
        <v>1036800</v>
      </c>
      <c r="AB241" s="155"/>
      <c r="AC241" s="155"/>
      <c r="AD241" s="163"/>
      <c r="AE241" s="155"/>
      <c r="AF241" s="155"/>
      <c r="AG241" s="155"/>
      <c r="AH241" s="164"/>
      <c r="AI241" s="91"/>
      <c r="AJ241" s="165"/>
      <c r="AK241" s="165"/>
      <c r="AL241" s="158"/>
      <c r="AM241" s="155"/>
      <c r="AN241" s="155"/>
      <c r="AO241" s="166"/>
      <c r="AP241" s="91"/>
      <c r="AQ241" s="569"/>
      <c r="AR241" s="571"/>
      <c r="AS241" s="571"/>
      <c r="AT241" s="571"/>
      <c r="AU241" s="165"/>
      <c r="AV241" s="165"/>
      <c r="AW241" s="571"/>
      <c r="AX241" s="167"/>
      <c r="AY241" s="155"/>
      <c r="AZ241" s="186"/>
      <c r="BA241" s="168"/>
      <c r="BB241" s="168"/>
      <c r="BC241" s="168"/>
      <c r="BI241" s="169"/>
      <c r="BJ241" s="160"/>
    </row>
    <row r="242" s="76" customFormat="1" ht="14.45" customHeight="1" outlineLevel="2" spans="1:62">
      <c r="C242" s="387">
        <v>45677</v>
      </c>
      <c r="D242" s="76" t="s">
        <v>256</v>
      </c>
      <c r="E242" s="76" t="s">
        <v>263</v>
      </c>
      <c r="F242" s="76" t="s">
        <v>257</v>
      </c>
      <c r="G242" s="479"/>
      <c r="H242" s="76" t="s">
        <v>93</v>
      </c>
      <c r="I242" s="76" t="s">
        <v>245</v>
      </c>
      <c r="J242" s="129"/>
      <c r="K242" s="129"/>
      <c r="L242" s="129"/>
      <c r="M242" s="129"/>
      <c r="P242" s="91"/>
      <c r="Q242" s="91"/>
      <c r="R242" s="76" t="s">
        <v>88</v>
      </c>
      <c r="T242" s="387"/>
      <c r="U242" s="387"/>
      <c r="V242" s="387"/>
      <c r="Y242" s="129">
        <v>16.948</v>
      </c>
      <c r="Z242" s="114">
        <v>6750</v>
      </c>
      <c r="AA242" s="131">
        <f t="shared" si="21"/>
        <v>114399</v>
      </c>
      <c r="AB242" s="114">
        <f>AA242</f>
        <v>114399</v>
      </c>
      <c r="AC242" s="114"/>
      <c r="AD242" s="140"/>
      <c r="AE242" s="114"/>
      <c r="AF242" s="114"/>
      <c r="AG242" s="114"/>
      <c r="AH242" s="141"/>
      <c r="AI242" s="91"/>
      <c r="AJ242" s="137"/>
      <c r="AK242" s="142">
        <v>16.948</v>
      </c>
      <c r="AL242" s="114">
        <v>7000</v>
      </c>
      <c r="AM242" s="131">
        <f>AK242*AL242</f>
        <v>118636</v>
      </c>
      <c r="AN242" s="114">
        <f>566000/336.253*AK242</f>
        <v>28527.8287479963</v>
      </c>
      <c r="AO242" s="170">
        <f>AN242-AM242</f>
        <v>-90108.1712520037</v>
      </c>
      <c r="AP242" s="91"/>
      <c r="AQ242" s="387"/>
      <c r="AR242" s="482"/>
      <c r="AS242" s="482"/>
      <c r="AT242" s="482"/>
      <c r="AU242" s="137"/>
      <c r="AV242" s="137"/>
      <c r="AW242" s="482"/>
      <c r="AX242" s="142">
        <v>16.948</v>
      </c>
      <c r="AY242" s="114">
        <v>7000</v>
      </c>
      <c r="AZ242" s="171">
        <f>AX242*AY242</f>
        <v>118636</v>
      </c>
      <c r="BA242" s="127"/>
      <c r="BB242" s="127"/>
      <c r="BC242" s="127">
        <f>BA242-AZ242</f>
        <v>-118636</v>
      </c>
      <c r="BI242" s="149"/>
      <c r="BJ242" s="91"/>
    </row>
    <row r="243" s="76" customFormat="1" ht="14.45" customHeight="1" outlineLevel="2" spans="1:62">
      <c r="C243" s="387">
        <v>45677</v>
      </c>
      <c r="D243" s="76" t="s">
        <v>258</v>
      </c>
      <c r="E243" s="76" t="s">
        <v>264</v>
      </c>
      <c r="F243" s="76" t="s">
        <v>259</v>
      </c>
      <c r="G243" s="479"/>
      <c r="H243" s="76" t="s">
        <v>93</v>
      </c>
      <c r="I243" s="76" t="s">
        <v>245</v>
      </c>
      <c r="J243" s="129"/>
      <c r="K243" s="129"/>
      <c r="L243" s="129"/>
      <c r="M243" s="129"/>
      <c r="P243" s="91"/>
      <c r="Q243" s="91"/>
      <c r="R243" s="76" t="s">
        <v>88</v>
      </c>
      <c r="T243" s="387"/>
      <c r="U243" s="387"/>
      <c r="V243" s="387"/>
      <c r="Y243" s="129">
        <v>49.995</v>
      </c>
      <c r="Z243" s="114">
        <v>6750</v>
      </c>
      <c r="AA243" s="131">
        <f t="shared" si="21"/>
        <v>337466.25</v>
      </c>
      <c r="AB243" s="114">
        <f>AA243</f>
        <v>337466.25</v>
      </c>
      <c r="AC243" s="114"/>
      <c r="AD243" s="140"/>
      <c r="AE243" s="114"/>
      <c r="AF243" s="114"/>
      <c r="AG243" s="114"/>
      <c r="AH243" s="141"/>
      <c r="AI243" s="91"/>
      <c r="AJ243" s="137"/>
      <c r="AK243" s="142">
        <v>49.995</v>
      </c>
      <c r="AL243" s="114">
        <v>7000</v>
      </c>
      <c r="AM243" s="131">
        <f>AK243*AL243</f>
        <v>349965</v>
      </c>
      <c r="AN243" s="114">
        <f>566000/336.253*AK243</f>
        <v>84154.401596417</v>
      </c>
      <c r="AO243" s="170">
        <f>AN243-AM243</f>
        <v>-265810.598403583</v>
      </c>
      <c r="AP243" s="91"/>
      <c r="AQ243" s="387"/>
      <c r="AR243" s="482"/>
      <c r="AS243" s="482"/>
      <c r="AT243" s="482"/>
      <c r="AU243" s="137"/>
      <c r="AV243" s="137"/>
      <c r="AW243" s="482"/>
      <c r="AX243" s="142">
        <v>49.995</v>
      </c>
      <c r="AY243" s="114">
        <v>7000</v>
      </c>
      <c r="AZ243" s="171">
        <f>AX243*AY243</f>
        <v>349965</v>
      </c>
      <c r="BA243" s="127"/>
      <c r="BB243" s="127"/>
      <c r="BC243" s="127">
        <f>BA243-AZ243</f>
        <v>-349965</v>
      </c>
      <c r="BI243" s="149"/>
      <c r="BJ243" s="91"/>
    </row>
    <row r="244" s="78" customFormat="1" ht="14.45" customHeight="1" outlineLevel="2" spans="1:62">
      <c r="C244" s="572">
        <v>45677</v>
      </c>
      <c r="D244" s="78" t="s">
        <v>260</v>
      </c>
      <c r="E244" s="78" t="s">
        <v>264</v>
      </c>
      <c r="F244" s="78" t="s">
        <v>261</v>
      </c>
      <c r="G244" s="573"/>
      <c r="H244" s="78" t="s">
        <v>93</v>
      </c>
      <c r="I244" s="78" t="s">
        <v>245</v>
      </c>
      <c r="J244" s="174"/>
      <c r="K244" s="174"/>
      <c r="L244" s="174"/>
      <c r="M244" s="174"/>
      <c r="P244" s="175"/>
      <c r="Q244" s="175"/>
      <c r="R244" s="78" t="s">
        <v>88</v>
      </c>
      <c r="T244" s="572"/>
      <c r="U244" s="572"/>
      <c r="V244" s="572"/>
      <c r="Y244" s="174">
        <v>54.54</v>
      </c>
      <c r="Z244" s="173">
        <v>6750</v>
      </c>
      <c r="AA244" s="177">
        <f t="shared" si="21"/>
        <v>368145</v>
      </c>
      <c r="AB244" s="114">
        <f>AA244</f>
        <v>368145</v>
      </c>
      <c r="AC244" s="173"/>
      <c r="AD244" s="178"/>
      <c r="AE244" s="173"/>
      <c r="AF244" s="173"/>
      <c r="AG244" s="173"/>
      <c r="AH244" s="179"/>
      <c r="AI244" s="91"/>
      <c r="AJ244" s="180"/>
      <c r="AK244" s="181">
        <v>54.54</v>
      </c>
      <c r="AL244" s="173">
        <v>7000</v>
      </c>
      <c r="AM244" s="177">
        <f>AK244*AL244</f>
        <v>381780</v>
      </c>
      <c r="AN244" s="173">
        <f>566000/336.253*AK244</f>
        <v>91804.8017415458</v>
      </c>
      <c r="AO244" s="182">
        <f>AN244-AM244</f>
        <v>-289975.198258454</v>
      </c>
      <c r="AP244" s="91"/>
      <c r="AQ244" s="572"/>
      <c r="AR244" s="574"/>
      <c r="AS244" s="574"/>
      <c r="AT244" s="574"/>
      <c r="AU244" s="575"/>
      <c r="AV244" s="575"/>
      <c r="AW244" s="574"/>
      <c r="AX244" s="181">
        <v>54.54</v>
      </c>
      <c r="AY244" s="173">
        <v>7000</v>
      </c>
      <c r="AZ244" s="183">
        <f>AX244*AY244</f>
        <v>381780</v>
      </c>
      <c r="BA244" s="184"/>
      <c r="BB244" s="184"/>
      <c r="BC244" s="184">
        <f>BA244-AZ244</f>
        <v>-381780</v>
      </c>
      <c r="BI244" s="185"/>
      <c r="BJ244" s="175"/>
    </row>
    <row r="245" s="77" customFormat="1" ht="14.45" customHeight="1" outlineLevel="2" spans="1:62">
      <c r="C245" s="387">
        <v>45587</v>
      </c>
      <c r="D245" s="77" t="s">
        <v>252</v>
      </c>
      <c r="E245" s="77" t="s">
        <v>265</v>
      </c>
      <c r="F245" s="77" t="s">
        <v>253</v>
      </c>
      <c r="G245" s="570"/>
      <c r="H245" s="77" t="s">
        <v>93</v>
      </c>
      <c r="I245" s="77" t="s">
        <v>265</v>
      </c>
      <c r="J245" s="157">
        <v>47</v>
      </c>
      <c r="K245" s="158">
        <f>6450+250</f>
        <v>6700</v>
      </c>
      <c r="L245" s="158">
        <f>J245*K245</f>
        <v>314900</v>
      </c>
      <c r="M245" s="157"/>
      <c r="P245" s="160"/>
      <c r="Q245" s="160"/>
      <c r="R245" s="77" t="s">
        <v>88</v>
      </c>
      <c r="S245" s="77" t="s">
        <v>238</v>
      </c>
      <c r="T245" s="569">
        <v>45657</v>
      </c>
      <c r="U245" s="569"/>
      <c r="V245" s="569"/>
      <c r="Y245" s="77">
        <v>47</v>
      </c>
      <c r="Z245" s="155">
        <v>6450</v>
      </c>
      <c r="AA245" s="155">
        <f t="shared" si="21"/>
        <v>303150</v>
      </c>
      <c r="AB245" s="155"/>
      <c r="AC245" s="155"/>
      <c r="AD245" s="163"/>
      <c r="AE245" s="155"/>
      <c r="AF245" s="155"/>
      <c r="AG245" s="155"/>
      <c r="AH245" s="164"/>
      <c r="AI245" s="91"/>
      <c r="AJ245" s="165"/>
      <c r="AK245" s="165"/>
      <c r="AM245" s="155"/>
      <c r="AN245" s="155"/>
      <c r="AO245" s="166"/>
      <c r="AP245" s="91"/>
      <c r="AQ245" s="569"/>
      <c r="AR245" s="571"/>
      <c r="AS245" s="571"/>
      <c r="AT245" s="571"/>
      <c r="AU245" s="165"/>
      <c r="AV245" s="165"/>
      <c r="AW245" s="571"/>
      <c r="AX245" s="167"/>
      <c r="AY245" s="155"/>
      <c r="AZ245" s="186"/>
      <c r="BA245" s="168"/>
      <c r="BB245" s="168"/>
      <c r="BC245" s="168"/>
      <c r="BI245" s="169"/>
      <c r="BJ245" s="160"/>
    </row>
    <row r="246" s="76" customFormat="1" ht="14.45" customHeight="1" outlineLevel="2" spans="1:62">
      <c r="C246" s="387">
        <v>45677</v>
      </c>
      <c r="D246" s="76" t="s">
        <v>256</v>
      </c>
      <c r="E246" s="76" t="s">
        <v>266</v>
      </c>
      <c r="F246" s="76" t="s">
        <v>257</v>
      </c>
      <c r="G246" s="479"/>
      <c r="H246" s="76" t="s">
        <v>93</v>
      </c>
      <c r="I246" s="76" t="s">
        <v>266</v>
      </c>
      <c r="J246" s="129"/>
      <c r="K246" s="129"/>
      <c r="L246" s="129"/>
      <c r="M246" s="129"/>
      <c r="P246" s="91"/>
      <c r="Q246" s="91"/>
      <c r="R246" s="76" t="s">
        <v>88</v>
      </c>
      <c r="T246" s="387"/>
      <c r="U246" s="387"/>
      <c r="V246" s="387"/>
      <c r="Y246" s="129">
        <v>22.725</v>
      </c>
      <c r="Z246" s="114">
        <v>6450</v>
      </c>
      <c r="AA246" s="131">
        <f t="shared" si="21"/>
        <v>146576.25</v>
      </c>
      <c r="AB246" s="114">
        <f>AA246</f>
        <v>146576.25</v>
      </c>
      <c r="AC246" s="114"/>
      <c r="AD246" s="140"/>
      <c r="AE246" s="114"/>
      <c r="AF246" s="114"/>
      <c r="AG246" s="114"/>
      <c r="AH246" s="141"/>
      <c r="AI246" s="91"/>
      <c r="AJ246" s="137"/>
      <c r="AK246" s="142">
        <v>22.725</v>
      </c>
      <c r="AL246" s="114">
        <v>6700</v>
      </c>
      <c r="AM246" s="131">
        <f>AK246*AL246</f>
        <v>152257.5</v>
      </c>
      <c r="AN246" s="114">
        <f>566000/336.253*AK246</f>
        <v>38252.0007256441</v>
      </c>
      <c r="AO246" s="170">
        <f>AN246-AM246</f>
        <v>-114005.499274356</v>
      </c>
      <c r="AP246" s="91"/>
      <c r="AQ246" s="387"/>
      <c r="AR246" s="482"/>
      <c r="AS246" s="482"/>
      <c r="AT246" s="482"/>
      <c r="AU246" s="137"/>
      <c r="AV246" s="137"/>
      <c r="AW246" s="482"/>
      <c r="AX246" s="142">
        <v>22.725</v>
      </c>
      <c r="AY246" s="114">
        <v>6700</v>
      </c>
      <c r="AZ246" s="171">
        <f>AX246*AY246</f>
        <v>152257.5</v>
      </c>
      <c r="BA246" s="127"/>
      <c r="BB246" s="127"/>
      <c r="BC246" s="127">
        <f>BA246-AZ246</f>
        <v>-152257.5</v>
      </c>
      <c r="BI246" s="149"/>
      <c r="BJ246" s="91"/>
    </row>
    <row r="247" s="76" customFormat="1" ht="14.45" customHeight="1" outlineLevel="2" spans="1:62">
      <c r="C247" s="387"/>
      <c r="G247" s="479"/>
      <c r="J247" s="129"/>
      <c r="K247" s="129"/>
      <c r="L247" s="129"/>
      <c r="M247" s="129"/>
      <c r="P247" s="91"/>
      <c r="Q247" s="91"/>
      <c r="R247" s="76" t="s">
        <v>178</v>
      </c>
      <c r="T247" s="387"/>
      <c r="U247" s="387"/>
      <c r="V247" s="387"/>
      <c r="Y247" s="129"/>
      <c r="Z247" s="114"/>
      <c r="AA247" s="131"/>
      <c r="AB247" s="114"/>
      <c r="AC247" s="114"/>
      <c r="AD247" s="129">
        <v>22.725</v>
      </c>
      <c r="AE247" s="114">
        <v>2150</v>
      </c>
      <c r="AF247" s="131">
        <f>AD247*AE247</f>
        <v>48858.75</v>
      </c>
      <c r="AG247" s="114"/>
      <c r="AH247" s="141">
        <f>AG247-AF247</f>
        <v>-48858.75</v>
      </c>
      <c r="AI247" s="91"/>
      <c r="AJ247" s="137"/>
      <c r="AK247" s="142"/>
      <c r="AL247" s="114"/>
      <c r="AM247" s="131"/>
      <c r="AN247" s="114"/>
      <c r="AO247" s="144"/>
      <c r="AP247" s="91"/>
      <c r="AQ247" s="387"/>
      <c r="AR247" s="482"/>
      <c r="AS247" s="482"/>
      <c r="AT247" s="482"/>
      <c r="AU247" s="137"/>
      <c r="AV247" s="137"/>
      <c r="AW247" s="482"/>
      <c r="AX247" s="142"/>
      <c r="AY247" s="114"/>
      <c r="AZ247" s="171"/>
      <c r="BA247" s="127"/>
      <c r="BB247" s="127"/>
      <c r="BC247" s="127"/>
      <c r="BI247" s="149"/>
      <c r="BJ247" s="91"/>
    </row>
    <row r="248" s="76" customFormat="1" ht="14.45" customHeight="1" outlineLevel="2" spans="1:62">
      <c r="C248" s="387">
        <v>45677</v>
      </c>
      <c r="D248" s="76" t="s">
        <v>258</v>
      </c>
      <c r="E248" s="76" t="s">
        <v>267</v>
      </c>
      <c r="F248" s="76" t="s">
        <v>259</v>
      </c>
      <c r="G248" s="479"/>
      <c r="H248" s="76" t="s">
        <v>93</v>
      </c>
      <c r="I248" s="76" t="s">
        <v>267</v>
      </c>
      <c r="J248" s="129"/>
      <c r="K248" s="129"/>
      <c r="L248" s="129"/>
      <c r="M248" s="129"/>
      <c r="P248" s="91"/>
      <c r="Q248" s="91"/>
      <c r="R248" s="76" t="s">
        <v>88</v>
      </c>
      <c r="T248" s="387"/>
      <c r="U248" s="387"/>
      <c r="V248" s="387"/>
      <c r="Y248" s="129">
        <v>21.168</v>
      </c>
      <c r="Z248" s="114">
        <v>6450</v>
      </c>
      <c r="AA248" s="131">
        <f>Y248*Z248</f>
        <v>136533.6</v>
      </c>
      <c r="AB248" s="114">
        <f>AA248</f>
        <v>136533.6</v>
      </c>
      <c r="AC248" s="114"/>
      <c r="AD248" s="140"/>
      <c r="AE248" s="114"/>
      <c r="AF248" s="114"/>
      <c r="AG248" s="114"/>
      <c r="AH248" s="141"/>
      <c r="AI248" s="91"/>
      <c r="AJ248" s="137"/>
      <c r="AK248" s="142">
        <v>21.168</v>
      </c>
      <c r="AL248" s="114">
        <v>6700</v>
      </c>
      <c r="AM248" s="131">
        <f>AK248*AL248</f>
        <v>141825.6</v>
      </c>
      <c r="AN248" s="114">
        <f>566000/336.253*AK248</f>
        <v>35631.1705769168</v>
      </c>
      <c r="AO248" s="170">
        <f>AN248-AM248</f>
        <v>-106194.429423083</v>
      </c>
      <c r="AP248" s="91"/>
      <c r="AQ248" s="387"/>
      <c r="AR248" s="482"/>
      <c r="AS248" s="482"/>
      <c r="AT248" s="482"/>
      <c r="AU248" s="137"/>
      <c r="AV248" s="137"/>
      <c r="AW248" s="482"/>
      <c r="AX248" s="142">
        <v>21.168</v>
      </c>
      <c r="AY248" s="114">
        <v>6700</v>
      </c>
      <c r="AZ248" s="171">
        <f>AX248*AY248</f>
        <v>141825.6</v>
      </c>
      <c r="BA248" s="127"/>
      <c r="BB248" s="127"/>
      <c r="BC248" s="127">
        <f>BA248-AZ248</f>
        <v>-141825.6</v>
      </c>
      <c r="BI248" s="149"/>
      <c r="BJ248" s="91"/>
    </row>
    <row r="249" s="77" customFormat="1" ht="14.45" customHeight="1" outlineLevel="2" spans="1:62">
      <c r="C249" s="569"/>
      <c r="G249" s="570"/>
      <c r="J249" s="157"/>
      <c r="K249" s="158"/>
      <c r="L249" s="158"/>
      <c r="M249" s="158"/>
      <c r="N249" s="158"/>
      <c r="O249" s="159"/>
      <c r="P249" s="160"/>
      <c r="Q249" s="160"/>
      <c r="R249" s="77" t="s">
        <v>233</v>
      </c>
      <c r="S249" s="77" t="s">
        <v>268</v>
      </c>
      <c r="T249" s="569"/>
      <c r="U249" s="569"/>
      <c r="V249" s="569"/>
      <c r="X249" s="154"/>
      <c r="Y249" s="157">
        <v>336.253</v>
      </c>
      <c r="Z249" s="162">
        <f>AA249/Y249</f>
        <v>0</v>
      </c>
      <c r="AA249" s="155"/>
      <c r="AB249" s="155"/>
      <c r="AC249" s="155"/>
      <c r="AD249" s="163"/>
      <c r="AE249" s="155"/>
      <c r="AF249" s="155"/>
      <c r="AG249" s="155"/>
      <c r="AH249" s="164"/>
      <c r="AI249" s="91"/>
      <c r="AJ249" s="165"/>
      <c r="AK249" s="165"/>
      <c r="AL249" s="158"/>
      <c r="AM249" s="155"/>
      <c r="AN249" s="155"/>
      <c r="AO249" s="166"/>
      <c r="AP249" s="91"/>
      <c r="AQ249" s="569"/>
      <c r="AR249" s="571"/>
      <c r="AS249" s="571"/>
      <c r="AT249" s="571"/>
      <c r="AU249" s="165"/>
      <c r="AV249" s="165"/>
      <c r="AW249" s="571"/>
      <c r="AX249" s="167"/>
      <c r="AY249" s="155"/>
      <c r="AZ249" s="186"/>
      <c r="BA249" s="168"/>
      <c r="BB249" s="168"/>
      <c r="BC249" s="168"/>
      <c r="BI249" s="169"/>
      <c r="BJ249" s="160"/>
    </row>
    <row r="250" s="77" customFormat="1" ht="14.45" customHeight="1" outlineLevel="2" spans="1:62">
      <c r="C250" s="569"/>
      <c r="D250" s="77" t="s">
        <v>269</v>
      </c>
      <c r="E250" s="77" t="s">
        <v>270</v>
      </c>
      <c r="G250" s="570"/>
      <c r="I250" s="77" t="s">
        <v>270</v>
      </c>
      <c r="J250" s="157"/>
      <c r="K250" s="157"/>
      <c r="L250" s="157"/>
      <c r="M250" s="157"/>
      <c r="P250" s="160"/>
      <c r="Q250" s="160"/>
      <c r="T250" s="569"/>
      <c r="U250" s="569"/>
      <c r="V250" s="571"/>
      <c r="W250" s="165"/>
      <c r="X250" s="165"/>
      <c r="Y250" s="167">
        <v>0.693</v>
      </c>
      <c r="Z250" s="155">
        <v>6600</v>
      </c>
      <c r="AA250" s="576">
        <f>Y250*Z250</f>
        <v>4573.8</v>
      </c>
      <c r="AB250" s="155">
        <f>AA250</f>
        <v>4573.8</v>
      </c>
      <c r="AC250" s="155"/>
      <c r="AD250" s="163"/>
      <c r="AE250" s="155"/>
      <c r="AF250" s="155"/>
      <c r="AG250" s="155"/>
      <c r="AH250" s="164"/>
      <c r="AI250" s="91"/>
      <c r="AJ250" s="165"/>
      <c r="AK250" s="167">
        <v>0.693</v>
      </c>
      <c r="AL250" s="155">
        <v>6850</v>
      </c>
      <c r="AM250" s="158">
        <f>AK250*AL250</f>
        <v>4747.05</v>
      </c>
      <c r="AN250" s="155"/>
      <c r="AO250" s="164"/>
      <c r="AP250" s="91"/>
      <c r="AQ250" s="571"/>
      <c r="AR250" s="571"/>
      <c r="AS250" s="571"/>
      <c r="AT250" s="571"/>
      <c r="AU250" s="165"/>
      <c r="AV250" s="165"/>
      <c r="AW250" s="571"/>
      <c r="AX250" s="167">
        <v>0.693</v>
      </c>
      <c r="AY250" s="155">
        <v>6850</v>
      </c>
      <c r="AZ250" s="171">
        <f>AX250*AY250</f>
        <v>4747.05</v>
      </c>
      <c r="BA250" s="168"/>
      <c r="BB250" s="168"/>
      <c r="BC250" s="168">
        <f>BA250-AZ250</f>
        <v>-4747.05</v>
      </c>
      <c r="BI250" s="188"/>
      <c r="BJ250" s="160"/>
    </row>
    <row r="251" s="76" customFormat="1" ht="14.45" customHeight="1" outlineLevel="2" spans="1:62">
      <c r="C251" s="387"/>
      <c r="D251" s="77" t="s">
        <v>269</v>
      </c>
      <c r="E251" s="76" t="s">
        <v>271</v>
      </c>
      <c r="G251" s="479"/>
      <c r="I251" s="76" t="s">
        <v>271</v>
      </c>
      <c r="J251" s="129"/>
      <c r="K251" s="129"/>
      <c r="L251" s="129"/>
      <c r="M251" s="129"/>
      <c r="P251" s="91"/>
      <c r="Q251" s="91"/>
      <c r="T251" s="387"/>
      <c r="U251" s="387"/>
      <c r="V251" s="482"/>
      <c r="W251" s="137"/>
      <c r="X251" s="137"/>
      <c r="Y251" s="142">
        <v>0.995</v>
      </c>
      <c r="Z251" s="114">
        <v>6450</v>
      </c>
      <c r="AA251" s="171">
        <f>Y251*Z251</f>
        <v>6417.75</v>
      </c>
      <c r="AB251" s="155">
        <f>AA251</f>
        <v>6417.75</v>
      </c>
      <c r="AC251" s="114"/>
      <c r="AD251" s="140"/>
      <c r="AE251" s="114"/>
      <c r="AF251" s="114"/>
      <c r="AG251" s="114"/>
      <c r="AH251" s="141"/>
      <c r="AI251" s="91"/>
      <c r="AJ251" s="137"/>
      <c r="AK251" s="142">
        <v>0.995</v>
      </c>
      <c r="AL251" s="114">
        <v>6700</v>
      </c>
      <c r="AM251" s="131">
        <f>AK251*AL251</f>
        <v>6666.5</v>
      </c>
      <c r="AN251" s="114">
        <v>2309989</v>
      </c>
      <c r="AO251" s="144"/>
      <c r="AP251" s="91"/>
      <c r="AQ251" s="482"/>
      <c r="AR251" s="482"/>
      <c r="AS251" s="482"/>
      <c r="AT251" s="482"/>
      <c r="AU251" s="137"/>
      <c r="AV251" s="137"/>
      <c r="AW251" s="482"/>
      <c r="AX251" s="142">
        <v>0.995</v>
      </c>
      <c r="AY251" s="114">
        <v>6700</v>
      </c>
      <c r="AZ251" s="171">
        <f>AX251*AY251</f>
        <v>6666.5</v>
      </c>
      <c r="BA251" s="127">
        <v>2309989</v>
      </c>
      <c r="BB251" s="127"/>
      <c r="BC251" s="127">
        <f>BA251-AZ251</f>
        <v>2303322.5</v>
      </c>
      <c r="BI251" s="149"/>
      <c r="BJ251" s="91"/>
    </row>
    <row r="252" s="76" customFormat="1" ht="14.45" customHeight="1" outlineLevel="2" spans="1:62">
      <c r="C252" s="387"/>
      <c r="D252" s="77" t="s">
        <v>269</v>
      </c>
      <c r="E252" s="76" t="s">
        <v>265</v>
      </c>
      <c r="G252" s="479"/>
      <c r="I252" s="76" t="s">
        <v>265</v>
      </c>
      <c r="J252" s="129"/>
      <c r="K252" s="129"/>
      <c r="L252" s="129"/>
      <c r="M252" s="129"/>
      <c r="P252" s="91"/>
      <c r="Q252" s="91"/>
      <c r="T252" s="387"/>
      <c r="U252" s="387"/>
      <c r="V252" s="482"/>
      <c r="W252" s="137"/>
      <c r="X252" s="137"/>
      <c r="Y252" s="142">
        <v>1.354</v>
      </c>
      <c r="Z252" s="114">
        <v>6450</v>
      </c>
      <c r="AA252" s="171">
        <f>Y252*Z252</f>
        <v>8733.3</v>
      </c>
      <c r="AB252" s="155">
        <f>AA252</f>
        <v>8733.3</v>
      </c>
      <c r="AC252" s="144">
        <v>200000</v>
      </c>
      <c r="AD252" s="140">
        <v>1.354</v>
      </c>
      <c r="AE252" s="114">
        <v>2150</v>
      </c>
      <c r="AF252" s="131">
        <f>AD252*AE252</f>
        <v>2911.1</v>
      </c>
      <c r="AG252" s="114"/>
      <c r="AH252" s="141">
        <f>AG252-AF252</f>
        <v>-2911.1</v>
      </c>
      <c r="AI252" s="91"/>
      <c r="AJ252" s="137"/>
      <c r="AK252" s="142">
        <v>1.354</v>
      </c>
      <c r="AL252" s="114">
        <v>6700</v>
      </c>
      <c r="AM252" s="131">
        <f>AK252*AL252</f>
        <v>9071.8</v>
      </c>
      <c r="AO252" s="144"/>
      <c r="AP252" s="91"/>
      <c r="AQ252" s="482"/>
      <c r="AR252" s="482"/>
      <c r="AS252" s="482"/>
      <c r="AT252" s="482"/>
      <c r="AU252" s="137"/>
      <c r="AV252" s="137"/>
      <c r="AW252" s="482"/>
      <c r="AX252" s="142">
        <v>1.354</v>
      </c>
      <c r="AY252" s="114">
        <v>6700</v>
      </c>
      <c r="AZ252" s="171">
        <f>AX252*AY252</f>
        <v>9071.8</v>
      </c>
      <c r="BA252" s="127"/>
      <c r="BB252" s="127"/>
      <c r="BC252" s="127">
        <f>BA252-AZ252</f>
        <v>-9071.8</v>
      </c>
      <c r="BD252" s="76">
        <v>200000</v>
      </c>
      <c r="BI252" s="149"/>
      <c r="BJ252" s="91"/>
    </row>
    <row r="253" s="79" customFormat="1" ht="14.45" customHeight="1" spans="1:62">
      <c r="A253" s="79">
        <v>40</v>
      </c>
      <c r="C253" s="463" t="s">
        <v>69</v>
      </c>
      <c r="D253" s="79" t="s">
        <v>253</v>
      </c>
      <c r="E253" s="79" t="s">
        <v>103</v>
      </c>
      <c r="F253" s="79" t="s">
        <v>253</v>
      </c>
      <c r="G253" s="486"/>
      <c r="H253" s="79" t="s">
        <v>93</v>
      </c>
      <c r="I253" s="79" t="s">
        <v>103</v>
      </c>
      <c r="J253" s="194">
        <f>SUM(J231:J252)</f>
        <v>330</v>
      </c>
      <c r="K253" s="194"/>
      <c r="L253" s="194">
        <f>SUM(L231:L252)</f>
        <v>2994200</v>
      </c>
      <c r="M253" s="194"/>
      <c r="N253" s="194">
        <f>SUM(N231:N252)</f>
        <v>566000</v>
      </c>
      <c r="O253" s="194">
        <f>SUM(O231:O252)</f>
        <v>2113300</v>
      </c>
      <c r="P253" s="91"/>
      <c r="Q253" s="91"/>
      <c r="T253" s="463"/>
      <c r="U253" s="463"/>
      <c r="V253" s="463"/>
      <c r="X253" s="193"/>
      <c r="Y253" s="194"/>
      <c r="Z253" s="192"/>
      <c r="AA253" s="192">
        <f>SUM(AA231:AA252)-AA231-AA238-AA241-AA245</f>
        <v>2252769.6</v>
      </c>
      <c r="AB253" s="192">
        <f>SUM(AB232:AB252)</f>
        <v>2252769.6</v>
      </c>
      <c r="AC253" s="192">
        <f>AA253-AB253</f>
        <v>0</v>
      </c>
      <c r="AD253" s="196"/>
      <c r="AE253" s="192"/>
      <c r="AF253" s="192"/>
      <c r="AG253" s="192"/>
      <c r="AH253" s="577">
        <f>SUM(AH231:AH252)</f>
        <v>9522.65</v>
      </c>
      <c r="AI253" s="91"/>
      <c r="AJ253" s="225"/>
      <c r="AK253" s="225"/>
      <c r="AM253" s="192">
        <f>SUM(AM231:AM252)</f>
        <v>2337593.35</v>
      </c>
      <c r="AN253" s="192">
        <f>SUM(AN231:AN252)</f>
        <v>2875989</v>
      </c>
      <c r="AO253" s="490">
        <f>SUM(AO231:AO252)</f>
        <v>-1751108</v>
      </c>
      <c r="AP253" s="91"/>
      <c r="AQ253" s="463"/>
      <c r="AR253" s="491"/>
      <c r="AS253" s="491"/>
      <c r="AT253" s="491"/>
      <c r="AU253" s="225"/>
      <c r="AV253" s="225"/>
      <c r="AW253" s="491"/>
      <c r="AX253" s="536">
        <f>SUM(AX231:AX252)</f>
        <v>339.295</v>
      </c>
      <c r="AY253" s="192"/>
      <c r="AZ253" s="150">
        <f>SUM(AZ231:AZ252)</f>
        <v>2337593.35</v>
      </c>
      <c r="BA253" s="150">
        <f>SUM(BA231:BA252)</f>
        <v>2875989</v>
      </c>
      <c r="BB253" s="150"/>
      <c r="BC253" s="150">
        <f>SUM(BC231:BC252)</f>
        <v>538395.65</v>
      </c>
      <c r="BI253" s="478" t="s">
        <v>60</v>
      </c>
      <c r="BJ253" s="91"/>
    </row>
    <row r="254" s="76" customFormat="1" ht="14.45" customHeight="1" outlineLevel="1" spans="1:62">
      <c r="C254" s="387">
        <v>45588</v>
      </c>
      <c r="D254" s="76" t="s">
        <v>272</v>
      </c>
      <c r="E254" s="76" t="s">
        <v>273</v>
      </c>
      <c r="F254" s="76" t="s">
        <v>272</v>
      </c>
      <c r="G254" s="479"/>
      <c r="H254" s="76" t="s">
        <v>93</v>
      </c>
      <c r="I254" s="76" t="s">
        <v>273</v>
      </c>
      <c r="J254" s="129">
        <v>2280000</v>
      </c>
      <c r="K254" s="76">
        <v>0.2315</v>
      </c>
      <c r="L254" s="131">
        <f>J254*K254</f>
        <v>527820</v>
      </c>
      <c r="M254" s="131"/>
      <c r="N254" s="131">
        <v>174000</v>
      </c>
      <c r="O254" s="132">
        <f>L254-N254</f>
        <v>353820</v>
      </c>
      <c r="P254" s="91"/>
      <c r="Q254" s="91"/>
      <c r="R254" s="76" t="s">
        <v>88</v>
      </c>
      <c r="S254" s="76" t="s">
        <v>228</v>
      </c>
      <c r="T254" s="387">
        <v>45587</v>
      </c>
      <c r="U254" s="387">
        <f>T254+60</f>
        <v>45647</v>
      </c>
      <c r="V254" s="387"/>
      <c r="X254" s="133"/>
      <c r="Y254" s="76">
        <v>2280000</v>
      </c>
      <c r="Z254" s="114">
        <v>0.25</v>
      </c>
      <c r="AA254" s="114">
        <f>Y254*Z254</f>
        <v>570000</v>
      </c>
      <c r="AB254" s="114">
        <v>570000</v>
      </c>
      <c r="AC254" s="114">
        <f>AA254-AB254</f>
        <v>0</v>
      </c>
      <c r="AD254" s="140"/>
      <c r="AE254" s="114"/>
      <c r="AF254" s="114"/>
      <c r="AG254" s="114"/>
      <c r="AH254" s="141"/>
      <c r="AI254" s="91"/>
      <c r="AJ254" s="137"/>
      <c r="AK254" s="137"/>
      <c r="AM254" s="114"/>
      <c r="AN254" s="127">
        <v>170000</v>
      </c>
      <c r="AO254" s="144"/>
      <c r="AP254" s="91"/>
      <c r="AQ254" s="387"/>
      <c r="AR254" s="482"/>
      <c r="AS254" s="482"/>
      <c r="AT254" s="482"/>
      <c r="AU254" s="137"/>
      <c r="AV254" s="137"/>
      <c r="AW254" s="482"/>
      <c r="AX254" s="142"/>
      <c r="AY254" s="114"/>
      <c r="AZ254" s="127"/>
      <c r="BA254" s="127">
        <v>170000</v>
      </c>
      <c r="BB254" s="127">
        <v>4000</v>
      </c>
      <c r="BC254" s="127">
        <f>BA254+BB254-AZ254</f>
        <v>174000</v>
      </c>
      <c r="BI254" s="75"/>
      <c r="BJ254" s="91"/>
    </row>
    <row r="255" s="76" customFormat="1" ht="14.45" customHeight="1" outlineLevel="1" spans="1:62">
      <c r="C255" s="387"/>
      <c r="G255" s="479"/>
      <c r="J255" s="129"/>
      <c r="K255" s="129"/>
      <c r="L255" s="129"/>
      <c r="M255" s="129"/>
      <c r="P255" s="91"/>
      <c r="Q255" s="91"/>
      <c r="R255" s="578" t="s">
        <v>95</v>
      </c>
      <c r="T255" s="387"/>
      <c r="U255" s="387"/>
      <c r="V255" s="387"/>
      <c r="X255" s="133"/>
      <c r="Z255" s="114"/>
      <c r="AA255" s="114">
        <f>-(AZ258*0.13/1.13)</f>
        <v>-61089.8761061947</v>
      </c>
      <c r="AB255" s="114"/>
      <c r="AC255" s="114"/>
      <c r="AD255" s="140"/>
      <c r="AE255" s="114"/>
      <c r="AF255" s="114"/>
      <c r="AG255" s="114"/>
      <c r="AH255" s="141"/>
      <c r="AI255" s="91"/>
      <c r="AJ255" s="137"/>
      <c r="AK255" s="137"/>
      <c r="AM255" s="114"/>
      <c r="AN255" s="127">
        <v>4000</v>
      </c>
      <c r="AO255" s="144"/>
      <c r="AP255" s="91"/>
      <c r="AQ255" s="387"/>
      <c r="AR255" s="482"/>
      <c r="AS255" s="482"/>
      <c r="AT255" s="482"/>
      <c r="AU255" s="137"/>
      <c r="AV255" s="137"/>
      <c r="AW255" s="482"/>
      <c r="AX255" s="142"/>
      <c r="AY255" s="114"/>
      <c r="AZ255" s="127"/>
      <c r="BA255" s="127"/>
      <c r="BB255" s="127">
        <v>527820</v>
      </c>
      <c r="BC255" s="127">
        <f>BA255+BB255-AZ255</f>
        <v>527820</v>
      </c>
      <c r="BI255" s="75"/>
      <c r="BJ255" s="91"/>
    </row>
    <row r="256" s="76" customFormat="1" ht="14.45" customHeight="1" outlineLevel="1" collapsed="1" spans="1:62">
      <c r="C256" s="387"/>
      <c r="G256" s="479"/>
      <c r="J256" s="146"/>
      <c r="K256" s="146"/>
      <c r="L256" s="147"/>
      <c r="M256" s="147"/>
      <c r="N256" s="148"/>
      <c r="P256" s="91"/>
      <c r="Q256" s="91"/>
      <c r="T256" s="387"/>
      <c r="U256" s="387"/>
      <c r="V256" s="387"/>
      <c r="X256" s="133"/>
      <c r="Z256" s="114"/>
      <c r="AA256" s="114"/>
      <c r="AB256" s="114"/>
      <c r="AC256" s="114"/>
      <c r="AD256" s="140"/>
      <c r="AE256" s="114"/>
      <c r="AF256" s="114"/>
      <c r="AG256" s="114"/>
      <c r="AH256" s="141"/>
      <c r="AI256" s="91"/>
      <c r="AJ256" s="137"/>
      <c r="AK256" s="142">
        <v>1140000</v>
      </c>
      <c r="AL256" s="263">
        <v>0.2329</v>
      </c>
      <c r="AM256" s="134">
        <f>AK256*AL256</f>
        <v>265506</v>
      </c>
      <c r="AN256" s="127">
        <v>527820</v>
      </c>
      <c r="AO256" s="144"/>
      <c r="AP256" s="91"/>
      <c r="AQ256" s="387"/>
      <c r="AR256" s="482"/>
      <c r="AS256" s="482"/>
      <c r="AT256" s="482"/>
      <c r="AU256" s="137"/>
      <c r="AV256" s="137"/>
      <c r="AW256" s="482"/>
      <c r="AX256" s="142">
        <v>1140000</v>
      </c>
      <c r="AY256" s="263">
        <v>0.2329</v>
      </c>
      <c r="AZ256" s="134">
        <f>AX256*AY256</f>
        <v>265506</v>
      </c>
      <c r="BA256" s="127"/>
      <c r="BB256" s="127"/>
      <c r="BC256" s="127">
        <f>BA256+BB256-AZ256</f>
        <v>-265506</v>
      </c>
      <c r="BI256" s="149"/>
      <c r="BJ256" s="91"/>
    </row>
    <row r="257" s="76" customFormat="1" ht="14.45" customHeight="1" outlineLevel="1" spans="1:62">
      <c r="C257" s="387"/>
      <c r="G257" s="479"/>
      <c r="J257" s="146"/>
      <c r="K257" s="146"/>
      <c r="L257" s="147"/>
      <c r="M257" s="147"/>
      <c r="N257" s="148"/>
      <c r="P257" s="91"/>
      <c r="Q257" s="91"/>
      <c r="T257" s="387"/>
      <c r="U257" s="387"/>
      <c r="V257" s="387"/>
      <c r="X257" s="133"/>
      <c r="Z257" s="114"/>
      <c r="AA257" s="114"/>
      <c r="AB257" s="114"/>
      <c r="AC257" s="114"/>
      <c r="AD257" s="140"/>
      <c r="AE257" s="114"/>
      <c r="AF257" s="114"/>
      <c r="AG257" s="114"/>
      <c r="AH257" s="141"/>
      <c r="AI257" s="91"/>
      <c r="AJ257" s="137"/>
      <c r="AK257" s="142">
        <v>1140000</v>
      </c>
      <c r="AL257" s="263">
        <v>0.2329</v>
      </c>
      <c r="AM257" s="134">
        <f>AK257*AL257</f>
        <v>265506</v>
      </c>
      <c r="AN257" s="114"/>
      <c r="AO257" s="144"/>
      <c r="AP257" s="91"/>
      <c r="AQ257" s="387"/>
      <c r="AR257" s="482"/>
      <c r="AS257" s="482"/>
      <c r="AT257" s="482"/>
      <c r="AU257" s="137"/>
      <c r="AV257" s="137"/>
      <c r="AW257" s="482"/>
      <c r="AX257" s="142">
        <v>1140000</v>
      </c>
      <c r="AY257" s="263">
        <v>0.2329</v>
      </c>
      <c r="AZ257" s="134">
        <f>AX257*AY257</f>
        <v>265506</v>
      </c>
      <c r="BA257" s="127"/>
      <c r="BB257" s="127"/>
      <c r="BC257" s="127">
        <f>BA257+BB257-AZ257</f>
        <v>-265506</v>
      </c>
      <c r="BI257" s="149"/>
      <c r="BJ257" s="91"/>
    </row>
    <row r="258" s="79" customFormat="1" ht="14.45" customHeight="1" spans="1:62">
      <c r="A258" s="79">
        <v>41</v>
      </c>
      <c r="C258" s="463" t="s">
        <v>69</v>
      </c>
      <c r="D258" s="79" t="s">
        <v>272</v>
      </c>
      <c r="E258" s="151" t="s">
        <v>273</v>
      </c>
      <c r="F258" s="79" t="s">
        <v>272</v>
      </c>
      <c r="G258" s="486"/>
      <c r="H258" s="79" t="s">
        <v>93</v>
      </c>
      <c r="I258" s="151" t="s">
        <v>273</v>
      </c>
      <c r="J258" s="579">
        <v>2280000</v>
      </c>
      <c r="K258" s="487"/>
      <c r="L258" s="488"/>
      <c r="M258" s="488"/>
      <c r="N258" s="489"/>
      <c r="P258" s="91"/>
      <c r="Q258" s="91"/>
      <c r="T258" s="463"/>
      <c r="U258" s="463"/>
      <c r="V258" s="463"/>
      <c r="X258" s="193"/>
      <c r="Z258" s="192"/>
      <c r="AA258" s="192">
        <f>SUM(AA254:AA257)</f>
        <v>508910.123893805</v>
      </c>
      <c r="AB258" s="192">
        <f>AB254</f>
        <v>570000</v>
      </c>
      <c r="AC258" s="192"/>
      <c r="AD258" s="196"/>
      <c r="AE258" s="192"/>
      <c r="AF258" s="192"/>
      <c r="AG258" s="192"/>
      <c r="AH258" s="227"/>
      <c r="AI258" s="91"/>
      <c r="AJ258" s="225"/>
      <c r="AK258" s="225"/>
      <c r="AM258" s="192">
        <f>SUM(AM254:AM257)</f>
        <v>531012</v>
      </c>
      <c r="AN258" s="192">
        <f>SUM(AN254:AN257)</f>
        <v>701820</v>
      </c>
      <c r="AO258" s="490"/>
      <c r="AP258" s="91"/>
      <c r="AQ258" s="463"/>
      <c r="AR258" s="491"/>
      <c r="AS258" s="491"/>
      <c r="AT258" s="491"/>
      <c r="AU258" s="225"/>
      <c r="AV258" s="225"/>
      <c r="AW258" s="491"/>
      <c r="AX258" s="492">
        <f>SUM(AX256:AX257)</f>
        <v>2280000</v>
      </c>
      <c r="AY258" s="192"/>
      <c r="AZ258" s="150">
        <f>SUM(AZ256:AZ257)</f>
        <v>531012</v>
      </c>
      <c r="BA258" s="150">
        <f>SUM(BA254:BA255)</f>
        <v>170000</v>
      </c>
      <c r="BB258" s="150">
        <f>BB254+BB255</f>
        <v>531820</v>
      </c>
      <c r="BC258" s="580">
        <f>SUM(BC254:BC257)</f>
        <v>170808</v>
      </c>
      <c r="BI258" s="478" t="s">
        <v>60</v>
      </c>
      <c r="BJ258" s="91"/>
    </row>
    <row r="259" s="76" customFormat="1" ht="14.45" customHeight="1" outlineLevel="1" spans="1:62">
      <c r="C259" s="387">
        <v>45594</v>
      </c>
      <c r="D259" s="76" t="s">
        <v>274</v>
      </c>
      <c r="E259" s="76" t="s">
        <v>275</v>
      </c>
      <c r="F259" s="76" t="s">
        <v>274</v>
      </c>
      <c r="G259" s="581">
        <f>500000+775834+123951.75</f>
        <v>1399785.75</v>
      </c>
      <c r="H259" s="76" t="s">
        <v>93</v>
      </c>
      <c r="I259" s="76" t="s">
        <v>275</v>
      </c>
      <c r="J259" s="129">
        <v>160</v>
      </c>
      <c r="K259" s="131">
        <v>6300</v>
      </c>
      <c r="L259" s="134">
        <f>J259*K259</f>
        <v>1008000</v>
      </c>
      <c r="M259" s="134"/>
      <c r="N259" s="134">
        <v>300000</v>
      </c>
      <c r="O259" s="582">
        <f>N259-L259</f>
        <v>-708000</v>
      </c>
      <c r="P259" s="91"/>
      <c r="Q259" s="91"/>
      <c r="R259" s="76" t="s">
        <v>276</v>
      </c>
      <c r="S259" s="76" t="s">
        <v>277</v>
      </c>
      <c r="T259" s="387">
        <v>45541</v>
      </c>
      <c r="U259" s="387">
        <f>T259+60</f>
        <v>45601</v>
      </c>
      <c r="V259" s="387"/>
      <c r="X259" s="133"/>
      <c r="Y259" s="76">
        <v>162</v>
      </c>
      <c r="Z259" s="134">
        <v>5940</v>
      </c>
      <c r="AA259" s="114">
        <f>Y259*Z259</f>
        <v>962280</v>
      </c>
      <c r="AB259" s="134">
        <v>290000</v>
      </c>
      <c r="AC259" s="134">
        <f>AA259-AB259</f>
        <v>672280</v>
      </c>
      <c r="AD259" s="135"/>
      <c r="AE259" s="134"/>
      <c r="AF259" s="134"/>
      <c r="AG259" s="134"/>
      <c r="AH259" s="136"/>
      <c r="AI259" s="91"/>
      <c r="AJ259" s="137"/>
      <c r="AK259" s="142">
        <v>164.88</v>
      </c>
      <c r="AL259" s="138">
        <v>6300</v>
      </c>
      <c r="AM259" s="114">
        <f>AK259*AL259</f>
        <v>1038744</v>
      </c>
      <c r="AN259" s="114"/>
      <c r="AO259" s="139"/>
      <c r="AP259" s="91"/>
      <c r="AQ259" s="387"/>
      <c r="AR259" s="482"/>
      <c r="AS259" s="482"/>
      <c r="AT259" s="482"/>
      <c r="AU259" s="137"/>
      <c r="AV259" s="137"/>
      <c r="AW259" s="482"/>
      <c r="AX259" s="142">
        <v>164.88</v>
      </c>
      <c r="AY259" s="114">
        <v>6300</v>
      </c>
      <c r="AZ259" s="127">
        <f>AX259*AY259</f>
        <v>1038744</v>
      </c>
      <c r="BA259" s="127">
        <v>500000</v>
      </c>
      <c r="BB259" s="127">
        <v>775834</v>
      </c>
      <c r="BC259" s="391">
        <f>BB259+BA259-AZ259</f>
        <v>237090</v>
      </c>
      <c r="BI259" s="75"/>
      <c r="BJ259" s="91"/>
    </row>
    <row r="260" s="76" customFormat="1" ht="14.45" customHeight="1" outlineLevel="1" spans="1:62">
      <c r="C260" s="387"/>
      <c r="G260" s="479"/>
      <c r="J260" s="129"/>
      <c r="K260" s="131"/>
      <c r="L260" s="134"/>
      <c r="M260" s="134"/>
      <c r="N260" s="134"/>
      <c r="O260" s="582"/>
      <c r="P260" s="91"/>
      <c r="Q260" s="91"/>
      <c r="T260" s="387"/>
      <c r="U260" s="387"/>
      <c r="V260" s="387"/>
      <c r="X260" s="133"/>
      <c r="Z260" s="134"/>
      <c r="AA260" s="114"/>
      <c r="AB260" s="134"/>
      <c r="AC260" s="134"/>
      <c r="AD260" s="135"/>
      <c r="AE260" s="134"/>
      <c r="AF260" s="134"/>
      <c r="AG260" s="134"/>
      <c r="AH260" s="136"/>
      <c r="AI260" s="91"/>
      <c r="AJ260" s="137"/>
      <c r="AK260" s="137">
        <v>4.3</v>
      </c>
      <c r="AL260" s="138"/>
      <c r="AM260" s="114"/>
      <c r="AN260" s="114"/>
      <c r="AO260" s="139"/>
      <c r="AP260" s="91"/>
      <c r="AQ260" s="387"/>
      <c r="AR260" s="482"/>
      <c r="AS260" s="482"/>
      <c r="AT260" s="482"/>
      <c r="AU260" s="137"/>
      <c r="AV260" s="137"/>
      <c r="AW260" s="482"/>
      <c r="AX260" s="142"/>
      <c r="AY260" s="114"/>
      <c r="AZ260" s="127"/>
      <c r="BA260" s="127"/>
      <c r="BB260" s="127"/>
      <c r="BC260" s="391"/>
      <c r="BI260" s="75"/>
      <c r="BJ260" s="91"/>
    </row>
    <row r="261" s="76" customFormat="1" ht="14.45" customHeight="1" outlineLevel="1" spans="1:62">
      <c r="C261" s="387"/>
      <c r="D261" s="76" t="s">
        <v>278</v>
      </c>
      <c r="E261" s="76" t="s">
        <v>275</v>
      </c>
      <c r="F261" s="76" t="s">
        <v>279</v>
      </c>
      <c r="G261" s="479"/>
      <c r="H261" s="76" t="s">
        <v>93</v>
      </c>
      <c r="I261" s="76" t="s">
        <v>275</v>
      </c>
      <c r="J261" s="129">
        <v>54</v>
      </c>
      <c r="K261" s="545">
        <v>6550</v>
      </c>
      <c r="L261" s="134">
        <f>J261*K261</f>
        <v>353700</v>
      </c>
      <c r="M261" s="134"/>
      <c r="N261" s="134">
        <v>200000</v>
      </c>
      <c r="O261" s="582">
        <f>N261-L261</f>
        <v>-153700</v>
      </c>
      <c r="P261" s="91"/>
      <c r="Q261" s="91"/>
      <c r="R261" s="76" t="s">
        <v>280</v>
      </c>
      <c r="S261" s="76" t="s">
        <v>281</v>
      </c>
      <c r="T261" s="387">
        <v>45635</v>
      </c>
      <c r="U261" s="387">
        <f>T261+7</f>
        <v>45642</v>
      </c>
      <c r="V261" s="387"/>
      <c r="X261" s="133"/>
      <c r="Y261" s="76">
        <v>65.716</v>
      </c>
      <c r="Z261" s="134">
        <v>3740</v>
      </c>
      <c r="AA261" s="114">
        <f>Y261*Z261</f>
        <v>245777.84</v>
      </c>
      <c r="AB261" s="114">
        <f>AA261*0.15</f>
        <v>36866.676</v>
      </c>
      <c r="AC261" s="134">
        <f>AA261-AB261</f>
        <v>208911.164</v>
      </c>
      <c r="AD261" s="135"/>
      <c r="AE261" s="134"/>
      <c r="AF261" s="134"/>
      <c r="AG261" s="134"/>
      <c r="AH261" s="136"/>
      <c r="AI261" s="91"/>
      <c r="AJ261" s="137"/>
      <c r="AK261" s="137"/>
      <c r="AM261" s="114"/>
      <c r="AN261" s="114"/>
      <c r="AO261" s="144"/>
      <c r="AP261" s="91"/>
      <c r="AQ261" s="387"/>
      <c r="AR261" s="482"/>
      <c r="AS261" s="482"/>
      <c r="AT261" s="482"/>
      <c r="AU261" s="137"/>
      <c r="AV261" s="137"/>
      <c r="AW261" s="482"/>
      <c r="AX261" s="142">
        <f>52.334+4.3</f>
        <v>56.634</v>
      </c>
      <c r="AY261" s="114">
        <v>6375</v>
      </c>
      <c r="AZ261" s="127">
        <f>AX261*AY261</f>
        <v>361041.75</v>
      </c>
      <c r="BA261" s="127"/>
      <c r="BB261" s="127">
        <v>123951.75</v>
      </c>
      <c r="BC261" s="391">
        <f>BB261+BA261-AZ261</f>
        <v>-237090</v>
      </c>
      <c r="BI261" s="75"/>
      <c r="BJ261" s="91"/>
    </row>
    <row r="262" s="76" customFormat="1" ht="14.45" customHeight="1" outlineLevel="1" spans="1:62">
      <c r="C262" s="387"/>
      <c r="G262" s="479"/>
      <c r="J262" s="129"/>
      <c r="K262" s="545"/>
      <c r="L262" s="131"/>
      <c r="M262" s="131"/>
      <c r="N262" s="131"/>
      <c r="O262" s="132"/>
      <c r="P262" s="91"/>
      <c r="Q262" s="91"/>
      <c r="S262" s="76" t="s">
        <v>61</v>
      </c>
      <c r="T262" s="387"/>
      <c r="U262" s="387"/>
      <c r="V262" s="387"/>
      <c r="X262" s="133"/>
      <c r="Z262" s="134"/>
      <c r="AA262" s="114"/>
      <c r="AB262" s="114"/>
      <c r="AC262" s="134"/>
      <c r="AD262" s="135"/>
      <c r="AE262" s="134"/>
      <c r="AF262" s="134"/>
      <c r="AG262" s="134"/>
      <c r="AH262" s="136"/>
      <c r="AI262" s="91"/>
      <c r="AJ262" s="137"/>
      <c r="AK262" s="137"/>
      <c r="AM262" s="114"/>
      <c r="AN262" s="114"/>
      <c r="AO262" s="144"/>
      <c r="AP262" s="91"/>
      <c r="AQ262" s="387"/>
      <c r="AR262" s="482"/>
      <c r="AS262" s="482"/>
      <c r="AT262" s="482"/>
      <c r="AU262" s="137"/>
      <c r="AV262" s="137"/>
      <c r="AW262" s="482"/>
      <c r="AX262" s="142"/>
      <c r="AY262" s="114"/>
      <c r="AZ262" s="127"/>
      <c r="BA262" s="127"/>
      <c r="BB262" s="127"/>
      <c r="BC262" s="391"/>
      <c r="BI262" s="75"/>
      <c r="BJ262" s="91"/>
    </row>
    <row r="263" s="76" customFormat="1" ht="14.45" customHeight="1" outlineLevel="1" spans="1:62">
      <c r="C263" s="387"/>
      <c r="G263" s="479"/>
      <c r="J263" s="129"/>
      <c r="K263" s="545"/>
      <c r="L263" s="131"/>
      <c r="M263" s="131"/>
      <c r="N263" s="131"/>
      <c r="O263" s="132"/>
      <c r="P263" s="91"/>
      <c r="Q263" s="91"/>
      <c r="S263" s="76" t="s">
        <v>62</v>
      </c>
      <c r="T263" s="387"/>
      <c r="U263" s="387"/>
      <c r="V263" s="387"/>
      <c r="X263" s="133"/>
      <c r="Z263" s="134"/>
      <c r="AA263" s="114"/>
      <c r="AB263" s="114"/>
      <c r="AC263" s="134"/>
      <c r="AD263" s="135"/>
      <c r="AE263" s="134"/>
      <c r="AF263" s="134"/>
      <c r="AG263" s="134"/>
      <c r="AH263" s="136"/>
      <c r="AI263" s="91"/>
      <c r="AJ263" s="137"/>
      <c r="AK263" s="137"/>
      <c r="AM263" s="114"/>
      <c r="AN263" s="114"/>
      <c r="AO263" s="144"/>
      <c r="AP263" s="91"/>
      <c r="AQ263" s="387"/>
      <c r="AR263" s="482"/>
      <c r="AS263" s="482"/>
      <c r="AT263" s="482"/>
      <c r="AU263" s="137"/>
      <c r="AV263" s="137"/>
      <c r="AW263" s="482"/>
      <c r="AX263" s="142"/>
      <c r="AY263" s="114"/>
      <c r="AZ263" s="127"/>
      <c r="BA263" s="127"/>
      <c r="BB263" s="127"/>
      <c r="BC263" s="391"/>
      <c r="BI263" s="75"/>
      <c r="BJ263" s="91"/>
    </row>
    <row r="264" s="76" customFormat="1" ht="14.45" customHeight="1" outlineLevel="1" spans="1:62">
      <c r="C264" s="387"/>
      <c r="G264" s="479"/>
      <c r="J264" s="129"/>
      <c r="K264" s="545"/>
      <c r="L264" s="131"/>
      <c r="M264" s="131"/>
      <c r="N264" s="131"/>
      <c r="O264" s="132"/>
      <c r="P264" s="91"/>
      <c r="Q264" s="91"/>
      <c r="S264" s="76" t="s">
        <v>63</v>
      </c>
      <c r="T264" s="387"/>
      <c r="U264" s="387"/>
      <c r="V264" s="387"/>
      <c r="X264" s="133"/>
      <c r="Z264" s="134"/>
      <c r="AA264" s="114"/>
      <c r="AB264" s="114"/>
      <c r="AC264" s="134"/>
      <c r="AD264" s="135"/>
      <c r="AE264" s="134"/>
      <c r="AF264" s="134"/>
      <c r="AG264" s="134"/>
      <c r="AH264" s="136"/>
      <c r="AI264" s="91"/>
      <c r="AJ264" s="137"/>
      <c r="AK264" s="137"/>
      <c r="AM264" s="114"/>
      <c r="AN264" s="114"/>
      <c r="AO264" s="144"/>
      <c r="AP264" s="91"/>
      <c r="AQ264" s="387"/>
      <c r="AR264" s="482"/>
      <c r="AS264" s="482"/>
      <c r="AT264" s="482"/>
      <c r="AU264" s="137"/>
      <c r="AV264" s="137"/>
      <c r="AW264" s="482"/>
      <c r="AX264" s="142"/>
      <c r="AY264" s="114"/>
      <c r="AZ264" s="127"/>
      <c r="BA264" s="127"/>
      <c r="BB264" s="127"/>
      <c r="BC264" s="391"/>
      <c r="BI264" s="75"/>
      <c r="BJ264" s="91"/>
    </row>
    <row r="265" s="76" customFormat="1" ht="14.45" customHeight="1" outlineLevel="1" spans="1:62">
      <c r="C265" s="387"/>
      <c r="G265" s="479"/>
      <c r="J265" s="129"/>
      <c r="K265" s="545"/>
      <c r="P265" s="91"/>
      <c r="Q265" s="91"/>
      <c r="R265" s="76" t="s">
        <v>64</v>
      </c>
      <c r="S265" s="76" t="s">
        <v>282</v>
      </c>
      <c r="T265" s="387"/>
      <c r="U265" s="387"/>
      <c r="V265" s="387"/>
      <c r="X265" s="133"/>
      <c r="Y265" s="76">
        <v>56</v>
      </c>
      <c r="Z265" s="114">
        <v>810</v>
      </c>
      <c r="AA265" s="114">
        <f>Y265*Z265</f>
        <v>45360</v>
      </c>
      <c r="AB265" s="114"/>
      <c r="AC265" s="134">
        <f>AA265-AB265</f>
        <v>45360</v>
      </c>
      <c r="AD265" s="135"/>
      <c r="AE265" s="134"/>
      <c r="AF265" s="134"/>
      <c r="AG265" s="134"/>
      <c r="AH265" s="136"/>
      <c r="AI265" s="91"/>
      <c r="AJ265" s="137"/>
      <c r="AK265" s="137"/>
      <c r="AM265" s="114"/>
      <c r="AN265" s="114"/>
      <c r="AO265" s="144"/>
      <c r="AP265" s="91"/>
      <c r="AQ265" s="387"/>
      <c r="AR265" s="482"/>
      <c r="AS265" s="482"/>
      <c r="AT265" s="482"/>
      <c r="AU265" s="137"/>
      <c r="AV265" s="137"/>
      <c r="AW265" s="482"/>
      <c r="AX265" s="142"/>
      <c r="AY265" s="114"/>
      <c r="AZ265" s="127"/>
      <c r="BA265" s="127"/>
      <c r="BB265" s="127"/>
      <c r="BC265" s="391"/>
      <c r="BI265" s="75"/>
      <c r="BJ265" s="91"/>
    </row>
    <row r="266" s="76" customFormat="1" ht="14.45" customHeight="1" outlineLevel="1" spans="1:62">
      <c r="C266" s="387"/>
      <c r="G266" s="479"/>
      <c r="J266" s="129"/>
      <c r="K266" s="545"/>
      <c r="P266" s="91"/>
      <c r="Q266" s="91"/>
      <c r="S266" s="76" t="s">
        <v>63</v>
      </c>
      <c r="T266" s="387"/>
      <c r="U266" s="387"/>
      <c r="V266" s="387"/>
      <c r="X266" s="133"/>
      <c r="Z266" s="114"/>
      <c r="AA266" s="114"/>
      <c r="AB266" s="114"/>
      <c r="AC266" s="134"/>
      <c r="AD266" s="135"/>
      <c r="AE266" s="134"/>
      <c r="AF266" s="134"/>
      <c r="AG266" s="134"/>
      <c r="AH266" s="136"/>
      <c r="AI266" s="91"/>
      <c r="AJ266" s="137"/>
      <c r="AK266" s="137"/>
      <c r="AM266" s="114"/>
      <c r="AN266" s="114"/>
      <c r="AO266" s="144"/>
      <c r="AP266" s="91"/>
      <c r="AQ266" s="387"/>
      <c r="AR266" s="482"/>
      <c r="AS266" s="482"/>
      <c r="AT266" s="482"/>
      <c r="AU266" s="137"/>
      <c r="AV266" s="137"/>
      <c r="AW266" s="482"/>
      <c r="AX266" s="142"/>
      <c r="AY266" s="114"/>
      <c r="AZ266" s="127"/>
      <c r="BA266" s="127"/>
      <c r="BB266" s="127"/>
      <c r="BC266" s="391"/>
      <c r="BI266" s="75"/>
      <c r="BJ266" s="91"/>
    </row>
    <row r="267" s="76" customFormat="1" ht="14.45" customHeight="1" outlineLevel="1" spans="1:62">
      <c r="C267" s="387"/>
      <c r="G267" s="479"/>
      <c r="J267" s="129"/>
      <c r="K267" s="545"/>
      <c r="P267" s="91"/>
      <c r="Q267" s="91"/>
      <c r="R267" s="76" t="s">
        <v>66</v>
      </c>
      <c r="S267" s="76" t="s">
        <v>67</v>
      </c>
      <c r="T267" s="387"/>
      <c r="U267" s="387"/>
      <c r="V267" s="387"/>
      <c r="X267" s="133"/>
      <c r="Y267" s="76">
        <v>52.334</v>
      </c>
      <c r="Z267" s="114">
        <v>1310</v>
      </c>
      <c r="AA267" s="114">
        <f>Y267*Z267</f>
        <v>68557.54</v>
      </c>
      <c r="AB267" s="114">
        <f>AA267</f>
        <v>68557.54</v>
      </c>
      <c r="AC267" s="134">
        <f>AA267-AB267</f>
        <v>0</v>
      </c>
      <c r="AD267" s="135"/>
      <c r="AE267" s="134"/>
      <c r="AF267" s="134"/>
      <c r="AG267" s="134"/>
      <c r="AH267" s="136"/>
      <c r="AI267" s="91"/>
      <c r="AJ267" s="137"/>
      <c r="AK267" s="137"/>
      <c r="AM267" s="114"/>
      <c r="AN267" s="114"/>
      <c r="AO267" s="144"/>
      <c r="AP267" s="91"/>
      <c r="AQ267" s="387"/>
      <c r="AR267" s="482"/>
      <c r="AS267" s="482"/>
      <c r="AT267" s="482"/>
      <c r="AU267" s="137"/>
      <c r="AV267" s="137"/>
      <c r="AW267" s="482"/>
      <c r="AX267" s="142"/>
      <c r="AY267" s="114"/>
      <c r="AZ267" s="127"/>
      <c r="BA267" s="127"/>
      <c r="BB267" s="127"/>
      <c r="BC267" s="391"/>
      <c r="BI267" s="75"/>
      <c r="BJ267" s="91"/>
    </row>
    <row r="268" s="79" customFormat="1" ht="14.45" customHeight="1" spans="1:62">
      <c r="A268" s="79">
        <v>43</v>
      </c>
      <c r="C268" s="463" t="s">
        <v>69</v>
      </c>
      <c r="D268" s="79" t="s">
        <v>279</v>
      </c>
      <c r="E268" s="79" t="s">
        <v>283</v>
      </c>
      <c r="F268" s="79" t="s">
        <v>279</v>
      </c>
      <c r="G268" s="486"/>
      <c r="H268" s="79" t="s">
        <v>93</v>
      </c>
      <c r="I268" s="79" t="s">
        <v>283</v>
      </c>
      <c r="J268" s="194">
        <f>SUM(J259:J267)</f>
        <v>214</v>
      </c>
      <c r="K268" s="194"/>
      <c r="L268" s="194"/>
      <c r="M268" s="194"/>
      <c r="P268" s="91"/>
      <c r="Q268" s="91"/>
      <c r="T268" s="463"/>
      <c r="U268" s="463"/>
      <c r="V268" s="463"/>
      <c r="X268" s="193"/>
      <c r="Z268" s="192"/>
      <c r="AA268" s="192"/>
      <c r="AB268" s="192"/>
      <c r="AC268" s="192"/>
      <c r="AD268" s="196"/>
      <c r="AE268" s="192"/>
      <c r="AF268" s="192"/>
      <c r="AG268" s="192"/>
      <c r="AH268" s="227"/>
      <c r="AI268" s="91"/>
      <c r="AJ268" s="225"/>
      <c r="AK268" s="225"/>
      <c r="AM268" s="192"/>
      <c r="AN268" s="192"/>
      <c r="AO268" s="490"/>
      <c r="AP268" s="91"/>
      <c r="AQ268" s="463"/>
      <c r="AR268" s="491"/>
      <c r="AS268" s="491"/>
      <c r="AT268" s="491"/>
      <c r="AU268" s="225"/>
      <c r="AV268" s="225"/>
      <c r="AW268" s="491"/>
      <c r="AX268" s="492"/>
      <c r="AY268" s="192"/>
      <c r="AZ268" s="150">
        <f>SUM(AZ259:AZ267)</f>
        <v>1399785.75</v>
      </c>
      <c r="BA268" s="150">
        <v>500000</v>
      </c>
      <c r="BB268" s="150">
        <v>775834</v>
      </c>
      <c r="BC268" s="391">
        <f>SUM(BC259:BC267)</f>
        <v>0</v>
      </c>
      <c r="BI268" s="478" t="s">
        <v>60</v>
      </c>
      <c r="BJ268" s="91"/>
    </row>
    <row r="269" s="76" customFormat="1" ht="14.45" customHeight="1" outlineLevel="1" spans="1:62">
      <c r="C269" s="387"/>
      <c r="D269" s="76" t="s">
        <v>284</v>
      </c>
      <c r="E269" s="76" t="s">
        <v>92</v>
      </c>
      <c r="F269" s="76" t="s">
        <v>284</v>
      </c>
      <c r="G269" s="479"/>
      <c r="H269" s="76" t="s">
        <v>93</v>
      </c>
      <c r="I269" s="76" t="s">
        <v>92</v>
      </c>
      <c r="J269" s="129">
        <v>2097600</v>
      </c>
      <c r="K269" s="129">
        <v>0.23</v>
      </c>
      <c r="L269" s="129">
        <f>J269*K269</f>
        <v>482448</v>
      </c>
      <c r="M269" s="76">
        <f>L269*0.3</f>
        <v>144734.4</v>
      </c>
      <c r="N269" s="114">
        <v>500000</v>
      </c>
      <c r="O269" s="140">
        <f>N269-L269</f>
        <v>17552</v>
      </c>
      <c r="P269" s="91"/>
      <c r="Q269" s="91"/>
      <c r="T269" s="387"/>
      <c r="U269" s="387"/>
      <c r="V269" s="387"/>
      <c r="Y269" s="129">
        <v>2097600</v>
      </c>
      <c r="Z269" s="114">
        <v>0.25</v>
      </c>
      <c r="AA269" s="114">
        <f>Y269*Z269</f>
        <v>524400</v>
      </c>
      <c r="AB269" s="114"/>
      <c r="AC269" s="114"/>
      <c r="AD269" s="140"/>
      <c r="AE269" s="114"/>
      <c r="AF269" s="114"/>
      <c r="AG269" s="114"/>
      <c r="AH269" s="141"/>
      <c r="AI269" s="91"/>
      <c r="AJ269" s="137"/>
      <c r="AK269" s="583">
        <v>2097600</v>
      </c>
      <c r="AL269" s="129">
        <v>0.23</v>
      </c>
      <c r="AM269" s="127">
        <f>AK269*AL269</f>
        <v>482448</v>
      </c>
      <c r="AN269" s="391">
        <v>500000</v>
      </c>
      <c r="AO269" s="144"/>
      <c r="AP269" s="91"/>
      <c r="AQ269" s="387"/>
      <c r="AR269" s="482"/>
      <c r="AS269" s="482"/>
      <c r="AT269" s="482"/>
      <c r="AU269" s="137"/>
      <c r="AV269" s="137"/>
      <c r="AW269" s="482"/>
      <c r="AX269" s="583">
        <v>2097600</v>
      </c>
      <c r="AY269" s="129">
        <v>0.23</v>
      </c>
      <c r="AZ269" s="127">
        <f>AX269*AY269</f>
        <v>482448</v>
      </c>
      <c r="BA269" s="391">
        <v>500000</v>
      </c>
      <c r="BB269" s="391"/>
      <c r="BC269" s="391">
        <f>BA269-AZ269</f>
        <v>17552</v>
      </c>
      <c r="BI269" s="75"/>
      <c r="BJ269" s="91"/>
    </row>
    <row r="270" s="76" customFormat="1" ht="14.45" customHeight="1" outlineLevel="1" spans="1:62">
      <c r="C270" s="387"/>
      <c r="G270" s="479"/>
      <c r="J270" s="129"/>
      <c r="K270" s="129"/>
      <c r="L270" s="129"/>
      <c r="N270" s="114"/>
      <c r="O270" s="140"/>
      <c r="P270" s="91"/>
      <c r="Q270" s="91"/>
      <c r="R270" s="578" t="s">
        <v>95</v>
      </c>
      <c r="T270" s="387"/>
      <c r="U270" s="387"/>
      <c r="V270" s="387"/>
      <c r="X270" s="133"/>
      <c r="Z270" s="114"/>
      <c r="AA270" s="114">
        <f>-(AZ269*0.13/1.13)</f>
        <v>-55502.8672566372</v>
      </c>
      <c r="AB270" s="114"/>
      <c r="AC270" s="114"/>
      <c r="AD270" s="140"/>
      <c r="AE270" s="114"/>
      <c r="AF270" s="114"/>
      <c r="AG270" s="114"/>
      <c r="AH270" s="141"/>
      <c r="AI270" s="91"/>
      <c r="AJ270" s="137"/>
      <c r="AK270" s="137"/>
      <c r="AM270" s="114"/>
      <c r="AN270" s="114"/>
      <c r="AO270" s="144"/>
      <c r="AP270" s="91"/>
      <c r="AQ270" s="387"/>
      <c r="AR270" s="482"/>
      <c r="AS270" s="482"/>
      <c r="AT270" s="482"/>
      <c r="AU270" s="137"/>
      <c r="AV270" s="137"/>
      <c r="AW270" s="482"/>
      <c r="AX270" s="583"/>
      <c r="AY270" s="129"/>
      <c r="AZ270" s="127"/>
      <c r="BA270" s="391"/>
      <c r="BB270" s="391"/>
      <c r="BC270" s="391"/>
      <c r="BI270" s="75"/>
      <c r="BJ270" s="91"/>
    </row>
    <row r="271" s="79" customFormat="1" ht="14.45" customHeight="1" spans="1:62">
      <c r="A271" s="79">
        <v>44</v>
      </c>
      <c r="C271" s="463" t="s">
        <v>69</v>
      </c>
      <c r="D271" s="79" t="s">
        <v>284</v>
      </c>
      <c r="E271" s="151" t="s">
        <v>92</v>
      </c>
      <c r="F271" s="79" t="s">
        <v>284</v>
      </c>
      <c r="G271" s="486"/>
      <c r="H271" s="79" t="s">
        <v>93</v>
      </c>
      <c r="I271" s="151" t="s">
        <v>92</v>
      </c>
      <c r="J271" s="579">
        <v>2097600</v>
      </c>
      <c r="K271" s="487"/>
      <c r="L271" s="488"/>
      <c r="M271" s="488"/>
      <c r="N271" s="489"/>
      <c r="P271" s="91"/>
      <c r="Q271" s="91"/>
      <c r="T271" s="463"/>
      <c r="U271" s="463"/>
      <c r="V271" s="463"/>
      <c r="X271" s="193"/>
      <c r="Z271" s="192"/>
      <c r="AA271" s="192">
        <f>SUM(AA269:AA270)</f>
        <v>468897.132743363</v>
      </c>
      <c r="AB271" s="192"/>
      <c r="AC271" s="192"/>
      <c r="AD271" s="196"/>
      <c r="AE271" s="192"/>
      <c r="AF271" s="192"/>
      <c r="AG271" s="192"/>
      <c r="AH271" s="227"/>
      <c r="AI271" s="91"/>
      <c r="AJ271" s="225"/>
      <c r="AK271" s="225"/>
      <c r="AM271" s="192">
        <f>SUM(AM269:AM270)</f>
        <v>482448</v>
      </c>
      <c r="AN271" s="192">
        <f>SUM(AN269:AN270)</f>
        <v>500000</v>
      </c>
      <c r="AO271" s="490"/>
      <c r="AP271" s="91"/>
      <c r="AQ271" s="463"/>
      <c r="AR271" s="491"/>
      <c r="AS271" s="491"/>
      <c r="AT271" s="491"/>
      <c r="AU271" s="225"/>
      <c r="AV271" s="225"/>
      <c r="AW271" s="491"/>
      <c r="AX271" s="492"/>
      <c r="AY271" s="192"/>
      <c r="AZ271" s="150">
        <v>482448</v>
      </c>
      <c r="BA271" s="150">
        <v>500000</v>
      </c>
      <c r="BB271" s="150"/>
      <c r="BC271" s="391">
        <v>17552</v>
      </c>
      <c r="BI271" s="151" t="s">
        <v>60</v>
      </c>
      <c r="BJ271" s="91"/>
    </row>
    <row r="272" s="76" customFormat="1" ht="23.25" customHeight="1" outlineLevel="1" spans="1:62">
      <c r="C272" s="387">
        <v>45632</v>
      </c>
      <c r="D272" s="76" t="s">
        <v>285</v>
      </c>
      <c r="E272" s="76" t="s">
        <v>275</v>
      </c>
      <c r="F272" s="76" t="s">
        <v>286</v>
      </c>
      <c r="G272" s="584">
        <f>1940315+950000+143350.05</f>
        <v>3033665.05</v>
      </c>
      <c r="H272" s="76" t="s">
        <v>93</v>
      </c>
      <c r="I272" s="76" t="s">
        <v>275</v>
      </c>
      <c r="J272" s="129">
        <v>260</v>
      </c>
      <c r="K272" s="76">
        <v>6450</v>
      </c>
      <c r="L272" s="131">
        <f>J272*K272</f>
        <v>1677000</v>
      </c>
      <c r="M272" s="76">
        <f>L272*0.3</f>
        <v>503100</v>
      </c>
      <c r="N272" s="152">
        <v>1159728</v>
      </c>
      <c r="O272" s="585">
        <f>N272-L272</f>
        <v>-517272</v>
      </c>
      <c r="P272" s="91"/>
      <c r="Q272" s="91"/>
      <c r="R272" s="76" t="s">
        <v>88</v>
      </c>
      <c r="S272" s="76" t="s">
        <v>287</v>
      </c>
      <c r="T272" s="387">
        <v>45631</v>
      </c>
      <c r="U272" s="387">
        <v>45637</v>
      </c>
      <c r="V272" s="387"/>
      <c r="X272" s="133"/>
      <c r="Y272" s="76">
        <v>280</v>
      </c>
      <c r="Z272" s="114">
        <v>6450</v>
      </c>
      <c r="AA272" s="114">
        <f>Y272*Z272</f>
        <v>1806000</v>
      </c>
      <c r="AB272" s="114"/>
      <c r="AC272" s="114"/>
      <c r="AD272" s="140"/>
      <c r="AE272" s="114"/>
      <c r="AF272" s="114"/>
      <c r="AG272" s="114"/>
      <c r="AH272" s="141"/>
      <c r="AI272" s="91"/>
      <c r="AJ272" s="137"/>
      <c r="AK272" s="142">
        <v>162.775</v>
      </c>
      <c r="AL272" s="114">
        <v>6700</v>
      </c>
      <c r="AM272" s="114">
        <f>AL272*AK272</f>
        <v>1090592.5</v>
      </c>
      <c r="AN272" s="114"/>
      <c r="AO272" s="144"/>
      <c r="AP272" s="91"/>
      <c r="AQ272" s="387"/>
      <c r="AR272" s="482"/>
      <c r="AS272" s="482"/>
      <c r="AT272" s="482"/>
      <c r="AU272" s="137"/>
      <c r="AV272" s="137"/>
      <c r="AW272" s="482"/>
      <c r="AX272" s="142">
        <v>162.775</v>
      </c>
      <c r="AY272" s="114">
        <v>6700</v>
      </c>
      <c r="AZ272" s="127">
        <f>AX272*AY272</f>
        <v>1090592.5</v>
      </c>
      <c r="BA272" s="152">
        <v>1940315</v>
      </c>
      <c r="BB272" s="127"/>
      <c r="BC272" s="391">
        <f>BB272+BA272-AZ272</f>
        <v>849722.5</v>
      </c>
      <c r="BH272" s="140">
        <f>J272-AX272</f>
        <v>97.225</v>
      </c>
      <c r="BI272" s="75"/>
      <c r="BJ272" s="91"/>
    </row>
    <row r="273" s="76" customFormat="1" ht="23.25" customHeight="1" outlineLevel="1" spans="3:62">
      <c r="C273" s="387"/>
      <c r="D273" s="76" t="s">
        <v>285</v>
      </c>
      <c r="G273" s="584"/>
      <c r="J273" s="129"/>
      <c r="L273" s="131"/>
      <c r="N273" s="152"/>
      <c r="O273" s="585"/>
      <c r="P273" s="91"/>
      <c r="Q273" s="91"/>
      <c r="R273" s="76" t="s">
        <v>233</v>
      </c>
      <c r="S273" s="76" t="s">
        <v>288</v>
      </c>
      <c r="T273" s="387"/>
      <c r="U273" s="387"/>
      <c r="V273" s="387"/>
      <c r="X273" s="133"/>
      <c r="Z273" s="114"/>
      <c r="AA273" s="114">
        <v>24570</v>
      </c>
      <c r="AB273" s="114"/>
      <c r="AC273" s="114"/>
      <c r="AD273" s="140"/>
      <c r="AE273" s="114"/>
      <c r="AF273" s="114"/>
      <c r="AG273" s="114"/>
      <c r="AH273" s="141"/>
      <c r="AI273" s="91"/>
      <c r="AJ273" s="137"/>
      <c r="AK273" s="142"/>
      <c r="AL273" s="114"/>
      <c r="AM273" s="114"/>
      <c r="AN273" s="114"/>
      <c r="AO273" s="144"/>
      <c r="AP273" s="91"/>
      <c r="AQ273" s="387"/>
      <c r="AR273" s="482"/>
      <c r="AS273" s="482"/>
      <c r="AT273" s="482"/>
      <c r="AU273" s="137"/>
      <c r="AV273" s="137"/>
      <c r="AW273" s="482"/>
      <c r="AX273" s="142"/>
      <c r="AY273" s="114"/>
      <c r="AZ273" s="127"/>
      <c r="BA273" s="152"/>
      <c r="BB273" s="127"/>
      <c r="BC273" s="391"/>
      <c r="BH273" s="140"/>
      <c r="BI273" s="75"/>
      <c r="BJ273" s="91"/>
    </row>
    <row r="274" s="76" customFormat="1" ht="14.45" customHeight="1" outlineLevel="1" spans="3:62">
      <c r="C274" s="387">
        <v>45706</v>
      </c>
      <c r="D274" s="76" t="s">
        <v>289</v>
      </c>
      <c r="G274" s="586"/>
      <c r="J274" s="129"/>
      <c r="L274" s="131"/>
      <c r="N274" s="152"/>
      <c r="O274" s="585"/>
      <c r="P274" s="91"/>
      <c r="Q274" s="91"/>
      <c r="T274" s="387"/>
      <c r="U274" s="387"/>
      <c r="V274" s="387"/>
      <c r="X274" s="133"/>
      <c r="Z274" s="114"/>
      <c r="AA274" s="114"/>
      <c r="AB274" s="114"/>
      <c r="AC274" s="114"/>
      <c r="AD274" s="140"/>
      <c r="AE274" s="114"/>
      <c r="AF274" s="114"/>
      <c r="AG274" s="114"/>
      <c r="AH274" s="141"/>
      <c r="AI274" s="91"/>
      <c r="AJ274" s="137"/>
      <c r="AK274" s="142">
        <v>108.445</v>
      </c>
      <c r="AL274" s="114">
        <v>6700</v>
      </c>
      <c r="AM274" s="114">
        <f>AL274*AK274</f>
        <v>726581.5</v>
      </c>
      <c r="AN274" s="114"/>
      <c r="AO274" s="144"/>
      <c r="AP274" s="91"/>
      <c r="AQ274" s="387"/>
      <c r="AR274" s="482"/>
      <c r="AS274" s="482"/>
      <c r="AT274" s="482"/>
      <c r="AU274" s="137"/>
      <c r="AV274" s="137"/>
      <c r="AW274" s="482"/>
      <c r="AX274" s="142">
        <v>108.445</v>
      </c>
      <c r="AY274" s="114">
        <v>6700</v>
      </c>
      <c r="AZ274" s="127">
        <f>AX274*AY274</f>
        <v>726581.5</v>
      </c>
      <c r="BA274" s="152"/>
      <c r="BB274" s="127">
        <v>950000</v>
      </c>
      <c r="BC274" s="391">
        <f>BB274+BA274-AZ274</f>
        <v>223418.5</v>
      </c>
      <c r="BH274" s="140"/>
      <c r="BI274" s="75"/>
      <c r="BJ274" s="91"/>
    </row>
    <row r="275" s="76" customFormat="1" ht="14.45" customHeight="1" outlineLevel="1" spans="3:62">
      <c r="C275" s="387">
        <v>45632</v>
      </c>
      <c r="D275" s="76" t="s">
        <v>290</v>
      </c>
      <c r="E275" s="76" t="s">
        <v>275</v>
      </c>
      <c r="F275" s="76" t="s">
        <v>286</v>
      </c>
      <c r="G275" s="586"/>
      <c r="H275" s="76" t="s">
        <v>93</v>
      </c>
      <c r="I275" s="76" t="s">
        <v>275</v>
      </c>
      <c r="J275" s="129">
        <v>25</v>
      </c>
      <c r="K275" s="76">
        <v>6530</v>
      </c>
      <c r="L275" s="131">
        <f>J275*K275</f>
        <v>163250</v>
      </c>
      <c r="M275" s="76">
        <f>L275*0.3</f>
        <v>48975</v>
      </c>
      <c r="N275" s="587">
        <v>111514</v>
      </c>
      <c r="O275" s="585">
        <f>N275-L275</f>
        <v>-51736</v>
      </c>
      <c r="P275" s="91"/>
      <c r="Q275" s="91"/>
      <c r="R275" s="76" t="s">
        <v>280</v>
      </c>
      <c r="S275" s="76" t="s">
        <v>281</v>
      </c>
      <c r="T275" s="387"/>
      <c r="U275" s="387"/>
      <c r="V275" s="387"/>
      <c r="X275" s="133"/>
      <c r="Y275" s="76">
        <v>32.858</v>
      </c>
      <c r="Z275" s="114">
        <v>3740</v>
      </c>
      <c r="AA275" s="114">
        <f>Y275*Z275</f>
        <v>122888.92</v>
      </c>
      <c r="AB275" s="114">
        <f>AA275</f>
        <v>122888.92</v>
      </c>
      <c r="AC275" s="114"/>
      <c r="AD275" s="140"/>
      <c r="AE275" s="114"/>
      <c r="AF275" s="114"/>
      <c r="AG275" s="114"/>
      <c r="AH275" s="141"/>
      <c r="AI275" s="91"/>
      <c r="AJ275" s="137"/>
      <c r="AK275" s="137">
        <v>26.132</v>
      </c>
      <c r="AL275" s="76">
        <v>6375</v>
      </c>
      <c r="AM275" s="114">
        <f>AL275*AK275</f>
        <v>166591.5</v>
      </c>
      <c r="AN275" s="114"/>
      <c r="AO275" s="144"/>
      <c r="AP275" s="91"/>
      <c r="AQ275" s="387"/>
      <c r="AR275" s="482"/>
      <c r="AS275" s="482"/>
      <c r="AT275" s="482"/>
      <c r="AU275" s="137"/>
      <c r="AV275" s="137"/>
      <c r="AW275" s="482"/>
      <c r="AX275" s="137">
        <v>26.132</v>
      </c>
      <c r="AY275" s="76">
        <v>6375</v>
      </c>
      <c r="AZ275" s="114">
        <f>AY275*AX275</f>
        <v>166591.5</v>
      </c>
      <c r="BA275" s="127"/>
      <c r="BB275" s="127"/>
      <c r="BC275" s="391">
        <f>BB275+BA275-AZ275</f>
        <v>-166591.5</v>
      </c>
      <c r="BI275" s="75"/>
      <c r="BJ275" s="91"/>
    </row>
    <row r="276" s="76" customFormat="1" ht="14.45" customHeight="1" outlineLevel="1" spans="3:62">
      <c r="C276" s="387"/>
      <c r="G276" s="586"/>
      <c r="J276" s="129"/>
      <c r="L276" s="131"/>
      <c r="M276" s="131"/>
      <c r="N276" s="148"/>
      <c r="O276" s="333"/>
      <c r="P276" s="91"/>
      <c r="Q276" s="91"/>
      <c r="S276" s="76" t="s">
        <v>61</v>
      </c>
      <c r="T276" s="387"/>
      <c r="U276" s="387"/>
      <c r="V276" s="387"/>
      <c r="X276" s="133"/>
      <c r="Z276" s="114"/>
      <c r="AA276" s="114"/>
      <c r="AB276" s="114"/>
      <c r="AC276" s="114"/>
      <c r="AD276" s="140"/>
      <c r="AE276" s="114"/>
      <c r="AF276" s="114"/>
      <c r="AG276" s="114"/>
      <c r="AH276" s="141"/>
      <c r="AI276" s="91"/>
      <c r="AJ276" s="137"/>
      <c r="AK276" s="137"/>
      <c r="AM276" s="114"/>
      <c r="AN276" s="114"/>
      <c r="AO276" s="144"/>
      <c r="AP276" s="91"/>
      <c r="AQ276" s="387"/>
      <c r="AR276" s="482"/>
      <c r="AS276" s="482"/>
      <c r="AT276" s="482"/>
      <c r="AU276" s="137"/>
      <c r="AV276" s="137"/>
      <c r="AW276" s="482"/>
      <c r="AX276" s="142"/>
      <c r="AY276" s="114"/>
      <c r="AZ276" s="127"/>
      <c r="BA276" s="127"/>
      <c r="BB276" s="127"/>
      <c r="BC276" s="127"/>
      <c r="BI276" s="75"/>
      <c r="BJ276" s="91"/>
    </row>
    <row r="277" s="76" customFormat="1" ht="14.45" customHeight="1" outlineLevel="1" spans="3:62">
      <c r="C277" s="387"/>
      <c r="G277" s="586"/>
      <c r="J277" s="129"/>
      <c r="L277" s="131"/>
      <c r="M277" s="131"/>
      <c r="N277" s="148"/>
      <c r="O277" s="333"/>
      <c r="P277" s="91"/>
      <c r="Q277" s="91"/>
      <c r="S277" s="76" t="s">
        <v>62</v>
      </c>
      <c r="T277" s="387"/>
      <c r="U277" s="387"/>
      <c r="V277" s="387"/>
      <c r="X277" s="133"/>
      <c r="Z277" s="114"/>
      <c r="AA277" s="114"/>
      <c r="AB277" s="114"/>
      <c r="AC277" s="114"/>
      <c r="AD277" s="140"/>
      <c r="AE277" s="114"/>
      <c r="AF277" s="114"/>
      <c r="AG277" s="114"/>
      <c r="AH277" s="141"/>
      <c r="AI277" s="91"/>
      <c r="AJ277" s="137"/>
      <c r="AK277" s="137"/>
      <c r="AM277" s="114"/>
      <c r="AN277" s="114"/>
      <c r="AO277" s="144"/>
      <c r="AP277" s="91"/>
      <c r="AQ277" s="387"/>
      <c r="AR277" s="482"/>
      <c r="AS277" s="482"/>
      <c r="AT277" s="482"/>
      <c r="AU277" s="137"/>
      <c r="AV277" s="137"/>
      <c r="AW277" s="482"/>
      <c r="AX277" s="142"/>
      <c r="AY277" s="114"/>
      <c r="AZ277" s="127"/>
      <c r="BA277" s="127"/>
      <c r="BB277" s="127"/>
      <c r="BC277" s="127"/>
      <c r="BI277" s="75"/>
      <c r="BJ277" s="91"/>
    </row>
    <row r="278" s="76" customFormat="1" ht="14.45" customHeight="1" outlineLevel="1" spans="3:62">
      <c r="C278" s="387"/>
      <c r="G278" s="586"/>
      <c r="J278" s="129"/>
      <c r="L278" s="131"/>
      <c r="M278" s="131"/>
      <c r="N278" s="148"/>
      <c r="O278" s="333"/>
      <c r="P278" s="91"/>
      <c r="Q278" s="91"/>
      <c r="S278" s="76" t="s">
        <v>63</v>
      </c>
      <c r="T278" s="387"/>
      <c r="U278" s="387"/>
      <c r="V278" s="387"/>
      <c r="X278" s="133"/>
      <c r="Z278" s="114"/>
      <c r="AA278" s="114"/>
      <c r="AB278" s="114"/>
      <c r="AC278" s="114"/>
      <c r="AD278" s="140"/>
      <c r="AE278" s="114"/>
      <c r="AF278" s="114"/>
      <c r="AG278" s="114"/>
      <c r="AH278" s="141"/>
      <c r="AI278" s="91"/>
      <c r="AJ278" s="137"/>
      <c r="AK278" s="137"/>
      <c r="AM278" s="114"/>
      <c r="AN278" s="114"/>
      <c r="AO278" s="144"/>
      <c r="AP278" s="91"/>
      <c r="AQ278" s="387"/>
      <c r="AR278" s="482"/>
      <c r="AS278" s="482"/>
      <c r="AT278" s="482"/>
      <c r="AU278" s="137"/>
      <c r="AV278" s="137"/>
      <c r="AW278" s="482"/>
      <c r="AX278" s="142"/>
      <c r="AY278" s="114"/>
      <c r="AZ278" s="127"/>
      <c r="BA278" s="127"/>
      <c r="BB278" s="127"/>
      <c r="BC278" s="127"/>
      <c r="BI278" s="75"/>
      <c r="BJ278" s="91"/>
    </row>
    <row r="279" s="76" customFormat="1" ht="14.45" customHeight="1" outlineLevel="1" spans="3:62">
      <c r="C279" s="387"/>
      <c r="G279" s="586"/>
      <c r="J279" s="129"/>
      <c r="L279" s="131"/>
      <c r="M279" s="131"/>
      <c r="N279" s="148"/>
      <c r="O279" s="333"/>
      <c r="P279" s="91"/>
      <c r="Q279" s="91"/>
      <c r="R279" s="76" t="s">
        <v>64</v>
      </c>
      <c r="S279" s="76" t="s">
        <v>282</v>
      </c>
      <c r="T279" s="387"/>
      <c r="U279" s="387"/>
      <c r="V279" s="387"/>
      <c r="X279" s="133"/>
      <c r="Y279" s="76">
        <v>27</v>
      </c>
      <c r="Z279" s="114">
        <v>810</v>
      </c>
      <c r="AA279" s="114">
        <f>Y279*Z279</f>
        <v>21870</v>
      </c>
      <c r="AB279" s="114"/>
      <c r="AC279" s="114"/>
      <c r="AD279" s="140"/>
      <c r="AE279" s="114"/>
      <c r="AF279" s="114"/>
      <c r="AG279" s="114"/>
      <c r="AH279" s="141"/>
      <c r="AI279" s="91"/>
      <c r="AJ279" s="137"/>
      <c r="AK279" s="137"/>
      <c r="AM279" s="114"/>
      <c r="AN279" s="114"/>
      <c r="AO279" s="144"/>
      <c r="AP279" s="91"/>
      <c r="AQ279" s="387"/>
      <c r="AR279" s="482"/>
      <c r="AS279" s="482"/>
      <c r="AT279" s="482"/>
      <c r="AU279" s="137"/>
      <c r="AV279" s="137"/>
      <c r="AW279" s="482"/>
      <c r="AX279" s="142"/>
      <c r="AY279" s="114"/>
      <c r="AZ279" s="127"/>
      <c r="BA279" s="127"/>
      <c r="BB279" s="127"/>
      <c r="BC279" s="127"/>
      <c r="BI279" s="75"/>
      <c r="BJ279" s="91"/>
    </row>
    <row r="280" s="76" customFormat="1" ht="14.45" customHeight="1" outlineLevel="1" spans="3:62">
      <c r="C280" s="387"/>
      <c r="G280" s="586"/>
      <c r="J280" s="129"/>
      <c r="L280" s="131"/>
      <c r="M280" s="131"/>
      <c r="N280" s="148"/>
      <c r="O280" s="333"/>
      <c r="P280" s="91"/>
      <c r="Q280" s="91"/>
      <c r="S280" s="76" t="s">
        <v>63</v>
      </c>
      <c r="T280" s="387"/>
      <c r="U280" s="387"/>
      <c r="V280" s="387"/>
      <c r="X280" s="133"/>
      <c r="Z280" s="114"/>
      <c r="AA280" s="114"/>
      <c r="AB280" s="114"/>
      <c r="AC280" s="114"/>
      <c r="AD280" s="140"/>
      <c r="AE280" s="114"/>
      <c r="AF280" s="114"/>
      <c r="AG280" s="114"/>
      <c r="AH280" s="141"/>
      <c r="AI280" s="91"/>
      <c r="AJ280" s="137"/>
      <c r="AK280" s="137"/>
      <c r="AM280" s="114"/>
      <c r="AN280" s="114"/>
      <c r="AO280" s="144"/>
      <c r="AP280" s="91"/>
      <c r="AQ280" s="387"/>
      <c r="AR280" s="482"/>
      <c r="AS280" s="482"/>
      <c r="AT280" s="482"/>
      <c r="AU280" s="137"/>
      <c r="AV280" s="137"/>
      <c r="AW280" s="482"/>
      <c r="AX280" s="142"/>
      <c r="AY280" s="114"/>
      <c r="AZ280" s="127"/>
      <c r="BA280" s="127"/>
      <c r="BB280" s="127"/>
      <c r="BC280" s="127"/>
      <c r="BI280" s="75"/>
      <c r="BJ280" s="91"/>
    </row>
    <row r="281" s="76" customFormat="1" ht="14.45" customHeight="1" outlineLevel="1" spans="3:62">
      <c r="C281" s="387"/>
      <c r="G281" s="586"/>
      <c r="J281" s="129"/>
      <c r="L281" s="131"/>
      <c r="M281" s="131"/>
      <c r="N281" s="148"/>
      <c r="O281" s="333"/>
      <c r="P281" s="91"/>
      <c r="Q281" s="91"/>
      <c r="R281" s="76" t="s">
        <v>66</v>
      </c>
      <c r="S281" s="76" t="s">
        <v>67</v>
      </c>
      <c r="T281" s="387"/>
      <c r="U281" s="387"/>
      <c r="V281" s="387"/>
      <c r="X281" s="133"/>
      <c r="Y281" s="76">
        <v>26.132</v>
      </c>
      <c r="Z281" s="114">
        <v>1310</v>
      </c>
      <c r="AA281" s="114">
        <f>Y281*Z281</f>
        <v>34232.92</v>
      </c>
      <c r="AB281" s="114">
        <f>AA281</f>
        <v>34232.92</v>
      </c>
      <c r="AC281" s="134">
        <f>AA281-AB281</f>
        <v>0</v>
      </c>
      <c r="AD281" s="140"/>
      <c r="AE281" s="114"/>
      <c r="AF281" s="114"/>
      <c r="AG281" s="114"/>
      <c r="AH281" s="141"/>
      <c r="AI281" s="91"/>
      <c r="AJ281" s="137"/>
      <c r="AK281" s="137"/>
      <c r="AM281" s="114"/>
      <c r="AN281" s="114"/>
      <c r="AO281" s="144"/>
      <c r="AP281" s="91"/>
      <c r="AQ281" s="387"/>
      <c r="AR281" s="482"/>
      <c r="AS281" s="482"/>
      <c r="AT281" s="482"/>
      <c r="AU281" s="137"/>
      <c r="AV281" s="137"/>
      <c r="AW281" s="482"/>
      <c r="AX281" s="142"/>
      <c r="AY281" s="114"/>
      <c r="AZ281" s="127"/>
      <c r="BA281" s="127"/>
      <c r="BB281" s="127"/>
      <c r="BC281" s="127"/>
      <c r="BI281" s="75"/>
      <c r="BJ281" s="91"/>
    </row>
    <row r="282" s="76" customFormat="1" ht="14.45" customHeight="1" outlineLevel="1" spans="3:62">
      <c r="C282" s="387">
        <v>45632</v>
      </c>
      <c r="D282" s="76" t="s">
        <v>290</v>
      </c>
      <c r="E282" s="76" t="s">
        <v>291</v>
      </c>
      <c r="F282" s="76" t="s">
        <v>286</v>
      </c>
      <c r="G282" s="586"/>
      <c r="H282" s="76" t="s">
        <v>93</v>
      </c>
      <c r="I282" s="76" t="s">
        <v>291</v>
      </c>
      <c r="J282" s="129">
        <v>100</v>
      </c>
      <c r="K282" s="76">
        <v>6682</v>
      </c>
      <c r="L282" s="131">
        <f>J282*K282</f>
        <v>668200</v>
      </c>
      <c r="M282" s="76">
        <f>L282*0.3</f>
        <v>200460</v>
      </c>
      <c r="N282" s="587">
        <v>446049</v>
      </c>
      <c r="O282" s="585">
        <f>N282-L282</f>
        <v>-222151</v>
      </c>
      <c r="P282" s="91"/>
      <c r="Q282" s="91"/>
      <c r="R282" s="76" t="s">
        <v>280</v>
      </c>
      <c r="S282" s="76" t="s">
        <v>292</v>
      </c>
      <c r="T282" s="387"/>
      <c r="U282" s="387"/>
      <c r="V282" s="387"/>
      <c r="X282" s="133"/>
      <c r="Y282" s="76">
        <v>115</v>
      </c>
      <c r="Z282" s="114">
        <v>3740</v>
      </c>
      <c r="AA282" s="114">
        <f>Y282*Z282</f>
        <v>430100</v>
      </c>
      <c r="AB282" s="114">
        <f>AA282</f>
        <v>430100</v>
      </c>
      <c r="AC282" s="114"/>
      <c r="AD282" s="140"/>
      <c r="AE282" s="114"/>
      <c r="AF282" s="114"/>
      <c r="AG282" s="114"/>
      <c r="AH282" s="141"/>
      <c r="AI282" s="91"/>
      <c r="AJ282" s="137"/>
      <c r="AK282" s="137">
        <v>110.101</v>
      </c>
      <c r="AL282" s="76">
        <v>6335</v>
      </c>
      <c r="AM282" s="114">
        <f>AL282*AK282</f>
        <v>697489.835</v>
      </c>
      <c r="AN282" s="114"/>
      <c r="AO282" s="144"/>
      <c r="AP282" s="91"/>
      <c r="AQ282" s="387"/>
      <c r="AR282" s="482"/>
      <c r="AS282" s="482"/>
      <c r="AT282" s="482"/>
      <c r="AU282" s="137"/>
      <c r="AV282" s="137"/>
      <c r="AW282" s="482"/>
      <c r="AX282" s="137">
        <v>110.101</v>
      </c>
      <c r="AY282" s="76">
        <v>6335</v>
      </c>
      <c r="AZ282" s="114">
        <f>AY282*AX282</f>
        <v>697489.835</v>
      </c>
      <c r="BA282" s="127"/>
      <c r="BB282" s="127"/>
      <c r="BC282" s="391">
        <f>BB282+BA282-AZ282</f>
        <v>-697489.835</v>
      </c>
      <c r="BI282" s="75"/>
      <c r="BJ282" s="91"/>
    </row>
    <row r="283" s="76" customFormat="1" ht="14.45" customHeight="1" outlineLevel="1" spans="3:62">
      <c r="C283" s="387"/>
      <c r="G283" s="586"/>
      <c r="J283" s="129"/>
      <c r="L283" s="131"/>
      <c r="M283" s="131"/>
      <c r="N283" s="148"/>
      <c r="O283" s="333"/>
      <c r="P283" s="91"/>
      <c r="Q283" s="91"/>
      <c r="S283" s="76" t="s">
        <v>61</v>
      </c>
      <c r="T283" s="387"/>
      <c r="U283" s="387"/>
      <c r="V283" s="387"/>
      <c r="X283" s="133"/>
      <c r="Z283" s="114"/>
      <c r="AA283" s="114"/>
      <c r="AB283" s="114"/>
      <c r="AC283" s="114"/>
      <c r="AD283" s="140"/>
      <c r="AE283" s="114"/>
      <c r="AF283" s="114"/>
      <c r="AG283" s="114"/>
      <c r="AH283" s="141"/>
      <c r="AI283" s="91"/>
      <c r="AJ283" s="137"/>
      <c r="AK283" s="137"/>
      <c r="AM283" s="114"/>
      <c r="AN283" s="114"/>
      <c r="AO283" s="144"/>
      <c r="AP283" s="91"/>
      <c r="AQ283" s="387"/>
      <c r="AR283" s="482"/>
      <c r="AS283" s="482"/>
      <c r="AT283" s="482"/>
      <c r="AU283" s="137"/>
      <c r="AV283" s="137"/>
      <c r="AW283" s="482"/>
      <c r="AX283" s="142"/>
      <c r="AY283" s="114"/>
      <c r="AZ283" s="127"/>
      <c r="BA283" s="127"/>
      <c r="BB283" s="127"/>
      <c r="BC283" s="127"/>
      <c r="BI283" s="75"/>
      <c r="BJ283" s="91"/>
    </row>
    <row r="284" s="76" customFormat="1" ht="14.45" customHeight="1" outlineLevel="1" spans="3:62">
      <c r="C284" s="387"/>
      <c r="G284" s="586"/>
      <c r="J284" s="129"/>
      <c r="L284" s="131"/>
      <c r="M284" s="131"/>
      <c r="N284" s="148"/>
      <c r="O284" s="333"/>
      <c r="P284" s="91"/>
      <c r="Q284" s="91"/>
      <c r="S284" s="76" t="s">
        <v>62</v>
      </c>
      <c r="T284" s="387"/>
      <c r="U284" s="387"/>
      <c r="V284" s="387"/>
      <c r="X284" s="133"/>
      <c r="Z284" s="114"/>
      <c r="AA284" s="114"/>
      <c r="AB284" s="114"/>
      <c r="AC284" s="114"/>
      <c r="AD284" s="140"/>
      <c r="AE284" s="114"/>
      <c r="AF284" s="114"/>
      <c r="AG284" s="114"/>
      <c r="AH284" s="141"/>
      <c r="AI284" s="91"/>
      <c r="AJ284" s="137"/>
      <c r="AK284" s="137"/>
      <c r="AM284" s="114"/>
      <c r="AN284" s="114"/>
      <c r="AO284" s="144"/>
      <c r="AP284" s="91"/>
      <c r="AQ284" s="387"/>
      <c r="AR284" s="482"/>
      <c r="AS284" s="482"/>
      <c r="AT284" s="482"/>
      <c r="AU284" s="137"/>
      <c r="AV284" s="137"/>
      <c r="AW284" s="482"/>
      <c r="AX284" s="142"/>
      <c r="AY284" s="114"/>
      <c r="AZ284" s="127"/>
      <c r="BA284" s="127"/>
      <c r="BB284" s="127"/>
      <c r="BC284" s="127"/>
      <c r="BI284" s="75"/>
      <c r="BJ284" s="91"/>
    </row>
    <row r="285" s="76" customFormat="1" ht="14.45" customHeight="1" outlineLevel="1" spans="3:62">
      <c r="C285" s="387"/>
      <c r="G285" s="586"/>
      <c r="J285" s="129"/>
      <c r="L285" s="131"/>
      <c r="M285" s="131"/>
      <c r="N285" s="148"/>
      <c r="O285" s="333"/>
      <c r="P285" s="91"/>
      <c r="Q285" s="91"/>
      <c r="S285" s="76" t="s">
        <v>63</v>
      </c>
      <c r="T285" s="387"/>
      <c r="U285" s="387"/>
      <c r="V285" s="387"/>
      <c r="X285" s="133"/>
      <c r="Z285" s="114"/>
      <c r="AA285" s="114"/>
      <c r="AB285" s="114"/>
      <c r="AC285" s="114"/>
      <c r="AD285" s="140"/>
      <c r="AE285" s="114"/>
      <c r="AF285" s="114"/>
      <c r="AG285" s="114"/>
      <c r="AH285" s="141"/>
      <c r="AI285" s="91"/>
      <c r="AJ285" s="137"/>
      <c r="AK285" s="137"/>
      <c r="AM285" s="114"/>
      <c r="AN285" s="114"/>
      <c r="AO285" s="144"/>
      <c r="AP285" s="91"/>
      <c r="AQ285" s="387"/>
      <c r="AR285" s="482"/>
      <c r="AS285" s="482"/>
      <c r="AT285" s="482"/>
      <c r="AU285" s="137"/>
      <c r="AV285" s="137"/>
      <c r="AW285" s="482"/>
      <c r="AX285" s="142"/>
      <c r="AY285" s="114"/>
      <c r="AZ285" s="127"/>
      <c r="BA285" s="127"/>
      <c r="BB285" s="127"/>
      <c r="BC285" s="127"/>
      <c r="BI285" s="75"/>
      <c r="BJ285" s="91"/>
    </row>
    <row r="286" s="76" customFormat="1" ht="14.45" customHeight="1" outlineLevel="1" spans="3:62">
      <c r="C286" s="387"/>
      <c r="G286" s="586"/>
      <c r="J286" s="129"/>
      <c r="L286" s="131"/>
      <c r="M286" s="131"/>
      <c r="N286" s="148"/>
      <c r="O286" s="333"/>
      <c r="P286" s="91"/>
      <c r="Q286" s="91"/>
      <c r="R286" s="76" t="s">
        <v>64</v>
      </c>
      <c r="S286" s="76" t="s">
        <v>282</v>
      </c>
      <c r="T286" s="387"/>
      <c r="U286" s="387"/>
      <c r="V286" s="387"/>
      <c r="X286" s="133"/>
      <c r="Y286" s="76">
        <v>108</v>
      </c>
      <c r="Z286" s="114">
        <v>870</v>
      </c>
      <c r="AA286" s="114">
        <f>Y286*Z286</f>
        <v>93960</v>
      </c>
      <c r="AB286" s="114"/>
      <c r="AC286" s="114"/>
      <c r="AD286" s="140"/>
      <c r="AE286" s="114"/>
      <c r="AF286" s="114"/>
      <c r="AG286" s="114"/>
      <c r="AH286" s="141"/>
      <c r="AI286" s="91"/>
      <c r="AJ286" s="137"/>
      <c r="AK286" s="137"/>
      <c r="AM286" s="114"/>
      <c r="AN286" s="114"/>
      <c r="AO286" s="144"/>
      <c r="AP286" s="91"/>
      <c r="AQ286" s="387"/>
      <c r="AR286" s="482"/>
      <c r="AS286" s="482"/>
      <c r="AT286" s="482"/>
      <c r="AU286" s="137"/>
      <c r="AV286" s="137"/>
      <c r="AW286" s="482"/>
      <c r="AX286" s="142"/>
      <c r="AY286" s="114"/>
      <c r="AZ286" s="127"/>
      <c r="BA286" s="127"/>
      <c r="BB286" s="127"/>
      <c r="BC286" s="127"/>
      <c r="BI286" s="75"/>
      <c r="BJ286" s="91"/>
    </row>
    <row r="287" s="76" customFormat="1" ht="14.45" customHeight="1" outlineLevel="1" spans="3:62">
      <c r="C287" s="387"/>
      <c r="G287" s="586"/>
      <c r="J287" s="129"/>
      <c r="L287" s="131"/>
      <c r="M287" s="131"/>
      <c r="N287" s="148"/>
      <c r="O287" s="333"/>
      <c r="P287" s="91"/>
      <c r="Q287" s="91"/>
      <c r="S287" s="76" t="s">
        <v>63</v>
      </c>
      <c r="T287" s="387"/>
      <c r="U287" s="387"/>
      <c r="V287" s="387"/>
      <c r="X287" s="133"/>
      <c r="Z287" s="114"/>
      <c r="AA287" s="114"/>
      <c r="AB287" s="114"/>
      <c r="AC287" s="114"/>
      <c r="AD287" s="140"/>
      <c r="AE287" s="114"/>
      <c r="AF287" s="114"/>
      <c r="AG287" s="114"/>
      <c r="AH287" s="141"/>
      <c r="AI287" s="91"/>
      <c r="AJ287" s="137"/>
      <c r="AK287" s="137"/>
      <c r="AM287" s="114"/>
      <c r="AN287" s="114"/>
      <c r="AO287" s="144"/>
      <c r="AP287" s="91"/>
      <c r="AQ287" s="387"/>
      <c r="AR287" s="482"/>
      <c r="AS287" s="482"/>
      <c r="AT287" s="482"/>
      <c r="AU287" s="137"/>
      <c r="AV287" s="137"/>
      <c r="AW287" s="482"/>
      <c r="AX287" s="142"/>
      <c r="AY287" s="114"/>
      <c r="AZ287" s="127"/>
      <c r="BA287" s="127"/>
      <c r="BB287" s="127"/>
      <c r="BC287" s="127"/>
      <c r="BI287" s="75"/>
      <c r="BJ287" s="91"/>
    </row>
    <row r="288" s="76" customFormat="1" ht="14.45" customHeight="1" outlineLevel="1" spans="3:62">
      <c r="C288" s="387"/>
      <c r="G288" s="586"/>
      <c r="J288" s="129"/>
      <c r="L288" s="131"/>
      <c r="M288" s="131"/>
      <c r="N288" s="148"/>
      <c r="O288" s="333"/>
      <c r="P288" s="91"/>
      <c r="Q288" s="91"/>
      <c r="R288" s="76" t="s">
        <v>66</v>
      </c>
      <c r="S288" s="76" t="s">
        <v>67</v>
      </c>
      <c r="T288" s="387"/>
      <c r="U288" s="387"/>
      <c r="V288" s="387"/>
      <c r="X288" s="133"/>
      <c r="Y288" s="76">
        <v>110.101</v>
      </c>
      <c r="Z288" s="114">
        <v>1260</v>
      </c>
      <c r="AA288" s="114">
        <f>Y288*Z288</f>
        <v>138727.26</v>
      </c>
      <c r="AB288" s="114">
        <f>AA288</f>
        <v>138727.26</v>
      </c>
      <c r="AC288" s="134">
        <f>AA288-AB288</f>
        <v>0</v>
      </c>
      <c r="AD288" s="140"/>
      <c r="AE288" s="114"/>
      <c r="AF288" s="114"/>
      <c r="AG288" s="114"/>
      <c r="AH288" s="141"/>
      <c r="AI288" s="91"/>
      <c r="AJ288" s="137"/>
      <c r="AK288" s="137"/>
      <c r="AM288" s="114"/>
      <c r="AN288" s="114"/>
      <c r="AO288" s="144"/>
      <c r="AP288" s="91"/>
      <c r="AQ288" s="387"/>
      <c r="AR288" s="482"/>
      <c r="AS288" s="482"/>
      <c r="AT288" s="482"/>
      <c r="AU288" s="137"/>
      <c r="AV288" s="137"/>
      <c r="AW288" s="482"/>
      <c r="AX288" s="142"/>
      <c r="AY288" s="114"/>
      <c r="AZ288" s="127"/>
      <c r="BA288" s="127"/>
      <c r="BB288" s="127"/>
      <c r="BC288" s="127"/>
      <c r="BI288" s="75"/>
      <c r="BJ288" s="91"/>
    </row>
    <row r="289" s="76" customFormat="1" ht="14.45" customHeight="1" outlineLevel="1" spans="1:69">
      <c r="C289" s="387">
        <v>45632</v>
      </c>
      <c r="D289" s="76" t="s">
        <v>290</v>
      </c>
      <c r="E289" s="76" t="s">
        <v>293</v>
      </c>
      <c r="F289" s="76" t="s">
        <v>286</v>
      </c>
      <c r="G289" s="586"/>
      <c r="H289" s="76" t="s">
        <v>93</v>
      </c>
      <c r="I289" s="76" t="s">
        <v>293</v>
      </c>
      <c r="J289" s="129">
        <v>50</v>
      </c>
      <c r="K289" s="76">
        <v>6607</v>
      </c>
      <c r="L289" s="131">
        <f>J289*K289</f>
        <v>330350</v>
      </c>
      <c r="M289" s="76">
        <f>L289*0.3</f>
        <v>99105</v>
      </c>
      <c r="N289" s="587">
        <v>223024</v>
      </c>
      <c r="O289" s="585">
        <f>N289-L289</f>
        <v>-107326</v>
      </c>
      <c r="P289" s="91"/>
      <c r="Q289" s="91"/>
      <c r="R289" s="76" t="s">
        <v>280</v>
      </c>
      <c r="S289" s="76" t="s">
        <v>292</v>
      </c>
      <c r="T289" s="387"/>
      <c r="U289" s="387"/>
      <c r="V289" s="387"/>
      <c r="X289" s="133"/>
      <c r="Y289" s="76">
        <v>82</v>
      </c>
      <c r="Z289" s="114">
        <v>3740</v>
      </c>
      <c r="AA289" s="114">
        <f>Y289*Z289</f>
        <v>306680</v>
      </c>
      <c r="AB289" s="114">
        <f>AA289</f>
        <v>306680</v>
      </c>
      <c r="AD289" s="140"/>
      <c r="AE289" s="114"/>
      <c r="AF289" s="114"/>
      <c r="AG289" s="114"/>
      <c r="AH289" s="141"/>
      <c r="AI289" s="91"/>
      <c r="AJ289" s="137"/>
      <c r="AK289" s="137">
        <v>55.629</v>
      </c>
      <c r="AL289" s="76">
        <v>6335</v>
      </c>
      <c r="AM289" s="114">
        <f>AL289*AK289</f>
        <v>352409.715</v>
      </c>
      <c r="AN289" s="114"/>
      <c r="AO289" s="144"/>
      <c r="AP289" s="91"/>
      <c r="AQ289" s="387"/>
      <c r="AR289" s="482"/>
      <c r="AS289" s="482"/>
      <c r="AT289" s="482"/>
      <c r="AU289" s="137"/>
      <c r="AV289" s="137"/>
      <c r="AW289" s="482"/>
      <c r="AX289" s="137">
        <v>55.629</v>
      </c>
      <c r="AY289" s="76">
        <v>6335</v>
      </c>
      <c r="AZ289" s="114">
        <f>AY289*AX289</f>
        <v>352409.715</v>
      </c>
      <c r="BA289" s="127"/>
      <c r="BB289" s="127">
        <v>143350.05</v>
      </c>
      <c r="BC289" s="391">
        <f>BB289+BA289-AZ289</f>
        <v>-209059.665</v>
      </c>
      <c r="BI289" s="75"/>
      <c r="BJ289" s="91"/>
    </row>
    <row r="290" s="76" customFormat="1" ht="14.45" customHeight="1" outlineLevel="1" spans="1:69">
      <c r="C290" s="387"/>
      <c r="G290" s="586"/>
      <c r="J290" s="129"/>
      <c r="L290" s="131"/>
      <c r="M290" s="131"/>
      <c r="N290" s="148"/>
      <c r="P290" s="91"/>
      <c r="Q290" s="91"/>
      <c r="S290" s="76" t="s">
        <v>61</v>
      </c>
      <c r="T290" s="387"/>
      <c r="U290" s="387"/>
      <c r="V290" s="387"/>
      <c r="X290" s="133"/>
      <c r="Z290" s="114"/>
      <c r="AA290" s="114"/>
      <c r="AB290" s="114"/>
      <c r="AC290" s="114"/>
      <c r="AD290" s="140"/>
      <c r="AE290" s="114"/>
      <c r="AF290" s="114"/>
      <c r="AG290" s="114"/>
      <c r="AH290" s="141"/>
      <c r="AI290" s="91"/>
      <c r="AJ290" s="137"/>
      <c r="AK290" s="137"/>
      <c r="AM290" s="114"/>
      <c r="AN290" s="114"/>
      <c r="AO290" s="144"/>
      <c r="AP290" s="91"/>
      <c r="AQ290" s="387"/>
      <c r="AR290" s="482"/>
      <c r="AS290" s="482"/>
      <c r="AT290" s="482"/>
      <c r="AU290" s="137"/>
      <c r="AV290" s="137"/>
      <c r="AW290" s="482"/>
      <c r="AX290" s="142"/>
      <c r="AY290" s="114"/>
      <c r="AZ290" s="127"/>
      <c r="BA290" s="127"/>
      <c r="BB290" s="127"/>
      <c r="BC290" s="127"/>
      <c r="BI290" s="75"/>
      <c r="BJ290" s="91"/>
    </row>
    <row r="291" s="76" customFormat="1" ht="14.45" customHeight="1" outlineLevel="1" spans="1:69">
      <c r="C291" s="387"/>
      <c r="G291" s="586"/>
      <c r="J291" s="129"/>
      <c r="L291" s="131"/>
      <c r="M291" s="131"/>
      <c r="N291" s="148">
        <v>950000</v>
      </c>
      <c r="P291" s="91"/>
      <c r="Q291" s="91"/>
      <c r="S291" s="76" t="s">
        <v>62</v>
      </c>
      <c r="T291" s="387"/>
      <c r="U291" s="387"/>
      <c r="V291" s="387"/>
      <c r="X291" s="133"/>
      <c r="Z291" s="114"/>
      <c r="AA291" s="114"/>
      <c r="AB291" s="114"/>
      <c r="AC291" s="114"/>
      <c r="AD291" s="140"/>
      <c r="AE291" s="114"/>
      <c r="AF291" s="114"/>
      <c r="AG291" s="114"/>
      <c r="AH291" s="141"/>
      <c r="AI291" s="91"/>
      <c r="AJ291" s="137"/>
      <c r="AK291" s="137"/>
      <c r="AM291" s="114"/>
      <c r="AN291" s="114"/>
      <c r="AO291" s="144"/>
      <c r="AP291" s="91"/>
      <c r="AQ291" s="387"/>
      <c r="AR291" s="482"/>
      <c r="AS291" s="482"/>
      <c r="AT291" s="482"/>
      <c r="AU291" s="137"/>
      <c r="AV291" s="137"/>
      <c r="AW291" s="482"/>
      <c r="AX291" s="142"/>
      <c r="AY291" s="114"/>
      <c r="AZ291" s="127"/>
      <c r="BA291" s="127"/>
      <c r="BB291" s="127"/>
      <c r="BC291" s="127"/>
      <c r="BI291" s="75"/>
      <c r="BJ291" s="91"/>
    </row>
    <row r="292" s="76" customFormat="1" ht="14.45" customHeight="1" outlineLevel="1" spans="1:69">
      <c r="C292" s="387"/>
      <c r="G292" s="586"/>
      <c r="J292" s="129"/>
      <c r="L292" s="131"/>
      <c r="M292" s="131"/>
      <c r="N292" s="148">
        <v>143350.05</v>
      </c>
      <c r="P292" s="91"/>
      <c r="Q292" s="91"/>
      <c r="S292" s="76" t="s">
        <v>63</v>
      </c>
      <c r="T292" s="387"/>
      <c r="U292" s="387"/>
      <c r="V292" s="387"/>
      <c r="X292" s="133"/>
      <c r="Z292" s="114"/>
      <c r="AA292" s="114"/>
      <c r="AB292" s="114"/>
      <c r="AC292" s="114"/>
      <c r="AD292" s="140"/>
      <c r="AE292" s="114"/>
      <c r="AF292" s="114"/>
      <c r="AG292" s="114"/>
      <c r="AH292" s="141"/>
      <c r="AI292" s="91"/>
      <c r="AJ292" s="137"/>
      <c r="AK292" s="137"/>
      <c r="AM292" s="114"/>
      <c r="AN292" s="114"/>
      <c r="AO292" s="144"/>
      <c r="AP292" s="91"/>
      <c r="AQ292" s="387"/>
      <c r="AR292" s="482"/>
      <c r="AS292" s="482"/>
      <c r="AT292" s="482"/>
      <c r="AU292" s="137"/>
      <c r="AV292" s="137"/>
      <c r="AW292" s="482"/>
      <c r="AX292" s="142"/>
      <c r="AY292" s="114"/>
      <c r="AZ292" s="127"/>
      <c r="BA292" s="127"/>
      <c r="BB292" s="127"/>
      <c r="BC292" s="127"/>
      <c r="BI292" s="75"/>
      <c r="BJ292" s="91"/>
    </row>
    <row r="293" s="76" customFormat="1" ht="14.45" customHeight="1" outlineLevel="1" spans="1:69">
      <c r="C293" s="387"/>
      <c r="G293" s="586"/>
      <c r="J293" s="129"/>
      <c r="L293" s="131"/>
      <c r="M293" s="131"/>
      <c r="N293" s="148"/>
      <c r="P293" s="91"/>
      <c r="Q293" s="91"/>
      <c r="R293" s="76" t="s">
        <v>64</v>
      </c>
      <c r="S293" s="76" t="s">
        <v>282</v>
      </c>
      <c r="T293" s="387"/>
      <c r="U293" s="387"/>
      <c r="V293" s="387"/>
      <c r="X293" s="133"/>
      <c r="Y293" s="76">
        <v>108</v>
      </c>
      <c r="Z293" s="114">
        <v>870</v>
      </c>
      <c r="AA293" s="114">
        <f>Y293*Z293</f>
        <v>93960</v>
      </c>
      <c r="AB293" s="114"/>
      <c r="AC293" s="114"/>
      <c r="AD293" s="140"/>
      <c r="AE293" s="114"/>
      <c r="AF293" s="114"/>
      <c r="AG293" s="114"/>
      <c r="AH293" s="141"/>
      <c r="AI293" s="91"/>
      <c r="AJ293" s="137"/>
      <c r="AK293" s="137"/>
      <c r="AM293" s="114"/>
      <c r="AN293" s="114"/>
      <c r="AO293" s="144"/>
      <c r="AP293" s="91"/>
      <c r="AQ293" s="387"/>
      <c r="AR293" s="482"/>
      <c r="AS293" s="482"/>
      <c r="AT293" s="482"/>
      <c r="AU293" s="137"/>
      <c r="AV293" s="137"/>
      <c r="AW293" s="482"/>
      <c r="AX293" s="142"/>
      <c r="AY293" s="114"/>
      <c r="AZ293" s="127"/>
      <c r="BA293" s="127"/>
      <c r="BB293" s="127"/>
      <c r="BC293" s="127"/>
      <c r="BI293" s="75"/>
      <c r="BJ293" s="91"/>
    </row>
    <row r="294" s="76" customFormat="1" ht="14.45" customHeight="1" outlineLevel="1" spans="1:69">
      <c r="C294" s="387"/>
      <c r="G294" s="586"/>
      <c r="J294" s="129"/>
      <c r="L294" s="131"/>
      <c r="M294" s="131"/>
      <c r="N294" s="148"/>
      <c r="P294" s="91"/>
      <c r="Q294" s="91"/>
      <c r="S294" s="76" t="s">
        <v>63</v>
      </c>
      <c r="T294" s="387"/>
      <c r="U294" s="387"/>
      <c r="V294" s="387"/>
      <c r="X294" s="133"/>
      <c r="Z294" s="114"/>
      <c r="AA294" s="114"/>
      <c r="AB294" s="114"/>
      <c r="AC294" s="114"/>
      <c r="AD294" s="140"/>
      <c r="AE294" s="114"/>
      <c r="AF294" s="114"/>
      <c r="AG294" s="114"/>
      <c r="AH294" s="141"/>
      <c r="AI294" s="91"/>
      <c r="AJ294" s="137"/>
      <c r="AK294" s="137"/>
      <c r="AM294" s="114"/>
      <c r="AN294" s="114"/>
      <c r="AO294" s="144"/>
      <c r="AP294" s="91"/>
      <c r="AQ294" s="387"/>
      <c r="AR294" s="482"/>
      <c r="AS294" s="482"/>
      <c r="AT294" s="482"/>
      <c r="AU294" s="137"/>
      <c r="AV294" s="137"/>
      <c r="AW294" s="482"/>
      <c r="AX294" s="142"/>
      <c r="AY294" s="114"/>
      <c r="AZ294" s="127"/>
      <c r="BA294" s="127"/>
      <c r="BB294" s="127"/>
      <c r="BC294" s="127"/>
      <c r="BI294" s="75"/>
      <c r="BJ294" s="91"/>
    </row>
    <row r="295" s="76" customFormat="1" ht="14.45" customHeight="1" outlineLevel="1" spans="1:69">
      <c r="C295" s="387"/>
      <c r="G295" s="586"/>
      <c r="J295" s="129"/>
      <c r="L295" s="131"/>
      <c r="M295" s="131"/>
      <c r="N295" s="148"/>
      <c r="P295" s="91"/>
      <c r="Q295" s="91"/>
      <c r="R295" s="76" t="s">
        <v>66</v>
      </c>
      <c r="S295" s="76" t="s">
        <v>67</v>
      </c>
      <c r="T295" s="387"/>
      <c r="U295" s="387"/>
      <c r="V295" s="387"/>
      <c r="X295" s="133"/>
      <c r="Y295" s="76">
        <v>55.629</v>
      </c>
      <c r="Z295" s="114">
        <v>1260</v>
      </c>
      <c r="AA295" s="114">
        <f>Y295*Z295</f>
        <v>70092.54</v>
      </c>
      <c r="AB295" s="114">
        <f>AA295</f>
        <v>70092.54</v>
      </c>
      <c r="AC295" s="134">
        <f>AA295-AB295</f>
        <v>0</v>
      </c>
      <c r="AD295" s="140"/>
      <c r="AE295" s="114"/>
      <c r="AF295" s="114"/>
      <c r="AG295" s="114"/>
      <c r="AH295" s="141"/>
      <c r="AI295" s="91"/>
      <c r="AJ295" s="137"/>
      <c r="AK295" s="137"/>
      <c r="AM295" s="114"/>
      <c r="AN295" s="114"/>
      <c r="AO295" s="144"/>
      <c r="AP295" s="91"/>
      <c r="AQ295" s="387"/>
      <c r="AR295" s="482"/>
      <c r="AS295" s="482"/>
      <c r="AT295" s="482"/>
      <c r="AU295" s="137"/>
      <c r="AV295" s="137"/>
      <c r="AW295" s="482"/>
      <c r="AX295" s="142"/>
      <c r="AY295" s="114"/>
      <c r="AZ295" s="127"/>
      <c r="BA295" s="127"/>
      <c r="BB295" s="127"/>
      <c r="BC295" s="127"/>
      <c r="BI295" s="75"/>
      <c r="BJ295" s="91"/>
    </row>
    <row r="296" s="76" customFormat="1" ht="14.45" customHeight="1" outlineLevel="1" spans="1:69">
      <c r="C296" s="387"/>
      <c r="G296" s="586"/>
      <c r="J296" s="129"/>
      <c r="K296" s="129"/>
      <c r="L296" s="129"/>
      <c r="M296" s="129"/>
      <c r="P296" s="91"/>
      <c r="Q296" s="91"/>
      <c r="T296" s="387"/>
      <c r="U296" s="387"/>
      <c r="V296" s="387"/>
      <c r="X296" s="133"/>
      <c r="Z296" s="114"/>
      <c r="AA296" s="114"/>
      <c r="AB296" s="114"/>
      <c r="AC296" s="114"/>
      <c r="AD296" s="140"/>
      <c r="AE296" s="114"/>
      <c r="AF296" s="114"/>
      <c r="AG296" s="114"/>
      <c r="AH296" s="141"/>
      <c r="AI296" s="91"/>
      <c r="AJ296" s="137"/>
      <c r="AK296" s="137"/>
      <c r="AM296" s="114"/>
      <c r="AN296" s="114"/>
      <c r="AO296" s="144"/>
      <c r="AP296" s="91"/>
      <c r="AQ296" s="387"/>
      <c r="AR296" s="482"/>
      <c r="AS296" s="482"/>
      <c r="AT296" s="482"/>
      <c r="AU296" s="137"/>
      <c r="AV296" s="137"/>
      <c r="AW296" s="482"/>
      <c r="AX296" s="142"/>
      <c r="AY296" s="114"/>
      <c r="AZ296" s="127"/>
      <c r="BA296" s="127"/>
      <c r="BB296" s="127"/>
      <c r="BC296" s="127"/>
      <c r="BI296" s="75"/>
      <c r="BJ296" s="91"/>
    </row>
    <row r="297" s="79" customFormat="1" ht="14.45" customHeight="1" spans="1:69">
      <c r="A297" s="79">
        <v>46</v>
      </c>
      <c r="C297" s="463" t="s">
        <v>69</v>
      </c>
      <c r="D297" s="79" t="s">
        <v>286</v>
      </c>
      <c r="E297" s="79" t="s">
        <v>275</v>
      </c>
      <c r="F297" s="79" t="s">
        <v>286</v>
      </c>
      <c r="G297" s="486"/>
      <c r="H297" s="79" t="s">
        <v>93</v>
      </c>
      <c r="I297" s="79" t="s">
        <v>275</v>
      </c>
      <c r="J297" s="194">
        <f>SUM(J272:J296)</f>
        <v>435</v>
      </c>
      <c r="K297" s="194"/>
      <c r="L297" s="194">
        <f>SUM(L272:L296)</f>
        <v>2838800</v>
      </c>
      <c r="M297" s="194"/>
      <c r="N297" s="79">
        <f>SUM(N272:N296)</f>
        <v>3033665.05</v>
      </c>
      <c r="P297" s="91"/>
      <c r="Q297" s="91"/>
      <c r="T297" s="463"/>
      <c r="U297" s="463"/>
      <c r="V297" s="463"/>
      <c r="X297" s="193"/>
      <c r="Z297" s="192"/>
      <c r="AA297" s="192"/>
      <c r="AB297" s="192"/>
      <c r="AC297" s="192"/>
      <c r="AD297" s="196"/>
      <c r="AE297" s="192"/>
      <c r="AF297" s="192"/>
      <c r="AG297" s="192"/>
      <c r="AH297" s="227"/>
      <c r="AI297" s="91"/>
      <c r="AJ297" s="225"/>
      <c r="AK297" s="225"/>
      <c r="AM297" s="192">
        <f>SUM(AM272:AM296)</f>
        <v>3033665.05</v>
      </c>
      <c r="AN297" s="192">
        <v>3033665.05</v>
      </c>
      <c r="AO297" s="490">
        <f>AM297-AN297</f>
        <v>0</v>
      </c>
      <c r="AP297" s="91"/>
      <c r="AQ297" s="463"/>
      <c r="AR297" s="491"/>
      <c r="AS297" s="491"/>
      <c r="AT297" s="491"/>
      <c r="AU297" s="225"/>
      <c r="AV297" s="225"/>
      <c r="AW297" s="491"/>
      <c r="AX297" s="492"/>
      <c r="AY297" s="192"/>
      <c r="AZ297" s="150">
        <f>SUM(AZ272:AZ296)</f>
        <v>3033665.05</v>
      </c>
      <c r="BA297" s="150">
        <f>BA272</f>
        <v>1940315</v>
      </c>
      <c r="BB297" s="150">
        <f>SUM(BB272:BB296)</f>
        <v>1093350.05</v>
      </c>
      <c r="BC297" s="150">
        <f>SUM(BC272:BC296)</f>
        <v>0</v>
      </c>
      <c r="BI297" s="478" t="s">
        <v>60</v>
      </c>
      <c r="BJ297" s="91"/>
    </row>
    <row r="298" s="76" customFormat="1" ht="12" customHeight="1" outlineLevel="1" spans="1:69">
      <c r="C298" s="387">
        <v>45657</v>
      </c>
      <c r="D298" s="76" t="s">
        <v>294</v>
      </c>
      <c r="E298" s="76" t="s">
        <v>295</v>
      </c>
      <c r="F298" s="76" t="s">
        <v>294</v>
      </c>
      <c r="G298" s="586">
        <f>120000+247000</f>
        <v>367000</v>
      </c>
      <c r="I298" s="76" t="s">
        <v>295</v>
      </c>
      <c r="J298" s="264">
        <v>1000000</v>
      </c>
      <c r="K298" s="76">
        <v>0.367</v>
      </c>
      <c r="L298" s="76">
        <f>J298*K298</f>
        <v>367000</v>
      </c>
      <c r="M298" s="76">
        <f>L298*0.3</f>
        <v>110100</v>
      </c>
      <c r="N298" s="76">
        <f>120000+247000</f>
        <v>367000</v>
      </c>
      <c r="O298" s="114">
        <f>N298-L298</f>
        <v>0</v>
      </c>
      <c r="P298" s="91"/>
      <c r="Q298" s="91"/>
      <c r="R298" s="113" t="s">
        <v>148</v>
      </c>
      <c r="S298" s="76" t="s">
        <v>296</v>
      </c>
      <c r="T298" s="387">
        <v>45632</v>
      </c>
      <c r="U298" s="387">
        <v>45792</v>
      </c>
      <c r="V298" s="387"/>
      <c r="X298" s="133"/>
      <c r="Y298" s="76">
        <v>1000000</v>
      </c>
      <c r="Z298" s="114">
        <v>0.4</v>
      </c>
      <c r="AA298" s="114">
        <f>Y298*Z298</f>
        <v>400000</v>
      </c>
      <c r="AB298" s="114">
        <v>120000</v>
      </c>
      <c r="AC298" s="114">
        <f>AA298-AB298</f>
        <v>280000</v>
      </c>
      <c r="AD298" s="140"/>
      <c r="AE298" s="114"/>
      <c r="AF298" s="114"/>
      <c r="AG298" s="114"/>
      <c r="AH298" s="141"/>
      <c r="AI298" s="484"/>
      <c r="AJ298" s="485"/>
      <c r="AK298" s="137"/>
      <c r="AM298" s="114"/>
      <c r="AN298" s="114">
        <f>120000+247000</f>
        <v>367000</v>
      </c>
      <c r="AO298" s="141">
        <f>AM298-AN298</f>
        <v>-367000</v>
      </c>
      <c r="AP298" s="484"/>
      <c r="AQ298" s="387"/>
      <c r="AR298" s="482"/>
      <c r="AS298" s="588">
        <v>1070434946</v>
      </c>
      <c r="AT298" s="482"/>
      <c r="AU298" s="137" t="s">
        <v>297</v>
      </c>
      <c r="AV298" s="137">
        <v>1</v>
      </c>
      <c r="AW298" s="482">
        <v>46010</v>
      </c>
      <c r="AX298" s="142"/>
      <c r="AY298" s="114"/>
      <c r="AZ298" s="127"/>
      <c r="BA298" s="127"/>
      <c r="BB298" s="127"/>
      <c r="BC298" s="127"/>
      <c r="BI298" s="75"/>
      <c r="BJ298" s="91"/>
      <c r="BL298" s="76" t="str">
        <f>D298</f>
        <v>TJTW-47</v>
      </c>
      <c r="BM298" s="76">
        <f>A298</f>
        <v>0</v>
      </c>
      <c r="BO298" s="76" t="str">
        <f>E298</f>
        <v>EOE Aluminium diam.99.8mm 0.24 #401</v>
      </c>
      <c r="BP298" s="129">
        <f>J298</f>
        <v>1000000</v>
      </c>
      <c r="BQ298" s="387">
        <f>U298</f>
        <v>45792</v>
      </c>
    </row>
    <row r="299" s="76" customFormat="1" ht="12" customHeight="1" outlineLevel="1" spans="1:69">
      <c r="C299" s="387"/>
      <c r="G299" s="586"/>
      <c r="J299" s="264"/>
      <c r="O299" s="114"/>
      <c r="P299" s="91"/>
      <c r="Q299" s="91"/>
      <c r="R299" s="578" t="s">
        <v>95</v>
      </c>
      <c r="T299" s="387"/>
      <c r="U299" s="387"/>
      <c r="V299" s="387"/>
      <c r="X299" s="133"/>
      <c r="Z299" s="114"/>
      <c r="AA299" s="114"/>
      <c r="AB299" s="114"/>
      <c r="AC299" s="114"/>
      <c r="AD299" s="140"/>
      <c r="AE299" s="114"/>
      <c r="AF299" s="114"/>
      <c r="AG299" s="114"/>
      <c r="AH299" s="141"/>
      <c r="AI299" s="484"/>
      <c r="AJ299" s="485"/>
      <c r="AK299" s="137"/>
      <c r="AM299" s="114"/>
      <c r="AN299" s="114"/>
      <c r="AO299" s="141"/>
      <c r="AP299" s="484"/>
      <c r="AQ299" s="387"/>
      <c r="AR299" s="482"/>
      <c r="AS299" s="482"/>
      <c r="AT299" s="482"/>
      <c r="AU299" s="137"/>
      <c r="AV299" s="137"/>
      <c r="AW299" s="482"/>
      <c r="AX299" s="142"/>
      <c r="AY299" s="114"/>
      <c r="AZ299" s="127"/>
      <c r="BA299" s="127"/>
      <c r="BB299" s="127"/>
      <c r="BC299" s="127"/>
      <c r="BI299" s="75"/>
      <c r="BJ299" s="91"/>
      <c r="BL299" s="76">
        <f>D299</f>
        <v>0</v>
      </c>
    </row>
    <row r="300" s="79" customFormat="1" ht="14.45" customHeight="1" spans="1:69">
      <c r="A300" s="79">
        <v>47</v>
      </c>
      <c r="C300" s="463" t="s">
        <v>69</v>
      </c>
      <c r="D300" s="79" t="s">
        <v>294</v>
      </c>
      <c r="E300" s="79" t="str">
        <f>E298</f>
        <v>EOE Aluminium diam.99.8mm 0.24 #401</v>
      </c>
      <c r="F300" s="79" t="s">
        <v>294</v>
      </c>
      <c r="G300" s="486"/>
      <c r="H300" s="79" t="s">
        <v>93</v>
      </c>
      <c r="I300" s="79" t="str">
        <f>I298</f>
        <v>EOE Aluminium diam.99.8mm 0.24 #401</v>
      </c>
      <c r="J300" s="579">
        <v>1000000</v>
      </c>
      <c r="L300" s="79">
        <f>SUM(L298)</f>
        <v>367000</v>
      </c>
      <c r="N300" s="79">
        <f>SUM(N298)</f>
        <v>367000</v>
      </c>
      <c r="O300" s="79">
        <f>SUM(O298)</f>
        <v>0</v>
      </c>
      <c r="P300" s="91"/>
      <c r="Q300" s="91"/>
      <c r="T300" s="463">
        <f>T298</f>
        <v>45632</v>
      </c>
      <c r="U300" s="463">
        <f>U298</f>
        <v>45792</v>
      </c>
      <c r="V300" s="463">
        <v>45971</v>
      </c>
      <c r="X300" s="193"/>
      <c r="Y300" s="79">
        <f>Y298</f>
        <v>1000000</v>
      </c>
      <c r="Z300" s="192"/>
      <c r="AA300" s="192">
        <f>AA298</f>
        <v>400000</v>
      </c>
      <c r="AB300" s="192">
        <f>AB298</f>
        <v>120000</v>
      </c>
      <c r="AC300" s="192">
        <f>AC298</f>
        <v>280000</v>
      </c>
      <c r="AD300" s="196"/>
      <c r="AE300" s="192"/>
      <c r="AF300" s="192"/>
      <c r="AG300" s="192"/>
      <c r="AH300" s="227"/>
      <c r="AI300" s="484"/>
      <c r="AJ300" s="589"/>
      <c r="AK300" s="225"/>
      <c r="AM300" s="192">
        <f>AM298</f>
        <v>0</v>
      </c>
      <c r="AN300" s="192">
        <f>N300</f>
        <v>367000</v>
      </c>
      <c r="AO300" s="490">
        <f>AO298</f>
        <v>-367000</v>
      </c>
      <c r="AP300" s="484"/>
      <c r="AQ300" s="463"/>
      <c r="AR300" s="491"/>
      <c r="AS300" s="491"/>
      <c r="AT300" s="491" t="s">
        <v>298</v>
      </c>
      <c r="AU300" s="225" t="s">
        <v>299</v>
      </c>
      <c r="AV300" s="225"/>
      <c r="AW300" s="491">
        <v>45894</v>
      </c>
      <c r="AX300" s="492"/>
      <c r="AY300" s="192"/>
      <c r="AZ300" s="150"/>
      <c r="BA300" s="150"/>
      <c r="BB300" s="590"/>
      <c r="BC300" s="150"/>
      <c r="BI300" s="494" t="s">
        <v>85</v>
      </c>
      <c r="BJ300" s="91"/>
    </row>
    <row r="301" s="76" customFormat="1" ht="12" customHeight="1" outlineLevel="1" spans="1:69">
      <c r="C301" s="387">
        <v>45645</v>
      </c>
      <c r="D301" s="76" t="s">
        <v>300</v>
      </c>
      <c r="E301" s="591" t="s">
        <v>301</v>
      </c>
      <c r="F301" s="76" t="s">
        <v>300</v>
      </c>
      <c r="G301" s="586">
        <f>7057.44</f>
        <v>7057.44</v>
      </c>
      <c r="I301" s="591" t="s">
        <v>301</v>
      </c>
      <c r="J301" s="264">
        <v>1960400</v>
      </c>
      <c r="K301" s="76">
        <v>0.018</v>
      </c>
      <c r="L301" s="76">
        <f>J301*K301</f>
        <v>35287.2</v>
      </c>
      <c r="M301" s="76">
        <f>L301*0.3</f>
        <v>10586.16</v>
      </c>
      <c r="N301" s="592">
        <v>7057.44</v>
      </c>
      <c r="O301" s="114">
        <f>N301-L301</f>
        <v>-28229.76</v>
      </c>
      <c r="P301" s="91"/>
      <c r="Q301" s="91"/>
      <c r="T301" s="387"/>
      <c r="U301" s="387">
        <v>45691</v>
      </c>
      <c r="V301" s="387"/>
      <c r="X301" s="112"/>
      <c r="Y301" s="593">
        <v>1892800</v>
      </c>
      <c r="Z301" s="140">
        <v>0.137</v>
      </c>
      <c r="AA301" s="114">
        <f>Y301*Z301</f>
        <v>259313.6</v>
      </c>
      <c r="AB301" s="127">
        <v>259313.6</v>
      </c>
      <c r="AC301" s="114"/>
      <c r="AD301" s="140"/>
      <c r="AE301" s="114"/>
      <c r="AF301" s="114"/>
      <c r="AG301" s="114"/>
      <c r="AH301" s="141"/>
      <c r="AI301" s="484"/>
      <c r="AJ301" s="485"/>
      <c r="AK301" s="593">
        <v>1892800</v>
      </c>
      <c r="AL301" s="76">
        <v>0.018</v>
      </c>
      <c r="AM301" s="114">
        <f>AL301*AK301</f>
        <v>34070.4</v>
      </c>
      <c r="AN301" s="253">
        <v>7057.44</v>
      </c>
      <c r="AO301" s="141"/>
      <c r="AP301" s="484"/>
      <c r="AQ301" s="387"/>
      <c r="AR301" s="482"/>
      <c r="AS301" s="482"/>
      <c r="AT301" s="482"/>
      <c r="AU301" s="137"/>
      <c r="AV301" s="137"/>
      <c r="AW301" s="482"/>
      <c r="AX301" s="593">
        <v>1892800</v>
      </c>
      <c r="AY301" s="76">
        <v>0.018</v>
      </c>
      <c r="AZ301" s="127">
        <f>AX301*AY301</f>
        <v>34070.4</v>
      </c>
      <c r="BA301" s="592">
        <v>7057.44</v>
      </c>
      <c r="BB301" s="127">
        <v>27012.96</v>
      </c>
      <c r="BC301" s="127"/>
      <c r="BI301" s="149"/>
      <c r="BJ301" s="91"/>
    </row>
    <row r="302" s="76" customFormat="1" ht="12" customHeight="1" outlineLevel="1" spans="1:69">
      <c r="C302" s="387"/>
      <c r="E302" s="591"/>
      <c r="G302" s="586"/>
      <c r="I302" s="591"/>
      <c r="J302" s="264"/>
      <c r="N302" s="592"/>
      <c r="O302" s="114"/>
      <c r="P302" s="91"/>
      <c r="Q302" s="91"/>
      <c r="R302" s="578" t="s">
        <v>95</v>
      </c>
      <c r="T302" s="387"/>
      <c r="U302" s="387"/>
      <c r="V302" s="387"/>
      <c r="X302" s="133"/>
      <c r="Z302" s="114"/>
      <c r="AA302" s="114">
        <f>-(AZ301*0.13/1.13)*7.18</f>
        <v>-28142.7534159292</v>
      </c>
      <c r="AB302" s="127"/>
      <c r="AC302" s="114"/>
      <c r="AD302" s="140"/>
      <c r="AE302" s="114"/>
      <c r="AF302" s="114"/>
      <c r="AG302" s="114"/>
      <c r="AH302" s="141"/>
      <c r="AI302" s="484"/>
      <c r="AJ302" s="485"/>
      <c r="AK302" s="593"/>
      <c r="AM302" s="114"/>
      <c r="AN302" s="127">
        <v>27012.96</v>
      </c>
      <c r="AO302" s="141"/>
      <c r="AP302" s="484"/>
      <c r="AQ302" s="387"/>
      <c r="AR302" s="482"/>
      <c r="AS302" s="482"/>
      <c r="AT302" s="482"/>
      <c r="AU302" s="137"/>
      <c r="AV302" s="137"/>
      <c r="AW302" s="482"/>
      <c r="AX302" s="593"/>
      <c r="AZ302" s="127"/>
      <c r="BA302" s="592"/>
      <c r="BB302" s="127"/>
      <c r="BC302" s="127"/>
      <c r="BI302" s="149"/>
      <c r="BJ302" s="91"/>
    </row>
    <row r="303" s="76" customFormat="1" ht="12" customHeight="1" outlineLevel="1" spans="1:69">
      <c r="C303" s="387"/>
      <c r="E303" s="591"/>
      <c r="G303" s="586"/>
      <c r="I303" s="591"/>
      <c r="J303" s="264"/>
      <c r="N303" s="592"/>
      <c r="O303" s="114"/>
      <c r="P303" s="91"/>
      <c r="Q303" s="91"/>
      <c r="R303" s="578" t="s">
        <v>233</v>
      </c>
      <c r="S303" s="76" t="s">
        <v>288</v>
      </c>
      <c r="T303" s="387"/>
      <c r="U303" s="387"/>
      <c r="V303" s="387"/>
      <c r="X303" s="133"/>
      <c r="Z303" s="114"/>
      <c r="AA303" s="114">
        <v>4341</v>
      </c>
      <c r="AB303" s="127"/>
      <c r="AC303" s="114"/>
      <c r="AD303" s="140"/>
      <c r="AE303" s="114"/>
      <c r="AF303" s="114"/>
      <c r="AG303" s="114"/>
      <c r="AH303" s="141"/>
      <c r="AI303" s="484"/>
      <c r="AJ303" s="485"/>
      <c r="AK303" s="593"/>
      <c r="AM303" s="114"/>
      <c r="AN303" s="127"/>
      <c r="AO303" s="141"/>
      <c r="AP303" s="484"/>
      <c r="AQ303" s="387"/>
      <c r="AR303" s="482"/>
      <c r="AS303" s="482"/>
      <c r="AT303" s="482"/>
      <c r="AU303" s="137"/>
      <c r="AV303" s="137"/>
      <c r="AW303" s="482"/>
      <c r="AX303" s="593"/>
      <c r="AZ303" s="127"/>
      <c r="BA303" s="592"/>
      <c r="BB303" s="127"/>
      <c r="BC303" s="127"/>
      <c r="BI303" s="149"/>
      <c r="BJ303" s="91"/>
    </row>
    <row r="304" s="79" customFormat="1" ht="14.45" customHeight="1" spans="1:69">
      <c r="A304" s="79">
        <v>48</v>
      </c>
      <c r="C304" s="463" t="s">
        <v>69</v>
      </c>
      <c r="D304" s="79" t="s">
        <v>300</v>
      </c>
      <c r="E304" s="79" t="str">
        <f>E301</f>
        <v>TFS BPA FREE EOE 72,9 0,19</v>
      </c>
      <c r="F304" s="79" t="s">
        <v>300</v>
      </c>
      <c r="G304" s="486"/>
      <c r="H304" s="79" t="s">
        <v>142</v>
      </c>
      <c r="I304" s="79" t="str">
        <f>I301</f>
        <v>TFS BPA FREE EOE 72,9 0,19</v>
      </c>
      <c r="J304" s="579">
        <v>1960400</v>
      </c>
      <c r="L304" s="79">
        <f>L301</f>
        <v>35287.2</v>
      </c>
      <c r="N304" s="79">
        <f>SUM(N301)</f>
        <v>7057.44</v>
      </c>
      <c r="O304" s="79">
        <f>SUM(O301)</f>
        <v>-28229.76</v>
      </c>
      <c r="P304" s="91"/>
      <c r="Q304" s="91"/>
      <c r="T304" s="463"/>
      <c r="U304" s="463">
        <f>U301</f>
        <v>45691</v>
      </c>
      <c r="V304" s="463"/>
      <c r="X304" s="193"/>
      <c r="Z304" s="192"/>
      <c r="AA304" s="192">
        <f>SUM(AA301:AA303)</f>
        <v>235511.846584071</v>
      </c>
      <c r="AB304" s="192">
        <f>SUM(AB301:AB302)</f>
        <v>259313.6</v>
      </c>
      <c r="AC304" s="192"/>
      <c r="AD304" s="196"/>
      <c r="AE304" s="192"/>
      <c r="AF304" s="192"/>
      <c r="AG304" s="192"/>
      <c r="AH304" s="227"/>
      <c r="AI304" s="484"/>
      <c r="AJ304" s="589"/>
      <c r="AK304" s="225"/>
      <c r="AM304" s="192">
        <f>SUM(AM301:AM302)</f>
        <v>34070.4</v>
      </c>
      <c r="AN304" s="192">
        <f>SUM(AN301:AN302)</f>
        <v>34070.4</v>
      </c>
      <c r="AO304" s="490">
        <f>AO301</f>
        <v>0</v>
      </c>
      <c r="AP304" s="484"/>
      <c r="AQ304" s="463"/>
      <c r="AR304" s="491"/>
      <c r="AS304" s="491"/>
      <c r="AT304" s="491"/>
      <c r="AU304" s="225"/>
      <c r="AV304" s="225"/>
      <c r="AW304" s="491"/>
      <c r="AX304" s="492"/>
      <c r="AY304" s="192"/>
      <c r="AZ304" s="150">
        <f>AZ301</f>
        <v>34070.4</v>
      </c>
      <c r="BA304" s="150">
        <f>BA301</f>
        <v>7057.44</v>
      </c>
      <c r="BB304" s="150">
        <f>BB301</f>
        <v>27012.96</v>
      </c>
      <c r="BC304" s="391">
        <f>BB304+BA304-AZ304</f>
        <v>0</v>
      </c>
      <c r="BI304" s="478" t="s">
        <v>60</v>
      </c>
      <c r="BJ304" s="91"/>
    </row>
    <row r="305" s="76" customFormat="1" ht="14.45" customHeight="1" outlineLevel="1" spans="1:62">
      <c r="C305" s="387">
        <v>45671</v>
      </c>
      <c r="D305" s="76" t="s">
        <v>302</v>
      </c>
      <c r="E305" s="76" t="s">
        <v>303</v>
      </c>
      <c r="F305" s="76" t="s">
        <v>302</v>
      </c>
      <c r="G305" s="586">
        <f>661150</f>
        <v>661150</v>
      </c>
      <c r="H305" s="76" t="s">
        <v>93</v>
      </c>
      <c r="I305" s="76" t="s">
        <v>303</v>
      </c>
      <c r="J305" s="129">
        <v>81</v>
      </c>
      <c r="K305" s="129">
        <v>6650</v>
      </c>
      <c r="L305" s="76">
        <f>J305*K305</f>
        <v>538650</v>
      </c>
      <c r="M305" s="76">
        <f>L305*0.3</f>
        <v>161595</v>
      </c>
      <c r="N305" s="76">
        <v>661150</v>
      </c>
      <c r="O305" s="114">
        <f>N305-L305</f>
        <v>122500</v>
      </c>
      <c r="P305" s="91"/>
      <c r="Q305" s="91"/>
      <c r="R305" s="76" t="s">
        <v>88</v>
      </c>
      <c r="S305" s="76" t="s">
        <v>304</v>
      </c>
      <c r="T305" s="387">
        <v>45642</v>
      </c>
      <c r="U305" s="387">
        <v>45754</v>
      </c>
      <c r="V305" s="387"/>
      <c r="X305" s="133"/>
      <c r="Y305" s="76">
        <v>83.654</v>
      </c>
      <c r="Z305" s="114">
        <v>6400</v>
      </c>
      <c r="AA305" s="114">
        <f>Y305*Z305</f>
        <v>535385.6</v>
      </c>
      <c r="AB305" s="114">
        <f>AA305</f>
        <v>535385.6</v>
      </c>
      <c r="AC305" s="114"/>
      <c r="AD305" s="140"/>
      <c r="AE305" s="114"/>
      <c r="AF305" s="114"/>
      <c r="AG305" s="114"/>
      <c r="AH305" s="141"/>
      <c r="AI305" s="91"/>
      <c r="AJ305" s="137"/>
      <c r="AK305" s="137">
        <v>83.654</v>
      </c>
      <c r="AL305" s="114">
        <v>6650</v>
      </c>
      <c r="AM305" s="114">
        <f>AL305*AK305</f>
        <v>556299.1</v>
      </c>
      <c r="AN305" s="114">
        <f>N305</f>
        <v>661150</v>
      </c>
      <c r="AO305" s="141">
        <f>AM305-AN305</f>
        <v>-104850.9</v>
      </c>
      <c r="AP305" s="91"/>
      <c r="AQ305" s="387"/>
      <c r="AR305" s="482"/>
      <c r="AS305" s="482"/>
      <c r="AT305" s="482"/>
      <c r="AU305" s="137"/>
      <c r="AV305" s="137"/>
      <c r="AW305" s="482"/>
      <c r="AX305" s="137">
        <v>83.654</v>
      </c>
      <c r="AY305" s="114">
        <v>6650</v>
      </c>
      <c r="AZ305" s="127">
        <f>AX305*AY305</f>
        <v>556299.1</v>
      </c>
      <c r="BA305" s="127"/>
      <c r="BB305" s="127">
        <f>661150/(83.654+13.59)*83.654</f>
        <v>568753.260869565</v>
      </c>
      <c r="BC305" s="127">
        <f>BB305+BA305-AZ305</f>
        <v>12454.1608695652</v>
      </c>
      <c r="BI305" s="75"/>
      <c r="BJ305" s="91"/>
    </row>
    <row r="306" s="76" customFormat="1" ht="14.45" customHeight="1" outlineLevel="1" spans="1:62">
      <c r="C306" s="387"/>
      <c r="G306" s="586"/>
      <c r="J306" s="129"/>
      <c r="K306" s="129"/>
      <c r="O306" s="114"/>
      <c r="P306" s="91"/>
      <c r="Q306" s="91"/>
      <c r="R306" s="76" t="s">
        <v>233</v>
      </c>
      <c r="S306" s="76" t="s">
        <v>288</v>
      </c>
      <c r="T306" s="387"/>
      <c r="U306" s="387"/>
      <c r="V306" s="387"/>
      <c r="X306" s="133"/>
      <c r="Z306" s="114"/>
      <c r="AA306" s="114">
        <v>12707.2265304261</v>
      </c>
      <c r="AB306" s="114"/>
      <c r="AC306" s="114"/>
      <c r="AD306" s="140"/>
      <c r="AE306" s="114"/>
      <c r="AF306" s="114"/>
      <c r="AG306" s="114"/>
      <c r="AH306" s="141"/>
      <c r="AI306" s="91"/>
      <c r="AJ306" s="137"/>
      <c r="AK306" s="137"/>
      <c r="AL306" s="114"/>
      <c r="AM306" s="114"/>
      <c r="AN306" s="114"/>
      <c r="AO306" s="141">
        <f>AM306-AN306</f>
        <v>0</v>
      </c>
      <c r="AP306" s="91"/>
      <c r="AQ306" s="387"/>
      <c r="AR306" s="482"/>
      <c r="AS306" s="482"/>
      <c r="AT306" s="482"/>
      <c r="AU306" s="137"/>
      <c r="AV306" s="137"/>
      <c r="AW306" s="482"/>
      <c r="AX306" s="137"/>
      <c r="AY306" s="114"/>
      <c r="AZ306" s="127"/>
      <c r="BA306" s="127"/>
      <c r="BB306" s="127"/>
      <c r="BC306" s="127"/>
      <c r="BI306" s="75"/>
      <c r="BJ306" s="91"/>
    </row>
    <row r="307" s="76" customFormat="1" ht="14.45" customHeight="1" outlineLevel="1" spans="1:62">
      <c r="C307" s="387"/>
      <c r="D307" s="76" t="s">
        <v>302</v>
      </c>
      <c r="E307" s="76" t="s">
        <v>305</v>
      </c>
      <c r="F307" s="76" t="s">
        <v>302</v>
      </c>
      <c r="G307" s="586"/>
      <c r="H307" s="76" t="s">
        <v>93</v>
      </c>
      <c r="I307" s="76" t="s">
        <v>305</v>
      </c>
      <c r="J307" s="129">
        <v>14</v>
      </c>
      <c r="K307" s="129">
        <v>6850</v>
      </c>
      <c r="L307" s="76">
        <f>J307*K307</f>
        <v>95900</v>
      </c>
      <c r="M307" s="76">
        <f>L307*0.3</f>
        <v>28770</v>
      </c>
      <c r="O307" s="114">
        <f>N307-L307</f>
        <v>-95900</v>
      </c>
      <c r="P307" s="91"/>
      <c r="Q307" s="91"/>
      <c r="R307" s="76" t="s">
        <v>88</v>
      </c>
      <c r="S307" s="76" t="s">
        <v>304</v>
      </c>
      <c r="T307" s="387">
        <v>45642</v>
      </c>
      <c r="U307" s="387">
        <v>45757</v>
      </c>
      <c r="V307" s="387"/>
      <c r="X307" s="133"/>
      <c r="Y307" s="76">
        <v>13.59</v>
      </c>
      <c r="Z307" s="114">
        <v>6600</v>
      </c>
      <c r="AA307" s="114">
        <f>Y307*Z307</f>
        <v>89694</v>
      </c>
      <c r="AB307" s="114">
        <f>AA307</f>
        <v>89694</v>
      </c>
      <c r="AC307" s="114"/>
      <c r="AD307" s="140"/>
      <c r="AE307" s="114"/>
      <c r="AF307" s="114"/>
      <c r="AG307" s="114"/>
      <c r="AH307" s="141"/>
      <c r="AI307" s="91"/>
      <c r="AJ307" s="137"/>
      <c r="AK307" s="137">
        <v>13.59</v>
      </c>
      <c r="AL307" s="114">
        <v>6850</v>
      </c>
      <c r="AM307" s="114">
        <f>AL307*AK307</f>
        <v>93091.5</v>
      </c>
      <c r="AN307" s="114">
        <f>N307</f>
        <v>0</v>
      </c>
      <c r="AO307" s="141">
        <f>AM307-AN307</f>
        <v>93091.5</v>
      </c>
      <c r="AP307" s="91"/>
      <c r="AQ307" s="387"/>
      <c r="AR307" s="482"/>
      <c r="AS307" s="482"/>
      <c r="AT307" s="482"/>
      <c r="AU307" s="137"/>
      <c r="AV307" s="137"/>
      <c r="AW307" s="482"/>
      <c r="AX307" s="137">
        <v>13.59</v>
      </c>
      <c r="AY307" s="114">
        <v>6850</v>
      </c>
      <c r="AZ307" s="127">
        <f>AX307*AY307</f>
        <v>93091.5</v>
      </c>
      <c r="BA307" s="127"/>
      <c r="BB307" s="127">
        <f>661150/(83.654+13.59)*13.59</f>
        <v>92396.7391304348</v>
      </c>
      <c r="BC307" s="127">
        <f>BB307+BA307-AZ307</f>
        <v>-694.760869565216</v>
      </c>
      <c r="BI307" s="75"/>
      <c r="BJ307" s="91"/>
    </row>
    <row r="308" s="76" customFormat="1" ht="14.45" customHeight="1" outlineLevel="1" spans="1:62">
      <c r="C308" s="387"/>
      <c r="G308" s="586"/>
      <c r="J308" s="129"/>
      <c r="K308" s="129"/>
      <c r="O308" s="114"/>
      <c r="P308" s="91"/>
      <c r="Q308" s="91"/>
      <c r="R308" s="76" t="s">
        <v>233</v>
      </c>
      <c r="S308" s="76" t="s">
        <v>288</v>
      </c>
      <c r="T308" s="387"/>
      <c r="U308" s="387"/>
      <c r="V308" s="387"/>
      <c r="X308" s="133"/>
      <c r="Z308" s="114"/>
      <c r="AA308" s="114">
        <v>2064.35088039412</v>
      </c>
      <c r="AB308" s="114"/>
      <c r="AC308" s="114"/>
      <c r="AD308" s="140"/>
      <c r="AE308" s="114"/>
      <c r="AF308" s="114"/>
      <c r="AG308" s="114"/>
      <c r="AH308" s="141"/>
      <c r="AI308" s="91"/>
      <c r="AJ308" s="137"/>
      <c r="AK308" s="137"/>
      <c r="AL308" s="114"/>
      <c r="AM308" s="114"/>
      <c r="AN308" s="114"/>
      <c r="AO308" s="141">
        <f>AM308-AN308</f>
        <v>0</v>
      </c>
      <c r="AP308" s="91"/>
      <c r="AQ308" s="387"/>
      <c r="AR308" s="482"/>
      <c r="AS308" s="482"/>
      <c r="AT308" s="482"/>
      <c r="AU308" s="137"/>
      <c r="AV308" s="137"/>
      <c r="AW308" s="482"/>
      <c r="AX308" s="137"/>
      <c r="AY308" s="114"/>
      <c r="AZ308" s="127"/>
      <c r="BA308" s="127"/>
      <c r="BB308" s="127"/>
      <c r="BC308" s="127"/>
      <c r="BI308" s="75"/>
      <c r="BJ308" s="91"/>
    </row>
    <row r="309" s="79" customFormat="1" ht="28.9" customHeight="1" spans="1:62">
      <c r="A309" s="79">
        <v>49</v>
      </c>
      <c r="C309" s="463" t="s">
        <v>69</v>
      </c>
      <c r="D309" s="79" t="s">
        <v>302</v>
      </c>
      <c r="E309" s="116" t="s">
        <v>306</v>
      </c>
      <c r="F309" s="79" t="s">
        <v>302</v>
      </c>
      <c r="G309" s="486"/>
      <c r="H309" s="79" t="s">
        <v>93</v>
      </c>
      <c r="I309" s="116" t="s">
        <v>306</v>
      </c>
      <c r="J309" s="194"/>
      <c r="K309" s="194"/>
      <c r="L309" s="194">
        <f>SUM(L305:L307)</f>
        <v>634550</v>
      </c>
      <c r="M309" s="194"/>
      <c r="N309" s="79">
        <f>SUM(N305:N307)</f>
        <v>661150</v>
      </c>
      <c r="O309" s="79">
        <f>SUM(O305:O307)</f>
        <v>26600</v>
      </c>
      <c r="P309" s="91"/>
      <c r="Q309" s="91"/>
      <c r="T309" s="463">
        <f>T307</f>
        <v>45642</v>
      </c>
      <c r="U309" s="463">
        <f>U307</f>
        <v>45757</v>
      </c>
      <c r="V309" s="463"/>
      <c r="X309" s="193"/>
      <c r="Y309" s="79">
        <f>Y305+Y307</f>
        <v>97.244</v>
      </c>
      <c r="Z309" s="192"/>
      <c r="AA309" s="192">
        <f>SUM(AA305:AA308)</f>
        <v>639851.17741082</v>
      </c>
      <c r="AB309" s="192">
        <f>SUM(AB305:AB308)</f>
        <v>625079.6</v>
      </c>
      <c r="AC309" s="192"/>
      <c r="AD309" s="196"/>
      <c r="AE309" s="192"/>
      <c r="AF309" s="192"/>
      <c r="AG309" s="192"/>
      <c r="AH309" s="227"/>
      <c r="AI309" s="91"/>
      <c r="AK309" s="192">
        <f>SUM(AK305:AK307)</f>
        <v>97.244</v>
      </c>
      <c r="AM309" s="192">
        <f>SUM(AM305:AM307)</f>
        <v>649390.6</v>
      </c>
      <c r="AN309" s="192">
        <f>SUM(AN305:AN307)</f>
        <v>661150</v>
      </c>
      <c r="AO309" s="192">
        <f>SUM(AO305:AO307)</f>
        <v>-11759.4</v>
      </c>
      <c r="AP309" s="91"/>
      <c r="AQ309" s="463"/>
      <c r="AR309" s="491"/>
      <c r="AS309" s="491"/>
      <c r="AT309" s="491"/>
      <c r="AU309" s="225"/>
      <c r="AV309" s="225"/>
      <c r="AW309" s="491"/>
      <c r="AX309" s="492"/>
      <c r="AY309" s="192"/>
      <c r="AZ309" s="150">
        <f>SUM(AZ305:AZ308)</f>
        <v>649390.6</v>
      </c>
      <c r="BA309" s="150"/>
      <c r="BB309" s="150">
        <f>SUM(BB305:BB308)</f>
        <v>661150</v>
      </c>
      <c r="BC309" s="391">
        <f>BB309+BA309-AZ309</f>
        <v>11759.4</v>
      </c>
      <c r="BI309" s="478" t="s">
        <v>60</v>
      </c>
      <c r="BJ309" s="91"/>
    </row>
    <row r="310" s="76" customFormat="1" ht="14.45" customHeight="1" outlineLevel="1" spans="1:62">
      <c r="C310" s="387">
        <v>45671</v>
      </c>
      <c r="D310" s="76" t="s">
        <v>307</v>
      </c>
      <c r="E310" s="76" t="s">
        <v>308</v>
      </c>
      <c r="F310" s="76" t="s">
        <v>307</v>
      </c>
      <c r="G310" s="594">
        <f>682650+462698.2+462000+727206.05+134259.95</f>
        <v>2468814.2</v>
      </c>
      <c r="H310" s="76" t="s">
        <v>93</v>
      </c>
      <c r="I310" s="76" t="s">
        <v>308</v>
      </c>
      <c r="J310" s="129">
        <v>275</v>
      </c>
      <c r="K310" s="129">
        <v>6500</v>
      </c>
      <c r="L310" s="114">
        <f>J310*K310</f>
        <v>1787500</v>
      </c>
      <c r="M310" s="114">
        <f>L310*0.3</f>
        <v>536250</v>
      </c>
      <c r="N310" s="253">
        <f>682650/375*J310+462698.2/375*J310+462000/375*J310+727206.05/375*J310</f>
        <v>1712006.45</v>
      </c>
      <c r="O310" s="114">
        <f>N310-L310</f>
        <v>-75493.5500000003</v>
      </c>
      <c r="P310" s="91"/>
      <c r="Q310" s="91"/>
      <c r="R310" s="76" t="s">
        <v>309</v>
      </c>
      <c r="S310" s="76" t="s">
        <v>310</v>
      </c>
      <c r="T310" s="387">
        <v>45667</v>
      </c>
      <c r="U310" s="387">
        <v>45767</v>
      </c>
      <c r="V310" s="387"/>
      <c r="X310" s="133"/>
      <c r="Y310" s="76">
        <v>252.33</v>
      </c>
      <c r="Z310" s="114">
        <v>6085</v>
      </c>
      <c r="AA310" s="114">
        <f>Y310*Z310</f>
        <v>1535428.05</v>
      </c>
      <c r="AB310" s="114">
        <f>500000+1500000/352.5*Y310</f>
        <v>1573744.68085106</v>
      </c>
      <c r="AC310" s="114">
        <f>AA310-AB310</f>
        <v>-38316.6308510636</v>
      </c>
      <c r="AD310" s="140"/>
      <c r="AE310" s="114"/>
      <c r="AF310" s="114"/>
      <c r="AG310" s="114"/>
      <c r="AH310" s="141"/>
      <c r="AI310" s="91"/>
      <c r="AJ310" s="137"/>
      <c r="AK310" s="137">
        <v>274.32</v>
      </c>
      <c r="AL310" s="114">
        <v>6085</v>
      </c>
      <c r="AM310" s="114">
        <f>AL310*AK310</f>
        <v>1669237.2</v>
      </c>
      <c r="AN310" s="114">
        <f>N310</f>
        <v>1712006.45</v>
      </c>
      <c r="AO310" s="141">
        <f>AM310-AN310</f>
        <v>-42769.2499999998</v>
      </c>
      <c r="AP310" s="91"/>
      <c r="AQ310" s="387"/>
      <c r="AR310" s="482"/>
      <c r="AS310" s="482"/>
      <c r="AT310" s="482"/>
      <c r="AU310" s="137"/>
      <c r="AV310" s="137"/>
      <c r="AW310" s="482"/>
      <c r="AX310" s="142"/>
      <c r="AY310" s="114"/>
      <c r="AZ310" s="127"/>
      <c r="BA310" s="127"/>
      <c r="BB310" s="127"/>
      <c r="BC310" s="127"/>
      <c r="BI310" s="75"/>
      <c r="BJ310" s="91"/>
    </row>
    <row r="311" s="76" customFormat="1" ht="14.45" customHeight="1" outlineLevel="1" spans="1:62">
      <c r="C311" s="387"/>
      <c r="D311" s="76" t="s">
        <v>311</v>
      </c>
      <c r="E311" s="76" t="s">
        <v>312</v>
      </c>
      <c r="G311" s="594"/>
      <c r="J311" s="129"/>
      <c r="K311" s="129"/>
      <c r="L311" s="114"/>
      <c r="M311" s="114"/>
      <c r="N311" s="253"/>
      <c r="O311" s="114"/>
      <c r="P311" s="91"/>
      <c r="Q311" s="91"/>
      <c r="T311" s="387"/>
      <c r="U311" s="387"/>
      <c r="V311" s="387"/>
      <c r="X311" s="133"/>
      <c r="Y311" s="76">
        <v>136.35</v>
      </c>
      <c r="Z311" s="114">
        <v>235</v>
      </c>
      <c r="AA311" s="114">
        <f>Y311*Z311</f>
        <v>32042.25</v>
      </c>
      <c r="AB311" s="114"/>
      <c r="AC311" s="114"/>
      <c r="AD311" s="140"/>
      <c r="AE311" s="114"/>
      <c r="AF311" s="114"/>
      <c r="AG311" s="114"/>
      <c r="AH311" s="141"/>
      <c r="AI311" s="91"/>
      <c r="AK311" s="142">
        <v>136.35</v>
      </c>
      <c r="AL311" s="114"/>
      <c r="AM311" s="114"/>
      <c r="AN311" s="114"/>
      <c r="AO311" s="141">
        <f>AM311-AN311</f>
        <v>0</v>
      </c>
      <c r="AP311" s="91"/>
      <c r="AQ311" s="387"/>
      <c r="AR311" s="482"/>
      <c r="AS311" s="482"/>
      <c r="AT311" s="482"/>
      <c r="AU311" s="137"/>
      <c r="AV311" s="137"/>
      <c r="AW311" s="482"/>
      <c r="AX311" s="142">
        <v>136.35</v>
      </c>
      <c r="AY311" s="114">
        <v>6570</v>
      </c>
      <c r="AZ311" s="127">
        <f>AX311*AY311</f>
        <v>895819.5</v>
      </c>
      <c r="BA311" s="127"/>
      <c r="BB311" s="127"/>
      <c r="BC311" s="127"/>
      <c r="BI311" s="75"/>
      <c r="BJ311" s="91"/>
    </row>
    <row r="312" s="76" customFormat="1" ht="14.45" customHeight="1" outlineLevel="1" spans="1:62">
      <c r="C312" s="387"/>
      <c r="D312" s="76" t="s">
        <v>311</v>
      </c>
      <c r="G312" s="594"/>
      <c r="J312" s="129"/>
      <c r="K312" s="129"/>
      <c r="L312" s="114"/>
      <c r="M312" s="114"/>
      <c r="N312" s="253"/>
      <c r="O312" s="114"/>
      <c r="P312" s="91"/>
      <c r="Q312" s="91"/>
      <c r="R312" s="76" t="s">
        <v>233</v>
      </c>
      <c r="S312" s="76" t="s">
        <v>288</v>
      </c>
      <c r="T312" s="387"/>
      <c r="U312" s="387"/>
      <c r="V312" s="482"/>
      <c r="W312" s="137"/>
      <c r="X312" s="595"/>
      <c r="Y312" s="137"/>
      <c r="Z312" s="114"/>
      <c r="AA312" s="114">
        <v>19950</v>
      </c>
      <c r="AB312" s="114"/>
      <c r="AC312" s="114"/>
      <c r="AD312" s="140"/>
      <c r="AE312" s="114"/>
      <c r="AF312" s="114"/>
      <c r="AG312" s="114"/>
      <c r="AH312" s="141"/>
      <c r="AI312" s="91"/>
      <c r="AK312" s="142"/>
      <c r="AL312" s="114"/>
      <c r="AM312" s="114"/>
      <c r="AN312" s="114"/>
      <c r="AO312" s="141"/>
      <c r="AP312" s="91"/>
      <c r="AQ312" s="482"/>
      <c r="AR312" s="482"/>
      <c r="AS312" s="482"/>
      <c r="AT312" s="482"/>
      <c r="AU312" s="137"/>
      <c r="AV312" s="137"/>
      <c r="AW312" s="482"/>
      <c r="AX312" s="142"/>
      <c r="AY312" s="114"/>
      <c r="AZ312" s="127"/>
      <c r="BA312" s="127"/>
      <c r="BB312" s="127"/>
      <c r="BC312" s="127"/>
      <c r="BI312" s="75"/>
      <c r="BJ312" s="91"/>
    </row>
    <row r="313" s="76" customFormat="1" ht="14.45" customHeight="1" outlineLevel="1" spans="1:62">
      <c r="C313" s="387"/>
      <c r="D313" s="76" t="s">
        <v>313</v>
      </c>
      <c r="E313" s="76" t="s">
        <v>312</v>
      </c>
      <c r="G313" s="594"/>
      <c r="J313" s="129"/>
      <c r="K313" s="129"/>
      <c r="L313" s="114"/>
      <c r="M313" s="114"/>
      <c r="N313" s="253"/>
      <c r="O313" s="114"/>
      <c r="P313" s="91"/>
      <c r="Q313" s="91"/>
      <c r="T313" s="387"/>
      <c r="U313" s="387"/>
      <c r="V313" s="482"/>
      <c r="W313" s="137"/>
      <c r="X313" s="595"/>
      <c r="Y313" s="596">
        <v>10.605</v>
      </c>
      <c r="Z313" s="76">
        <v>235</v>
      </c>
      <c r="AA313" s="114">
        <f>Y313*Z313</f>
        <v>2492.175</v>
      </c>
      <c r="AB313" s="114"/>
      <c r="AC313" s="114"/>
      <c r="AD313" s="140"/>
      <c r="AE313" s="114"/>
      <c r="AF313" s="114"/>
      <c r="AG313" s="114"/>
      <c r="AH313" s="141"/>
      <c r="AI313" s="91"/>
      <c r="AK313" s="596">
        <v>10.605</v>
      </c>
      <c r="AL313" s="114"/>
      <c r="AM313" s="114"/>
      <c r="AN313" s="114"/>
      <c r="AO313" s="141">
        <f>AM313-AN313</f>
        <v>0</v>
      </c>
      <c r="AP313" s="91"/>
      <c r="AQ313" s="482"/>
      <c r="AR313" s="482"/>
      <c r="AS313" s="482"/>
      <c r="AT313" s="482"/>
      <c r="AU313" s="137"/>
      <c r="AV313" s="137"/>
      <c r="AW313" s="482"/>
      <c r="AX313" s="142">
        <v>7.575</v>
      </c>
      <c r="AY313" s="114">
        <v>6640</v>
      </c>
      <c r="AZ313" s="127">
        <f>AX313*AY313</f>
        <v>50298</v>
      </c>
      <c r="BA313" s="127"/>
      <c r="BB313" s="127"/>
      <c r="BC313" s="127"/>
      <c r="BI313" s="75"/>
      <c r="BJ313" s="91"/>
    </row>
    <row r="314" s="76" customFormat="1" ht="14.45" customHeight="1" outlineLevel="1" spans="1:62">
      <c r="C314" s="387"/>
      <c r="D314" s="76" t="s">
        <v>313</v>
      </c>
      <c r="G314" s="594"/>
      <c r="J314" s="129"/>
      <c r="K314" s="129"/>
      <c r="L314" s="114"/>
      <c r="M314" s="114"/>
      <c r="N314" s="253"/>
      <c r="O314" s="114"/>
      <c r="P314" s="91"/>
      <c r="Q314" s="91"/>
      <c r="R314" s="76" t="s">
        <v>233</v>
      </c>
      <c r="S314" s="76" t="s">
        <v>288</v>
      </c>
      <c r="T314" s="387"/>
      <c r="U314" s="387"/>
      <c r="V314" s="482"/>
      <c r="W314" s="137"/>
      <c r="X314" s="595"/>
      <c r="Y314" s="596"/>
      <c r="Z314" s="137"/>
      <c r="AA314" s="114">
        <v>1191.16924752226</v>
      </c>
      <c r="AB314" s="114"/>
      <c r="AC314" s="114"/>
      <c r="AD314" s="140"/>
      <c r="AE314" s="114"/>
      <c r="AF314" s="114"/>
      <c r="AG314" s="114"/>
      <c r="AH314" s="141"/>
      <c r="AI314" s="91"/>
      <c r="AK314" s="596"/>
      <c r="AL314" s="114"/>
      <c r="AM314" s="114"/>
      <c r="AN314" s="114"/>
      <c r="AO314" s="141"/>
      <c r="AP314" s="91"/>
      <c r="AQ314" s="482"/>
      <c r="AR314" s="482"/>
      <c r="AS314" s="482"/>
      <c r="AT314" s="482"/>
      <c r="AU314" s="137"/>
      <c r="AV314" s="137"/>
      <c r="AW314" s="482"/>
      <c r="AX314" s="142"/>
      <c r="AY314" s="114"/>
      <c r="AZ314" s="127"/>
      <c r="BA314" s="127"/>
      <c r="BB314" s="127"/>
      <c r="BC314" s="127"/>
      <c r="BI314" s="75"/>
      <c r="BJ314" s="91"/>
    </row>
    <row r="315" s="76" customFormat="1" ht="14.45" customHeight="1" outlineLevel="1" spans="1:62">
      <c r="C315" s="387"/>
      <c r="E315" s="76" t="s">
        <v>314</v>
      </c>
      <c r="G315" s="594"/>
      <c r="J315" s="129"/>
      <c r="K315" s="129"/>
      <c r="L315" s="114"/>
      <c r="M315" s="114"/>
      <c r="N315" s="253"/>
      <c r="O315" s="114"/>
      <c r="P315" s="91"/>
      <c r="Q315" s="91"/>
      <c r="S315" s="76" t="s">
        <v>183</v>
      </c>
      <c r="T315" s="387"/>
      <c r="U315" s="387"/>
      <c r="V315" s="482"/>
      <c r="W315" s="137"/>
      <c r="X315" s="595"/>
      <c r="Y315" s="137">
        <v>12.806</v>
      </c>
      <c r="Z315" s="137">
        <v>1615</v>
      </c>
      <c r="AA315" s="114">
        <f>Y315*Z315</f>
        <v>20681.69</v>
      </c>
      <c r="AB315" s="114"/>
      <c r="AC315" s="114"/>
      <c r="AD315" s="140"/>
      <c r="AE315" s="114"/>
      <c r="AF315" s="114"/>
      <c r="AG315" s="114"/>
      <c r="AH315" s="141"/>
      <c r="AI315" s="91"/>
      <c r="AK315" s="137">
        <v>12.806</v>
      </c>
      <c r="AL315" s="114"/>
      <c r="AM315" s="114"/>
      <c r="AN315" s="114"/>
      <c r="AO315" s="141">
        <f>AM315-AN315</f>
        <v>0</v>
      </c>
      <c r="AP315" s="91"/>
      <c r="AQ315" s="482"/>
      <c r="AR315" s="482"/>
      <c r="AS315" s="482"/>
      <c r="AT315" s="482"/>
      <c r="AU315" s="137"/>
      <c r="AV315" s="137"/>
      <c r="AW315" s="482"/>
      <c r="AX315" s="142"/>
      <c r="AY315" s="114"/>
      <c r="AZ315" s="127"/>
      <c r="BA315" s="127"/>
      <c r="BB315" s="127"/>
      <c r="BC315" s="127"/>
      <c r="BI315" s="75"/>
      <c r="BJ315" s="91"/>
    </row>
    <row r="316" s="76" customFormat="1" ht="14.45" customHeight="1" outlineLevel="1" spans="1:62">
      <c r="C316" s="387"/>
      <c r="E316" s="76" t="s">
        <v>315</v>
      </c>
      <c r="G316" s="594"/>
      <c r="J316" s="129"/>
      <c r="K316" s="129"/>
      <c r="L316" s="114"/>
      <c r="M316" s="114"/>
      <c r="N316" s="253"/>
      <c r="O316" s="114"/>
      <c r="P316" s="91"/>
      <c r="Q316" s="91"/>
      <c r="S316" s="76" t="s">
        <v>183</v>
      </c>
      <c r="T316" s="387"/>
      <c r="U316" s="387"/>
      <c r="V316" s="482"/>
      <c r="W316" s="137"/>
      <c r="X316" s="595"/>
      <c r="Y316" s="137">
        <v>14.349</v>
      </c>
      <c r="Z316" s="137">
        <v>2185</v>
      </c>
      <c r="AA316" s="114">
        <f>Y316*Z316</f>
        <v>31352.565</v>
      </c>
      <c r="AB316" s="114"/>
      <c r="AC316" s="114"/>
      <c r="AD316" s="140"/>
      <c r="AE316" s="114"/>
      <c r="AF316" s="114"/>
      <c r="AG316" s="114"/>
      <c r="AH316" s="141"/>
      <c r="AI316" s="91"/>
      <c r="AK316" s="137">
        <v>14.349</v>
      </c>
      <c r="AL316" s="114"/>
      <c r="AM316" s="114"/>
      <c r="AN316" s="114"/>
      <c r="AO316" s="141">
        <f>AM316-AN316</f>
        <v>0</v>
      </c>
      <c r="AP316" s="91"/>
      <c r="AQ316" s="482"/>
      <c r="AR316" s="482"/>
      <c r="AS316" s="482"/>
      <c r="AT316" s="482"/>
      <c r="AU316" s="137"/>
      <c r="AV316" s="137"/>
      <c r="AW316" s="482"/>
      <c r="AX316" s="142"/>
      <c r="AY316" s="114"/>
      <c r="AZ316" s="127"/>
      <c r="BA316" s="127"/>
      <c r="BB316" s="127"/>
      <c r="BC316" s="127"/>
      <c r="BI316" s="75"/>
      <c r="BJ316" s="91"/>
    </row>
    <row r="317" s="76" customFormat="1" ht="14.45" customHeight="1" outlineLevel="1" spans="1:62">
      <c r="C317" s="387"/>
      <c r="D317" s="76" t="s">
        <v>313</v>
      </c>
      <c r="E317" s="76" t="s">
        <v>316</v>
      </c>
      <c r="G317" s="594"/>
      <c r="J317" s="129"/>
      <c r="K317" s="129"/>
      <c r="L317" s="114"/>
      <c r="M317" s="114"/>
      <c r="N317" s="253"/>
      <c r="O317" s="114"/>
      <c r="P317" s="91"/>
      <c r="Q317" s="91"/>
      <c r="S317" s="76" t="s">
        <v>183</v>
      </c>
      <c r="T317" s="387"/>
      <c r="U317" s="387"/>
      <c r="V317" s="387"/>
      <c r="X317" s="133"/>
      <c r="Y317" s="76">
        <v>54.339</v>
      </c>
      <c r="Z317" s="114">
        <v>2535</v>
      </c>
      <c r="AA317" s="114">
        <f>Y317*Z317</f>
        <v>137749.365</v>
      </c>
      <c r="AB317" s="114"/>
      <c r="AC317" s="114"/>
      <c r="AD317" s="140"/>
      <c r="AE317" s="114"/>
      <c r="AF317" s="114"/>
      <c r="AG317" s="114"/>
      <c r="AH317" s="141"/>
      <c r="AI317" s="91"/>
      <c r="AK317" s="76">
        <v>54.339</v>
      </c>
      <c r="AL317" s="114"/>
      <c r="AM317" s="114"/>
      <c r="AN317" s="114"/>
      <c r="AO317" s="141">
        <f>AM317-AN317</f>
        <v>0</v>
      </c>
      <c r="AP317" s="91"/>
      <c r="AQ317" s="387"/>
      <c r="AR317" s="482"/>
      <c r="AS317" s="482"/>
      <c r="AT317" s="482"/>
      <c r="AU317" s="137"/>
      <c r="AV317" s="137"/>
      <c r="AW317" s="482"/>
      <c r="AX317" s="142">
        <v>54.339</v>
      </c>
      <c r="AY317" s="114">
        <v>6640</v>
      </c>
      <c r="AZ317" s="127">
        <f>AX317*AY317</f>
        <v>360810.96</v>
      </c>
      <c r="BA317" s="127"/>
      <c r="BB317" s="127"/>
      <c r="BC317" s="127"/>
      <c r="BI317" s="75"/>
      <c r="BJ317" s="91"/>
    </row>
    <row r="318" s="76" customFormat="1" ht="14.45" customHeight="1" outlineLevel="1" spans="1:62">
      <c r="C318" s="387"/>
      <c r="D318" s="76" t="s">
        <v>313</v>
      </c>
      <c r="G318" s="594"/>
      <c r="J318" s="129"/>
      <c r="K318" s="129"/>
      <c r="L318" s="114"/>
      <c r="M318" s="114"/>
      <c r="N318" s="253"/>
      <c r="O318" s="114"/>
      <c r="P318" s="91"/>
      <c r="Q318" s="91"/>
      <c r="R318" s="76" t="s">
        <v>233</v>
      </c>
      <c r="S318" s="76" t="s">
        <v>288</v>
      </c>
      <c r="T318" s="387"/>
      <c r="U318" s="387"/>
      <c r="V318" s="387"/>
      <c r="X318" s="133"/>
      <c r="Z318" s="114"/>
      <c r="AA318" s="114">
        <v>8544.81131895872</v>
      </c>
      <c r="AB318" s="114"/>
      <c r="AC318" s="114"/>
      <c r="AD318" s="140"/>
      <c r="AE318" s="114"/>
      <c r="AF318" s="114"/>
      <c r="AG318" s="114"/>
      <c r="AH318" s="141"/>
      <c r="AI318" s="91"/>
      <c r="AL318" s="114"/>
      <c r="AM318" s="114"/>
      <c r="AN318" s="114"/>
      <c r="AO318" s="141"/>
      <c r="AP318" s="91"/>
      <c r="AQ318" s="387"/>
      <c r="AR318" s="482"/>
      <c r="AS318" s="482"/>
      <c r="AT318" s="482"/>
      <c r="AU318" s="137"/>
      <c r="AV318" s="137"/>
      <c r="AW318" s="482"/>
      <c r="AX318" s="142"/>
      <c r="AY318" s="114"/>
      <c r="AZ318" s="127"/>
      <c r="BA318" s="127"/>
      <c r="BB318" s="127"/>
      <c r="BC318" s="127"/>
      <c r="BI318" s="75"/>
      <c r="BJ318" s="91"/>
    </row>
    <row r="319" s="76" customFormat="1" ht="14.45" customHeight="1" outlineLevel="1" spans="1:62">
      <c r="C319" s="387"/>
      <c r="D319" s="76" t="s">
        <v>317</v>
      </c>
      <c r="E319" s="76" t="s">
        <v>318</v>
      </c>
      <c r="G319" s="594"/>
      <c r="J319" s="129"/>
      <c r="K319" s="129"/>
      <c r="L319" s="114"/>
      <c r="M319" s="114"/>
      <c r="N319" s="253"/>
      <c r="O319" s="114"/>
      <c r="P319" s="91"/>
      <c r="Q319" s="91"/>
      <c r="S319" s="76" t="s">
        <v>183</v>
      </c>
      <c r="T319" s="387"/>
      <c r="U319" s="387"/>
      <c r="V319" s="387"/>
      <c r="X319" s="133"/>
      <c r="Z319" s="114"/>
      <c r="AA319" s="114"/>
      <c r="AB319" s="114"/>
      <c r="AC319" s="114"/>
      <c r="AD319" s="140"/>
      <c r="AE319" s="114"/>
      <c r="AF319" s="114"/>
      <c r="AG319" s="114"/>
      <c r="AH319" s="141"/>
      <c r="AI319" s="91"/>
      <c r="AK319" s="76">
        <v>63.191</v>
      </c>
      <c r="AL319" s="114"/>
      <c r="AM319" s="114"/>
      <c r="AN319" s="114"/>
      <c r="AO319" s="141">
        <f>AM319-AN319</f>
        <v>0</v>
      </c>
      <c r="AP319" s="91"/>
      <c r="AQ319" s="387"/>
      <c r="AR319" s="482"/>
      <c r="AS319" s="482"/>
      <c r="AT319" s="482"/>
      <c r="AU319" s="137"/>
      <c r="AV319" s="137"/>
      <c r="AW319" s="482"/>
      <c r="AX319" s="142">
        <v>63.191</v>
      </c>
      <c r="AY319" s="114">
        <f>6640+210</f>
        <v>6850</v>
      </c>
      <c r="AZ319" s="127">
        <f>AX319*AY319</f>
        <v>432858.35</v>
      </c>
      <c r="BA319" s="127"/>
      <c r="BB319" s="127"/>
      <c r="BC319" s="127"/>
      <c r="BI319" s="75"/>
      <c r="BJ319" s="91"/>
    </row>
    <row r="320" s="76" customFormat="1" ht="14.45" customHeight="1" outlineLevel="1" spans="1:62">
      <c r="C320" s="387"/>
      <c r="G320" s="594"/>
      <c r="J320" s="129"/>
      <c r="K320" s="129"/>
      <c r="L320" s="114"/>
      <c r="M320" s="114"/>
      <c r="N320" s="253"/>
      <c r="O320" s="114"/>
      <c r="P320" s="91"/>
      <c r="Q320" s="91"/>
      <c r="R320" s="76" t="s">
        <v>233</v>
      </c>
      <c r="S320" s="76" t="s">
        <v>288</v>
      </c>
      <c r="T320" s="387"/>
      <c r="U320" s="387"/>
      <c r="V320" s="387"/>
      <c r="X320" s="133"/>
      <c r="Z320" s="114"/>
      <c r="AA320" s="114">
        <v>1537.10491966589</v>
      </c>
      <c r="AB320" s="114"/>
      <c r="AC320" s="114"/>
      <c r="AD320" s="140"/>
      <c r="AE320" s="114"/>
      <c r="AF320" s="114"/>
      <c r="AG320" s="114"/>
      <c r="AH320" s="141"/>
      <c r="AI320" s="91"/>
      <c r="AJ320" s="137"/>
      <c r="AK320" s="137"/>
      <c r="AL320" s="114"/>
      <c r="AM320" s="114"/>
      <c r="AN320" s="114"/>
      <c r="AO320" s="141"/>
      <c r="AP320" s="91"/>
      <c r="AQ320" s="387"/>
      <c r="AR320" s="482"/>
      <c r="AS320" s="482"/>
      <c r="AT320" s="482"/>
      <c r="AU320" s="137"/>
      <c r="AV320" s="137"/>
      <c r="AW320" s="482"/>
      <c r="AX320" s="142"/>
      <c r="AY320" s="114"/>
      <c r="AZ320" s="127"/>
      <c r="BA320" s="127"/>
      <c r="BB320" s="127"/>
      <c r="BC320" s="127"/>
      <c r="BI320" s="75"/>
      <c r="BJ320" s="91"/>
    </row>
    <row r="321" s="76" customFormat="1" ht="14.45" customHeight="1" outlineLevel="1" spans="1:62">
      <c r="C321" s="387">
        <f>C310</f>
        <v>45671</v>
      </c>
      <c r="D321" s="76" t="s">
        <v>307</v>
      </c>
      <c r="E321" s="76" t="s">
        <v>319</v>
      </c>
      <c r="F321" s="76" t="s">
        <v>307</v>
      </c>
      <c r="G321" s="597"/>
      <c r="H321" s="76" t="s">
        <v>93</v>
      </c>
      <c r="I321" s="76" t="s">
        <v>319</v>
      </c>
      <c r="J321" s="129">
        <v>100</v>
      </c>
      <c r="K321" s="129">
        <v>6650</v>
      </c>
      <c r="L321" s="114">
        <f>J321*K321</f>
        <v>665000</v>
      </c>
      <c r="M321" s="114">
        <f>L321*0.3</f>
        <v>199500</v>
      </c>
      <c r="N321" s="253">
        <f>682650/375*J321+462698.2/375*J321+462000/375*J321+727206.05/375*J321</f>
        <v>622547.8</v>
      </c>
      <c r="O321" s="114">
        <f>N321-L321</f>
        <v>-42452.2</v>
      </c>
      <c r="P321" s="91"/>
      <c r="Q321" s="91"/>
      <c r="R321" s="76" t="s">
        <v>309</v>
      </c>
      <c r="S321" s="76" t="s">
        <v>310</v>
      </c>
      <c r="T321" s="387">
        <v>45667</v>
      </c>
      <c r="U321" s="387">
        <v>45767</v>
      </c>
      <c r="V321" s="387"/>
      <c r="X321" s="133"/>
      <c r="Y321" s="76">
        <v>99.92</v>
      </c>
      <c r="Z321" s="114">
        <v>6235</v>
      </c>
      <c r="AA321" s="114">
        <f>Y321*Z321</f>
        <v>623001.2</v>
      </c>
      <c r="AB321" s="114">
        <f>175435+1500000/352.5*Y321</f>
        <v>600626.489361702</v>
      </c>
      <c r="AC321" s="114">
        <f>AA321-AB321</f>
        <v>22374.7106382978</v>
      </c>
      <c r="AD321" s="140"/>
      <c r="AE321" s="114"/>
      <c r="AF321" s="114"/>
      <c r="AG321" s="114"/>
      <c r="AH321" s="141"/>
      <c r="AI321" s="91"/>
      <c r="AJ321" s="137"/>
      <c r="AK321" s="137">
        <v>110.63</v>
      </c>
      <c r="AL321" s="114">
        <v>6235</v>
      </c>
      <c r="AM321" s="114">
        <f>AL321*AK321</f>
        <v>689778.05</v>
      </c>
      <c r="AN321" s="114">
        <f>N321</f>
        <v>622547.8</v>
      </c>
      <c r="AO321" s="141">
        <f>AM321-AN321</f>
        <v>67230.2499999999</v>
      </c>
      <c r="AP321" s="91"/>
      <c r="AQ321" s="387"/>
      <c r="AR321" s="482"/>
      <c r="AS321" s="482"/>
      <c r="AT321" s="482"/>
      <c r="AU321" s="137"/>
      <c r="AV321" s="137"/>
      <c r="AW321" s="482"/>
      <c r="AX321" s="142"/>
      <c r="AY321" s="114"/>
      <c r="AZ321" s="127"/>
      <c r="BA321" s="127"/>
      <c r="BB321" s="127"/>
      <c r="BC321" s="127">
        <f>BA321-AZ321</f>
        <v>0</v>
      </c>
      <c r="BI321" s="75"/>
      <c r="BJ321" s="91"/>
    </row>
    <row r="322" s="76" customFormat="1" ht="14.45" customHeight="1" outlineLevel="1" spans="1:62">
      <c r="C322" s="387"/>
      <c r="D322" s="76" t="s">
        <v>313</v>
      </c>
      <c r="E322" s="76" t="s">
        <v>320</v>
      </c>
      <c r="G322" s="597"/>
      <c r="J322" s="129"/>
      <c r="K322" s="129"/>
      <c r="L322" s="114"/>
      <c r="M322" s="114"/>
      <c r="N322" s="253"/>
      <c r="O322" s="114"/>
      <c r="P322" s="91"/>
      <c r="Q322" s="91"/>
      <c r="T322" s="387"/>
      <c r="U322" s="387"/>
      <c r="V322" s="387"/>
      <c r="X322" s="133"/>
      <c r="Y322" s="76">
        <v>54.106</v>
      </c>
      <c r="Z322" s="114">
        <v>2635</v>
      </c>
      <c r="AA322" s="114">
        <f>Y322*Z322</f>
        <v>142569.31</v>
      </c>
      <c r="AB322" s="114"/>
      <c r="AC322" s="114"/>
      <c r="AD322" s="140"/>
      <c r="AE322" s="114"/>
      <c r="AF322" s="114"/>
      <c r="AG322" s="114"/>
      <c r="AH322" s="141"/>
      <c r="AI322" s="91"/>
      <c r="AJ322" s="137"/>
      <c r="AK322" s="76">
        <f>98.041+9.047</f>
        <v>107.088</v>
      </c>
      <c r="AL322" s="114"/>
      <c r="AM322" s="114"/>
      <c r="AN322" s="114"/>
      <c r="AO322" s="141">
        <f>AM322-AN322</f>
        <v>0</v>
      </c>
      <c r="AP322" s="91"/>
      <c r="AQ322" s="387"/>
      <c r="AR322" s="482"/>
      <c r="AS322" s="482"/>
      <c r="AT322" s="482"/>
      <c r="AU322" s="137"/>
      <c r="AV322" s="137"/>
      <c r="AW322" s="482"/>
      <c r="AX322" s="142">
        <v>43.501</v>
      </c>
      <c r="AY322" s="114">
        <v>6790</v>
      </c>
      <c r="AZ322" s="127">
        <f>AX322*AY322</f>
        <v>295371.79</v>
      </c>
      <c r="BA322" s="127"/>
      <c r="BB322" s="127"/>
      <c r="BC322" s="127"/>
      <c r="BI322" s="75"/>
      <c r="BJ322" s="91"/>
    </row>
    <row r="323" s="76" customFormat="1" ht="14.45" customHeight="1" outlineLevel="1" spans="1:62">
      <c r="C323" s="387"/>
      <c r="D323" s="76" t="s">
        <v>313</v>
      </c>
      <c r="G323" s="597"/>
      <c r="J323" s="129"/>
      <c r="K323" s="129"/>
      <c r="L323" s="114"/>
      <c r="M323" s="114"/>
      <c r="N323" s="253"/>
      <c r="O323" s="114"/>
      <c r="P323" s="91"/>
      <c r="Q323" s="91"/>
      <c r="R323" s="76" t="s">
        <v>233</v>
      </c>
      <c r="S323" s="76" t="s">
        <v>288</v>
      </c>
      <c r="T323" s="387"/>
      <c r="U323" s="387"/>
      <c r="V323" s="387"/>
      <c r="X323" s="133"/>
      <c r="Z323" s="114"/>
      <c r="AA323" s="114">
        <v>6840.53510712423</v>
      </c>
      <c r="AB323" s="114"/>
      <c r="AC323" s="114"/>
      <c r="AD323" s="140"/>
      <c r="AE323" s="114"/>
      <c r="AF323" s="114"/>
      <c r="AG323" s="114"/>
      <c r="AH323" s="141"/>
      <c r="AI323" s="91"/>
      <c r="AJ323" s="137"/>
      <c r="AL323" s="114"/>
      <c r="AM323" s="114"/>
      <c r="AN323" s="114"/>
      <c r="AO323" s="141"/>
      <c r="AP323" s="91"/>
      <c r="AQ323" s="387"/>
      <c r="AR323" s="482"/>
      <c r="AS323" s="482"/>
      <c r="AT323" s="482"/>
      <c r="AU323" s="137"/>
      <c r="AV323" s="137"/>
      <c r="AW323" s="482"/>
      <c r="AX323" s="142"/>
      <c r="AY323" s="114"/>
      <c r="AZ323" s="127"/>
      <c r="BA323" s="127"/>
      <c r="BB323" s="127"/>
      <c r="BC323" s="127"/>
      <c r="BI323" s="75"/>
      <c r="BJ323" s="91"/>
    </row>
    <row r="324" s="76" customFormat="1" ht="14.45" customHeight="1" outlineLevel="1" spans="1:62">
      <c r="C324" s="387"/>
      <c r="D324" s="76" t="s">
        <v>321</v>
      </c>
      <c r="E324" s="76" t="s">
        <v>320</v>
      </c>
      <c r="G324" s="597"/>
      <c r="J324" s="129"/>
      <c r="K324" s="129"/>
      <c r="L324" s="114"/>
      <c r="M324" s="114"/>
      <c r="N324" s="253"/>
      <c r="O324" s="114"/>
      <c r="P324" s="91"/>
      <c r="Q324" s="91"/>
      <c r="T324" s="387"/>
      <c r="U324" s="387"/>
      <c r="V324" s="387"/>
      <c r="X324" s="133"/>
      <c r="Z324" s="114"/>
      <c r="AA324" s="114"/>
      <c r="AB324" s="114"/>
      <c r="AC324" s="114"/>
      <c r="AD324" s="140"/>
      <c r="AE324" s="114"/>
      <c r="AF324" s="114"/>
      <c r="AG324" s="114"/>
      <c r="AH324" s="141"/>
      <c r="AI324" s="91"/>
      <c r="AJ324" s="137"/>
      <c r="AL324" s="114"/>
      <c r="AM324" s="114"/>
      <c r="AN324" s="114"/>
      <c r="AO324" s="141"/>
      <c r="AP324" s="91"/>
      <c r="AQ324" s="387"/>
      <c r="AR324" s="482"/>
      <c r="AS324" s="482"/>
      <c r="AT324" s="482"/>
      <c r="AU324" s="137"/>
      <c r="AV324" s="137"/>
      <c r="AW324" s="482"/>
      <c r="AX324" s="142">
        <v>54.54</v>
      </c>
      <c r="AY324" s="114">
        <v>6790</v>
      </c>
      <c r="AZ324" s="127">
        <f>AX324*AY324</f>
        <v>370326.6</v>
      </c>
      <c r="BA324" s="127"/>
      <c r="BB324" s="127"/>
      <c r="BC324" s="127"/>
      <c r="BI324" s="75"/>
      <c r="BJ324" s="91"/>
    </row>
    <row r="325" s="76" customFormat="1" ht="14.45" customHeight="1" outlineLevel="1" spans="1:62">
      <c r="C325" s="387"/>
      <c r="G325" s="597"/>
      <c r="J325" s="129"/>
      <c r="K325" s="129"/>
      <c r="L325" s="114"/>
      <c r="M325" s="114"/>
      <c r="N325" s="253"/>
      <c r="O325" s="114"/>
      <c r="P325" s="91"/>
      <c r="Q325" s="91"/>
      <c r="R325" s="76" t="s">
        <v>233</v>
      </c>
      <c r="S325" s="76" t="s">
        <v>288</v>
      </c>
      <c r="T325" s="387"/>
      <c r="U325" s="387"/>
      <c r="V325" s="387"/>
      <c r="X325" s="133"/>
      <c r="Z325" s="114"/>
      <c r="AA325" s="114">
        <v>8692</v>
      </c>
      <c r="AB325" s="114"/>
      <c r="AC325" s="114"/>
      <c r="AD325" s="140"/>
      <c r="AE325" s="114"/>
      <c r="AF325" s="114"/>
      <c r="AG325" s="114"/>
      <c r="AH325" s="141"/>
      <c r="AI325" s="91"/>
      <c r="AJ325" s="137"/>
      <c r="AL325" s="114"/>
      <c r="AM325" s="114"/>
      <c r="AN325" s="114"/>
      <c r="AO325" s="141"/>
      <c r="AP325" s="91"/>
      <c r="AQ325" s="387"/>
      <c r="AR325" s="482"/>
      <c r="AS325" s="482"/>
      <c r="AT325" s="482"/>
      <c r="AU325" s="137"/>
      <c r="AV325" s="137"/>
      <c r="AW325" s="482"/>
      <c r="AX325" s="142"/>
      <c r="AY325" s="114"/>
      <c r="AZ325" s="127"/>
      <c r="BA325" s="127"/>
      <c r="BB325" s="127"/>
      <c r="BC325" s="127"/>
      <c r="BI325" s="75"/>
      <c r="BJ325" s="91"/>
    </row>
    <row r="326" s="76" customFormat="1" ht="14.45" customHeight="1" outlineLevel="1" spans="1:62">
      <c r="C326" s="387"/>
      <c r="D326" s="76" t="s">
        <v>317</v>
      </c>
      <c r="E326" s="76" t="s">
        <v>320</v>
      </c>
      <c r="G326" s="597"/>
      <c r="J326" s="129"/>
      <c r="K326" s="129"/>
      <c r="L326" s="114"/>
      <c r="M326" s="114"/>
      <c r="N326" s="253"/>
      <c r="O326" s="114"/>
      <c r="P326" s="91"/>
      <c r="Q326" s="91"/>
      <c r="T326" s="387"/>
      <c r="U326" s="387"/>
      <c r="V326" s="387"/>
      <c r="X326" s="133"/>
      <c r="Z326" s="114"/>
      <c r="AA326" s="114"/>
      <c r="AB326" s="114"/>
      <c r="AC326" s="114"/>
      <c r="AD326" s="140"/>
      <c r="AE326" s="114"/>
      <c r="AF326" s="114"/>
      <c r="AG326" s="114"/>
      <c r="AH326" s="141"/>
      <c r="AI326" s="91"/>
      <c r="AJ326" s="137"/>
      <c r="AL326" s="114"/>
      <c r="AM326" s="114"/>
      <c r="AN326" s="114"/>
      <c r="AO326" s="141"/>
      <c r="AP326" s="91"/>
      <c r="AQ326" s="387"/>
      <c r="AR326" s="482"/>
      <c r="AS326" s="482"/>
      <c r="AT326" s="482"/>
      <c r="AU326" s="137"/>
      <c r="AV326" s="137"/>
      <c r="AW326" s="482"/>
      <c r="AX326" s="142">
        <v>9.047</v>
      </c>
      <c r="AY326" s="114">
        <f>6790+210</f>
        <v>7000</v>
      </c>
      <c r="AZ326" s="127">
        <f>AX326*AY326</f>
        <v>63329</v>
      </c>
      <c r="BA326" s="127"/>
      <c r="BB326" s="127"/>
      <c r="BC326" s="127"/>
      <c r="BI326" s="75"/>
      <c r="BJ326" s="91"/>
    </row>
    <row r="327" s="76" customFormat="1" ht="14.45" customHeight="1" outlineLevel="1" spans="1:62">
      <c r="C327" s="387"/>
      <c r="G327" s="597"/>
      <c r="J327" s="129"/>
      <c r="K327" s="129"/>
      <c r="L327" s="114"/>
      <c r="M327" s="114"/>
      <c r="N327" s="253"/>
      <c r="O327" s="114"/>
      <c r="P327" s="91"/>
      <c r="Q327" s="91"/>
      <c r="R327" s="76" t="s">
        <v>233</v>
      </c>
      <c r="S327" s="76" t="s">
        <v>288</v>
      </c>
      <c r="T327" s="387"/>
      <c r="U327" s="387"/>
      <c r="V327" s="387"/>
      <c r="X327" s="133"/>
      <c r="Z327" s="114"/>
      <c r="AA327" s="114">
        <v>10736.2879383892</v>
      </c>
      <c r="AB327" s="114"/>
      <c r="AC327" s="114"/>
      <c r="AD327" s="140"/>
      <c r="AE327" s="114"/>
      <c r="AF327" s="114"/>
      <c r="AG327" s="114"/>
      <c r="AH327" s="141"/>
      <c r="AI327" s="91"/>
      <c r="AJ327" s="137"/>
      <c r="AL327" s="114"/>
      <c r="AM327" s="114"/>
      <c r="AN327" s="114"/>
      <c r="AO327" s="141"/>
      <c r="AP327" s="91"/>
      <c r="AQ327" s="387"/>
      <c r="AR327" s="482"/>
      <c r="AS327" s="482"/>
      <c r="AT327" s="482"/>
      <c r="AU327" s="137"/>
      <c r="AV327" s="137"/>
      <c r="AW327" s="482"/>
      <c r="AX327" s="142"/>
      <c r="AY327" s="114"/>
      <c r="AZ327" s="127"/>
      <c r="BA327" s="127"/>
      <c r="BB327" s="127"/>
      <c r="BC327" s="127"/>
      <c r="BI327" s="75"/>
      <c r="BJ327" s="91"/>
    </row>
    <row r="328" s="76" customFormat="1" ht="14.45" customHeight="1" outlineLevel="1" spans="1:62">
      <c r="C328" s="387"/>
      <c r="G328" s="597"/>
      <c r="J328" s="129"/>
      <c r="K328" s="129"/>
      <c r="L328" s="114"/>
      <c r="M328" s="114"/>
      <c r="N328" s="253"/>
      <c r="O328" s="114"/>
      <c r="P328" s="91"/>
      <c r="Q328" s="91"/>
      <c r="S328" s="189" t="s">
        <v>322</v>
      </c>
      <c r="T328" s="387"/>
      <c r="U328" s="387"/>
      <c r="V328" s="387"/>
      <c r="X328" s="133"/>
      <c r="Y328" s="76">
        <v>368.543</v>
      </c>
      <c r="Z328" s="114">
        <v>235</v>
      </c>
      <c r="AA328" s="114">
        <f>Z328*Y328</f>
        <v>86607.605</v>
      </c>
      <c r="AB328" s="114"/>
      <c r="AC328" s="114"/>
      <c r="AD328" s="140"/>
      <c r="AE328" s="114"/>
      <c r="AF328" s="114"/>
      <c r="AG328" s="114"/>
      <c r="AH328" s="141"/>
      <c r="AI328" s="91"/>
      <c r="AJ328" s="137"/>
      <c r="AL328" s="114"/>
      <c r="AM328" s="114"/>
      <c r="AN328" s="114"/>
      <c r="AO328" s="141"/>
      <c r="AP328" s="91"/>
      <c r="AQ328" s="387"/>
      <c r="AR328" s="482"/>
      <c r="AS328" s="482"/>
      <c r="AT328" s="482"/>
      <c r="AU328" s="137"/>
      <c r="AV328" s="137"/>
      <c r="AW328" s="482"/>
      <c r="AX328" s="142"/>
      <c r="AY328" s="114"/>
      <c r="AZ328" s="127"/>
      <c r="BA328" s="127"/>
      <c r="BB328" s="127"/>
      <c r="BC328" s="127"/>
      <c r="BI328" s="75"/>
      <c r="BJ328" s="91"/>
    </row>
    <row r="329" s="79" customFormat="1" ht="28.9" customHeight="1" spans="1:62">
      <c r="A329" s="79">
        <v>50</v>
      </c>
      <c r="C329" s="463" t="s">
        <v>69</v>
      </c>
      <c r="D329" s="79" t="s">
        <v>307</v>
      </c>
      <c r="E329" s="116" t="s">
        <v>323</v>
      </c>
      <c r="F329" s="79" t="s">
        <v>307</v>
      </c>
      <c r="G329" s="486"/>
      <c r="H329" s="79" t="s">
        <v>93</v>
      </c>
      <c r="I329" s="116" t="s">
        <v>323</v>
      </c>
      <c r="J329" s="194">
        <f>SUM(J310:J321)</f>
        <v>375</v>
      </c>
      <c r="K329" s="500" t="s">
        <v>324</v>
      </c>
      <c r="L329" s="192">
        <f>L310+L321</f>
        <v>2452500</v>
      </c>
      <c r="M329" s="192">
        <f>M310+M321</f>
        <v>735750</v>
      </c>
      <c r="N329" s="192">
        <f>N310+N321</f>
        <v>2334554.25</v>
      </c>
      <c r="O329" s="192">
        <f>O310+O321</f>
        <v>-117945.75</v>
      </c>
      <c r="P329" s="91"/>
      <c r="Q329" s="91"/>
      <c r="R329" s="79" t="str">
        <f>R321</f>
        <v>HBIS</v>
      </c>
      <c r="S329" s="79" t="str">
        <f>S321</f>
        <v>MN412501-1</v>
      </c>
      <c r="T329" s="463">
        <f>T321</f>
        <v>45667</v>
      </c>
      <c r="U329" s="463">
        <f>U321</f>
        <v>45767</v>
      </c>
      <c r="V329" s="463"/>
      <c r="X329" s="193"/>
      <c r="Y329" s="192">
        <f>Y310+Y321</f>
        <v>352.25</v>
      </c>
      <c r="Z329" s="192" t="s">
        <v>325</v>
      </c>
      <c r="AA329" s="192">
        <f>SUM(AA310:AA328)</f>
        <v>2669416.11853166</v>
      </c>
      <c r="AB329" s="192">
        <f>AB310+AB321</f>
        <v>2174371.17021277</v>
      </c>
      <c r="AC329" s="192">
        <f>AC310+AC321</f>
        <v>-15941.9202127658</v>
      </c>
      <c r="AD329" s="196"/>
      <c r="AE329" s="192"/>
      <c r="AF329" s="192"/>
      <c r="AG329" s="192"/>
      <c r="AH329" s="227"/>
      <c r="AI329" s="91"/>
      <c r="AK329" s="192"/>
      <c r="AM329" s="192">
        <f>SUM(AM310:AM322)</f>
        <v>2359015.25</v>
      </c>
      <c r="AN329" s="192">
        <f>SUM(AN310:AN322)</f>
        <v>2334554.25</v>
      </c>
      <c r="AO329" s="192">
        <f>SUM(AO310:AO322)</f>
        <v>24461.0000000001</v>
      </c>
      <c r="AP329" s="91"/>
      <c r="AQ329" s="463"/>
      <c r="AR329" s="491"/>
      <c r="AS329" s="491"/>
      <c r="AT329" s="491"/>
      <c r="AU329" s="225"/>
      <c r="AV329" s="225"/>
      <c r="AW329" s="491"/>
      <c r="AX329" s="492">
        <f>SUM(AX310:AX326)</f>
        <v>368.543</v>
      </c>
      <c r="AY329" s="192"/>
      <c r="AZ329" s="150">
        <f>SUM(AZ310:AZ326)</f>
        <v>2468814.2</v>
      </c>
      <c r="BA329" s="150">
        <v>2334554.25</v>
      </c>
      <c r="BB329" s="150"/>
      <c r="BC329" s="391">
        <f>BB329+BA329-AZ329</f>
        <v>-134259.95</v>
      </c>
      <c r="BI329" s="478" t="s">
        <v>60</v>
      </c>
      <c r="BJ329" s="91"/>
    </row>
    <row r="330" s="76" customFormat="1" ht="14.45" customHeight="1" outlineLevel="1" spans="1:62">
      <c r="C330" s="387">
        <v>45693</v>
      </c>
      <c r="D330" s="76" t="s">
        <v>326</v>
      </c>
      <c r="E330" s="76" t="s">
        <v>327</v>
      </c>
      <c r="G330" s="586">
        <f>87391.98</f>
        <v>87391.98</v>
      </c>
      <c r="H330" s="76" t="s">
        <v>93</v>
      </c>
      <c r="J330" s="129">
        <v>15</v>
      </c>
      <c r="K330" s="129">
        <v>7000</v>
      </c>
      <c r="L330" s="129">
        <f>J330*K330</f>
        <v>105000</v>
      </c>
      <c r="M330" s="129"/>
      <c r="O330" s="114">
        <f>N330-L330</f>
        <v>-105000</v>
      </c>
      <c r="P330" s="91"/>
      <c r="Q330" s="91"/>
      <c r="R330" s="76" t="s">
        <v>328</v>
      </c>
      <c r="S330" s="76" t="s">
        <v>329</v>
      </c>
      <c r="T330" s="426">
        <v>45714</v>
      </c>
      <c r="U330" s="426">
        <v>45743</v>
      </c>
      <c r="V330" s="426"/>
      <c r="W330" s="84"/>
      <c r="X330" s="87"/>
      <c r="Y330" s="598">
        <f>65677.2/4780</f>
        <v>13.74</v>
      </c>
      <c r="Z330" s="114">
        <v>4780</v>
      </c>
      <c r="AA330" s="114">
        <f>Y330*Z330</f>
        <v>65677.2</v>
      </c>
      <c r="AB330" s="114">
        <v>20000</v>
      </c>
      <c r="AC330" s="114">
        <f>25677.2+20000</f>
        <v>45677.2</v>
      </c>
      <c r="AD330" s="140"/>
      <c r="AE330" s="114"/>
      <c r="AF330" s="114"/>
      <c r="AG330" s="114"/>
      <c r="AH330" s="114"/>
      <c r="AI330" s="91"/>
      <c r="AJ330" s="91"/>
      <c r="AK330" s="76">
        <v>13.806</v>
      </c>
      <c r="AL330" s="76">
        <v>6330</v>
      </c>
      <c r="AM330" s="114">
        <f>AL330*AK330</f>
        <v>87391.98</v>
      </c>
      <c r="AN330" s="114">
        <f>N330</f>
        <v>0</v>
      </c>
      <c r="AO330" s="114">
        <f>AM330-AN330</f>
        <v>87391.98</v>
      </c>
      <c r="AP330" s="91"/>
      <c r="AQ330" s="426"/>
      <c r="AR330" s="426"/>
      <c r="AS330" s="426"/>
      <c r="AT330" s="426"/>
      <c r="AU330" s="84"/>
      <c r="AV330" s="84"/>
      <c r="AW330" s="426"/>
      <c r="AX330" s="76">
        <v>13.806</v>
      </c>
      <c r="AY330" s="114">
        <v>6330</v>
      </c>
      <c r="AZ330" s="127">
        <f>AX330*AY330</f>
        <v>87391.98</v>
      </c>
      <c r="BA330" s="127"/>
      <c r="BB330" s="127"/>
      <c r="BC330" s="127"/>
      <c r="BI330" s="75"/>
      <c r="BJ330" s="91"/>
    </row>
    <row r="331" s="76" customFormat="1" ht="14.45" customHeight="1" outlineLevel="1" spans="1:62">
      <c r="C331" s="387"/>
      <c r="G331" s="586"/>
      <c r="J331" s="129"/>
      <c r="K331" s="129"/>
      <c r="L331" s="129"/>
      <c r="M331" s="129"/>
      <c r="P331" s="91"/>
      <c r="Q331" s="91"/>
      <c r="S331" s="76" t="s">
        <v>67</v>
      </c>
      <c r="T331" s="387"/>
      <c r="U331" s="387"/>
      <c r="V331" s="387"/>
      <c r="X331" s="133"/>
      <c r="Y331" s="76">
        <v>13.806</v>
      </c>
      <c r="Z331" s="114">
        <v>1270</v>
      </c>
      <c r="AA331" s="114">
        <f>Y331*Z331</f>
        <v>17533.62</v>
      </c>
      <c r="AB331" s="114"/>
      <c r="AC331" s="114"/>
      <c r="AD331" s="140"/>
      <c r="AE331" s="114"/>
      <c r="AF331" s="114"/>
      <c r="AG331" s="114"/>
      <c r="AH331" s="114"/>
      <c r="AI331" s="91"/>
      <c r="AM331" s="114"/>
      <c r="AN331" s="114"/>
      <c r="AO331" s="141">
        <f>AM331-AN331</f>
        <v>0</v>
      </c>
      <c r="AP331" s="91"/>
      <c r="AQ331" s="387"/>
      <c r="AR331" s="387"/>
      <c r="AS331" s="387"/>
      <c r="AT331" s="387"/>
      <c r="AW331" s="387"/>
      <c r="AX331" s="129"/>
      <c r="AY331" s="114"/>
      <c r="AZ331" s="127"/>
      <c r="BA331" s="127"/>
      <c r="BB331" s="127"/>
      <c r="BC331" s="127"/>
      <c r="BI331" s="75"/>
      <c r="BJ331" s="91"/>
    </row>
    <row r="332" s="76" customFormat="1" ht="14.45" customHeight="1" outlineLevel="1" spans="1:62">
      <c r="C332" s="387"/>
      <c r="G332" s="586"/>
      <c r="J332" s="129"/>
      <c r="K332" s="129"/>
      <c r="L332" s="129"/>
      <c r="M332" s="129"/>
      <c r="P332" s="91"/>
      <c r="Q332" s="91"/>
      <c r="S332" s="578" t="s">
        <v>288</v>
      </c>
      <c r="T332" s="387"/>
      <c r="U332" s="387"/>
      <c r="V332" s="387"/>
      <c r="X332" s="133"/>
      <c r="Z332" s="114"/>
      <c r="AA332" s="114">
        <v>2097.1617553143</v>
      </c>
      <c r="AB332" s="114"/>
      <c r="AC332" s="114"/>
      <c r="AD332" s="140"/>
      <c r="AE332" s="114"/>
      <c r="AF332" s="114"/>
      <c r="AG332" s="114"/>
      <c r="AH332" s="114"/>
      <c r="AI332" s="91"/>
      <c r="AM332" s="114"/>
      <c r="AN332" s="114"/>
      <c r="AO332" s="141"/>
      <c r="AP332" s="91"/>
      <c r="AQ332" s="387"/>
      <c r="AR332" s="387"/>
      <c r="AS332" s="387"/>
      <c r="AT332" s="387"/>
      <c r="AW332" s="387"/>
      <c r="AX332" s="129"/>
      <c r="AY332" s="114"/>
      <c r="AZ332" s="127"/>
      <c r="BA332" s="127"/>
      <c r="BB332" s="127"/>
      <c r="BC332" s="127"/>
      <c r="BI332" s="75"/>
      <c r="BJ332" s="91"/>
    </row>
    <row r="333" s="79" customFormat="1" ht="14.45" customHeight="1" spans="1:62">
      <c r="A333" s="79">
        <v>51</v>
      </c>
      <c r="C333" s="599" t="s">
        <v>69</v>
      </c>
      <c r="D333" s="79" t="s">
        <v>326</v>
      </c>
      <c r="E333" s="79" t="s">
        <v>327</v>
      </c>
      <c r="G333" s="486"/>
      <c r="H333" s="79" t="s">
        <v>93</v>
      </c>
      <c r="J333" s="194">
        <v>20</v>
      </c>
      <c r="K333" s="194"/>
      <c r="L333" s="194">
        <f>L330</f>
        <v>105000</v>
      </c>
      <c r="M333" s="194"/>
      <c r="N333" s="79">
        <f>SUM(N330:N331)</f>
        <v>0</v>
      </c>
      <c r="P333" s="91"/>
      <c r="Q333" s="91"/>
      <c r="T333" s="463">
        <f>T330</f>
        <v>45714</v>
      </c>
      <c r="U333" s="463">
        <f>U330</f>
        <v>45743</v>
      </c>
      <c r="V333" s="463"/>
      <c r="X333" s="193"/>
      <c r="Y333" s="79">
        <f>Y330</f>
        <v>13.74</v>
      </c>
      <c r="Z333" s="192"/>
      <c r="AA333" s="192">
        <f>SUM(AA330:AA332)</f>
        <v>85307.9817553143</v>
      </c>
      <c r="AB333" s="192">
        <f>SUM(AB330:AB331)</f>
        <v>20000</v>
      </c>
      <c r="AC333" s="192">
        <f>SUM(AC330:AC331)</f>
        <v>45677.2</v>
      </c>
      <c r="AD333" s="196"/>
      <c r="AE333" s="192"/>
      <c r="AF333" s="192"/>
      <c r="AG333" s="192"/>
      <c r="AH333" s="192"/>
      <c r="AI333" s="91"/>
      <c r="AJ333" s="91"/>
      <c r="AM333" s="192">
        <f>SUM(AM330:AM331)</f>
        <v>87391.98</v>
      </c>
      <c r="AN333" s="192">
        <f>N333</f>
        <v>0</v>
      </c>
      <c r="AO333" s="79">
        <f>AO331</f>
        <v>0</v>
      </c>
      <c r="AP333" s="91"/>
      <c r="AQ333" s="463"/>
      <c r="AR333" s="463"/>
      <c r="AS333" s="463"/>
      <c r="AT333" s="463"/>
      <c r="AW333" s="463"/>
      <c r="AX333" s="194"/>
      <c r="AY333" s="192"/>
      <c r="AZ333" s="150">
        <f>SUM(AZ330:AZ331)</f>
        <v>87391.98</v>
      </c>
      <c r="BA333" s="150"/>
      <c r="BB333" s="150">
        <f t="array" ref="BB333:BB334">BB330:BB331</f>
        <v>0</v>
      </c>
      <c r="BC333" s="391">
        <f>BB333+BA333-AZ333</f>
        <v>-87391.98</v>
      </c>
      <c r="BI333" s="478" t="s">
        <v>60</v>
      </c>
      <c r="BJ333" s="91"/>
    </row>
    <row r="334" s="76" customFormat="1" customHeight="1" outlineLevel="1" spans="1:62">
      <c r="C334" s="387">
        <v>45693</v>
      </c>
      <c r="D334" s="76" t="s">
        <v>330</v>
      </c>
      <c r="E334" s="76" t="s">
        <v>92</v>
      </c>
      <c r="G334" s="586">
        <f>531012</f>
        <v>531012</v>
      </c>
      <c r="H334" s="76" t="s">
        <v>93</v>
      </c>
      <c r="J334" s="264">
        <v>2280000</v>
      </c>
      <c r="K334" s="373">
        <v>0.2329</v>
      </c>
      <c r="L334" s="129">
        <f>J334*K334</f>
        <v>531012</v>
      </c>
      <c r="M334" s="114">
        <f>L334*0.3</f>
        <v>159303.6</v>
      </c>
      <c r="N334" s="76">
        <v>531012</v>
      </c>
      <c r="P334" s="91"/>
      <c r="Q334" s="91"/>
      <c r="R334" s="76" t="s">
        <v>88</v>
      </c>
      <c r="S334" s="76" t="s">
        <v>331</v>
      </c>
      <c r="T334" s="387">
        <v>45698</v>
      </c>
      <c r="U334" s="387">
        <v>45736</v>
      </c>
      <c r="V334" s="387"/>
      <c r="X334" s="133"/>
      <c r="Y334" s="76">
        <v>2320000</v>
      </c>
      <c r="Z334" s="114">
        <v>0.25</v>
      </c>
      <c r="AA334" s="114">
        <f>Y334*Z334</f>
        <v>580000</v>
      </c>
      <c r="AB334" s="76">
        <v>580000</v>
      </c>
      <c r="AC334" s="114">
        <f>AA334-AB334</f>
        <v>0</v>
      </c>
      <c r="AD334" s="114"/>
      <c r="AE334" s="114"/>
      <c r="AF334" s="114"/>
      <c r="AG334" s="114"/>
      <c r="AH334" s="114"/>
      <c r="AI334" s="91"/>
      <c r="AJ334" s="91"/>
      <c r="AK334" s="76">
        <f>AX334</f>
        <v>2280000</v>
      </c>
      <c r="AL334" s="76">
        <f>0.2329</f>
        <v>0.2329</v>
      </c>
      <c r="AM334" s="114">
        <f>AK334*AL334</f>
        <v>531012</v>
      </c>
      <c r="AN334" s="114">
        <f>N334</f>
        <v>531012</v>
      </c>
      <c r="AO334" s="141">
        <f>AM334-AN334</f>
        <v>0</v>
      </c>
      <c r="AP334" s="91"/>
      <c r="AQ334" s="387"/>
      <c r="AR334" s="387"/>
      <c r="AS334" s="387"/>
      <c r="AT334" s="387"/>
      <c r="AW334" s="387"/>
      <c r="AX334" s="76">
        <v>2280000</v>
      </c>
      <c r="AY334" s="263">
        <v>0.2329</v>
      </c>
      <c r="AZ334" s="127">
        <f>AY334*AX334</f>
        <v>531012</v>
      </c>
      <c r="BA334" s="127">
        <f>N334</f>
        <v>531012</v>
      </c>
      <c r="BB334" s="127">
        <v>0</v>
      </c>
      <c r="BC334" s="391">
        <f>BB334+BA334-AZ334</f>
        <v>0</v>
      </c>
      <c r="BI334" s="75"/>
      <c r="BJ334" s="91"/>
    </row>
    <row r="335" s="76" customFormat="1" customHeight="1" outlineLevel="1" spans="1:62">
      <c r="C335" s="387"/>
      <c r="G335" s="586"/>
      <c r="J335" s="264"/>
      <c r="K335" s="373"/>
      <c r="L335" s="129"/>
      <c r="M335" s="114"/>
      <c r="P335" s="91"/>
      <c r="Q335" s="91"/>
      <c r="R335" s="578" t="s">
        <v>95</v>
      </c>
      <c r="T335" s="387"/>
      <c r="U335" s="387"/>
      <c r="V335" s="387"/>
      <c r="X335" s="133"/>
      <c r="Z335" s="114"/>
      <c r="AA335" s="114">
        <f>-(AZ334*0.13/1.13)</f>
        <v>-61089.8761061947</v>
      </c>
      <c r="AC335" s="114"/>
      <c r="AD335" s="114"/>
      <c r="AE335" s="114"/>
      <c r="AF335" s="114"/>
      <c r="AG335" s="114"/>
      <c r="AH335" s="114"/>
      <c r="AI335" s="91"/>
      <c r="AJ335" s="91"/>
      <c r="AK335" s="189"/>
      <c r="AM335" s="114"/>
      <c r="AN335" s="114"/>
      <c r="AO335" s="141"/>
      <c r="AP335" s="91"/>
      <c r="AQ335" s="387"/>
      <c r="AR335" s="387"/>
      <c r="AS335" s="387"/>
      <c r="AT335" s="387"/>
      <c r="AW335" s="387"/>
      <c r="AY335" s="263"/>
      <c r="AZ335" s="127"/>
      <c r="BA335" s="127"/>
      <c r="BB335" s="127"/>
      <c r="BC335" s="391"/>
      <c r="BI335" s="75"/>
      <c r="BJ335" s="91"/>
    </row>
    <row r="336" s="76" customFormat="1" customHeight="1" outlineLevel="1" spans="1:62">
      <c r="C336" s="387"/>
      <c r="G336" s="586"/>
      <c r="J336" s="264"/>
      <c r="K336" s="373"/>
      <c r="L336" s="129"/>
      <c r="M336" s="114"/>
      <c r="P336" s="91"/>
      <c r="Q336" s="91"/>
      <c r="R336" s="578"/>
      <c r="S336" s="578" t="s">
        <v>288</v>
      </c>
      <c r="T336" s="387"/>
      <c r="U336" s="387"/>
      <c r="V336" s="387"/>
      <c r="X336" s="133"/>
      <c r="Z336" s="114"/>
      <c r="AA336" s="114">
        <v>9692</v>
      </c>
      <c r="AC336" s="114"/>
      <c r="AD336" s="114"/>
      <c r="AE336" s="114"/>
      <c r="AF336" s="114"/>
      <c r="AG336" s="114"/>
      <c r="AH336" s="114"/>
      <c r="AI336" s="91"/>
      <c r="AJ336" s="91"/>
      <c r="AK336" s="189"/>
      <c r="AM336" s="114"/>
      <c r="AN336" s="114"/>
      <c r="AO336" s="141"/>
      <c r="AP336" s="91"/>
      <c r="AQ336" s="387"/>
      <c r="AR336" s="387"/>
      <c r="AS336" s="387"/>
      <c r="AT336" s="387"/>
      <c r="AW336" s="387"/>
      <c r="AY336" s="263"/>
      <c r="AZ336" s="127"/>
      <c r="BA336" s="127"/>
      <c r="BB336" s="127"/>
      <c r="BC336" s="391"/>
      <c r="BI336" s="75"/>
      <c r="BJ336" s="91"/>
    </row>
    <row r="337" s="79" customFormat="1" ht="14.45" customHeight="1" spans="1:62">
      <c r="A337" s="79">
        <v>52</v>
      </c>
      <c r="C337" s="599" t="s">
        <v>69</v>
      </c>
      <c r="D337" s="79" t="s">
        <v>330</v>
      </c>
      <c r="E337" s="79" t="s">
        <v>92</v>
      </c>
      <c r="G337" s="486"/>
      <c r="H337" s="79" t="s">
        <v>93</v>
      </c>
      <c r="J337" s="579">
        <v>2280000</v>
      </c>
      <c r="K337" s="600"/>
      <c r="L337" s="194">
        <f>L334</f>
        <v>531012</v>
      </c>
      <c r="M337" s="194"/>
      <c r="N337" s="79">
        <f>N334</f>
        <v>531012</v>
      </c>
      <c r="P337" s="91"/>
      <c r="Q337" s="91"/>
      <c r="T337" s="463">
        <f>T334</f>
        <v>45698</v>
      </c>
      <c r="U337" s="463">
        <v>45736</v>
      </c>
      <c r="V337" s="463"/>
      <c r="X337" s="193"/>
      <c r="Y337" s="79">
        <f>Y334</f>
        <v>2320000</v>
      </c>
      <c r="Z337" s="192"/>
      <c r="AA337" s="192">
        <f>SUM(AA334:AA336)</f>
        <v>528602.123893805</v>
      </c>
      <c r="AB337" s="192">
        <f>AB334</f>
        <v>580000</v>
      </c>
      <c r="AC337" s="192">
        <f>AC334</f>
        <v>0</v>
      </c>
      <c r="AD337" s="196"/>
      <c r="AE337" s="192"/>
      <c r="AF337" s="192"/>
      <c r="AG337" s="192"/>
      <c r="AH337" s="192"/>
      <c r="AI337" s="91"/>
      <c r="AJ337" s="91"/>
      <c r="AM337" s="192">
        <f>SUM(AM334:AM335)</f>
        <v>531012</v>
      </c>
      <c r="AN337" s="192">
        <f>N337</f>
        <v>531012</v>
      </c>
      <c r="AO337" s="79">
        <f>AO334</f>
        <v>0</v>
      </c>
      <c r="AP337" s="91"/>
      <c r="AQ337" s="463"/>
      <c r="AR337" s="463"/>
      <c r="AS337" s="463"/>
      <c r="AT337" s="463"/>
      <c r="AW337" s="463"/>
      <c r="AX337" s="194"/>
      <c r="AY337" s="192"/>
      <c r="AZ337" s="150">
        <f>AZ334</f>
        <v>531012</v>
      </c>
      <c r="BA337" s="150">
        <f>BA334</f>
        <v>531012</v>
      </c>
      <c r="BB337" s="150"/>
      <c r="BC337" s="391">
        <f>BB337+BA337-AZ337</f>
        <v>0</v>
      </c>
      <c r="BI337" s="478" t="s">
        <v>60</v>
      </c>
      <c r="BJ337" s="91"/>
    </row>
    <row r="338" s="76" customFormat="1" customHeight="1" outlineLevel="1" spans="1:62">
      <c r="C338" s="387">
        <v>45693</v>
      </c>
      <c r="D338" s="76" t="s">
        <v>332</v>
      </c>
      <c r="E338" s="76" t="s">
        <v>333</v>
      </c>
      <c r="G338" s="586">
        <f>150000+244896+81468.96+6083.04</f>
        <v>482448</v>
      </c>
      <c r="H338" s="76" t="s">
        <v>93</v>
      </c>
      <c r="I338" s="79"/>
      <c r="J338" s="264">
        <v>2097600</v>
      </c>
      <c r="K338" s="129">
        <v>0.23</v>
      </c>
      <c r="L338" s="129">
        <f>K338*J338</f>
        <v>482448</v>
      </c>
      <c r="M338" s="114">
        <f>L338*0.3</f>
        <v>144734.4</v>
      </c>
      <c r="N338" s="76">
        <f>150000+244896+81468.96</f>
        <v>476364.96</v>
      </c>
      <c r="O338" s="114">
        <f>N338-L338</f>
        <v>-6083.03999999998</v>
      </c>
      <c r="R338" s="113" t="s">
        <v>148</v>
      </c>
      <c r="S338" s="76" t="s">
        <v>334</v>
      </c>
      <c r="T338" s="387">
        <v>45694</v>
      </c>
      <c r="U338" s="387">
        <v>45762</v>
      </c>
      <c r="V338" s="387"/>
      <c r="X338" s="133"/>
      <c r="Y338" s="264">
        <v>2097600</v>
      </c>
      <c r="Z338" s="129">
        <v>0.245</v>
      </c>
      <c r="AA338" s="129">
        <f>Z338*Y338</f>
        <v>513912</v>
      </c>
      <c r="AB338" s="76">
        <v>150000</v>
      </c>
      <c r="AC338" s="114">
        <v>363912</v>
      </c>
      <c r="AD338" s="140"/>
      <c r="AE338" s="114"/>
      <c r="AF338" s="114"/>
      <c r="AG338" s="114"/>
      <c r="AH338" s="114"/>
      <c r="AK338" s="76">
        <f>Y338</f>
        <v>2097600</v>
      </c>
      <c r="AL338" s="76">
        <v>0.23</v>
      </c>
      <c r="AM338" s="114">
        <f>AK338*AL338</f>
        <v>482448</v>
      </c>
      <c r="AN338" s="114">
        <f>N338</f>
        <v>476364.96</v>
      </c>
      <c r="AO338" s="141">
        <f>AM338-AN338</f>
        <v>6083.03999999998</v>
      </c>
      <c r="AQ338" s="387"/>
      <c r="AR338" s="387"/>
      <c r="AS338" s="387"/>
      <c r="AT338" s="387"/>
      <c r="AW338" s="387"/>
      <c r="AX338" s="264">
        <v>2097600</v>
      </c>
      <c r="AY338" s="114">
        <v>0.23</v>
      </c>
      <c r="AZ338" s="127">
        <f>AY338*AX338</f>
        <v>482448</v>
      </c>
      <c r="BA338" s="127"/>
      <c r="BB338" s="127">
        <v>476364.96</v>
      </c>
      <c r="BC338" s="391">
        <f>BB338+BA338-AZ338</f>
        <v>-6083.03999999998</v>
      </c>
      <c r="BI338" s="75"/>
    </row>
    <row r="339" s="76" customFormat="1" customHeight="1" outlineLevel="1" spans="1:62">
      <c r="C339" s="387"/>
      <c r="G339" s="586"/>
      <c r="I339" s="79"/>
      <c r="J339" s="264"/>
      <c r="K339" s="129"/>
      <c r="L339" s="129"/>
      <c r="M339" s="114"/>
      <c r="O339" s="114"/>
      <c r="R339" s="578" t="s">
        <v>95</v>
      </c>
      <c r="T339" s="387"/>
      <c r="U339" s="387"/>
      <c r="V339" s="387"/>
      <c r="X339" s="133"/>
      <c r="Z339" s="114"/>
      <c r="AA339" s="114">
        <f>-(AZ338*0.13/1.13)</f>
        <v>-55502.8672566372</v>
      </c>
      <c r="AC339" s="114"/>
      <c r="AD339" s="140"/>
      <c r="AE339" s="114"/>
      <c r="AF339" s="114"/>
      <c r="AG339" s="114"/>
      <c r="AH339" s="114"/>
      <c r="AK339" s="189"/>
      <c r="AM339" s="114"/>
      <c r="AN339" s="114"/>
      <c r="AO339" s="141"/>
      <c r="AQ339" s="387"/>
      <c r="AR339" s="387"/>
      <c r="AS339" s="387"/>
      <c r="AT339" s="387"/>
      <c r="AW339" s="387"/>
      <c r="AX339" s="264"/>
      <c r="AY339" s="114"/>
      <c r="AZ339" s="127"/>
      <c r="BA339" s="127"/>
      <c r="BB339" s="127"/>
      <c r="BC339" s="391"/>
      <c r="BI339" s="75"/>
    </row>
    <row r="340" s="76" customFormat="1" customHeight="1" outlineLevel="1" spans="1:62">
      <c r="C340" s="387"/>
      <c r="G340" s="586"/>
      <c r="I340" s="79"/>
      <c r="J340" s="264"/>
      <c r="K340" s="129"/>
      <c r="L340" s="129"/>
      <c r="M340" s="114"/>
      <c r="O340" s="114"/>
      <c r="R340" s="578"/>
      <c r="S340" s="578" t="s">
        <v>288</v>
      </c>
      <c r="T340" s="387"/>
      <c r="U340" s="387"/>
      <c r="V340" s="387"/>
      <c r="X340" s="133"/>
      <c r="Z340" s="114"/>
      <c r="AA340" s="114">
        <v>10800</v>
      </c>
      <c r="AC340" s="114"/>
      <c r="AD340" s="140"/>
      <c r="AE340" s="114"/>
      <c r="AF340" s="114"/>
      <c r="AG340" s="114"/>
      <c r="AH340" s="114"/>
      <c r="AK340" s="189"/>
      <c r="AM340" s="114"/>
      <c r="AN340" s="114"/>
      <c r="AO340" s="141"/>
      <c r="AQ340" s="387"/>
      <c r="AR340" s="387"/>
      <c r="AS340" s="387"/>
      <c r="AT340" s="387"/>
      <c r="AW340" s="387"/>
      <c r="AX340" s="264"/>
      <c r="AY340" s="114"/>
      <c r="AZ340" s="127"/>
      <c r="BA340" s="127"/>
      <c r="BB340" s="127"/>
      <c r="BC340" s="391"/>
      <c r="BI340" s="75"/>
    </row>
    <row r="341" s="79" customFormat="1" ht="14.45" customHeight="1" spans="1:62">
      <c r="A341" s="79">
        <v>53</v>
      </c>
      <c r="C341" s="463" t="s">
        <v>69</v>
      </c>
      <c r="D341" s="79" t="str">
        <f>D338</f>
        <v>TJTW-53</v>
      </c>
      <c r="E341" s="116" t="s">
        <v>333</v>
      </c>
      <c r="F341" s="79" t="s">
        <v>332</v>
      </c>
      <c r="G341" s="486"/>
      <c r="H341" s="79" t="s">
        <v>93</v>
      </c>
      <c r="J341" s="579">
        <f>J338</f>
        <v>2097600</v>
      </c>
      <c r="K341" s="194"/>
      <c r="L341" s="194">
        <f>L338</f>
        <v>482448</v>
      </c>
      <c r="M341" s="194"/>
      <c r="N341" s="79">
        <f>N338</f>
        <v>476364.96</v>
      </c>
      <c r="P341" s="91"/>
      <c r="Q341" s="91"/>
      <c r="T341" s="463">
        <f>T338</f>
        <v>45694</v>
      </c>
      <c r="U341" s="463">
        <f>U338</f>
        <v>45762</v>
      </c>
      <c r="V341" s="463"/>
      <c r="X341" s="193"/>
      <c r="Y341" s="79">
        <f>Y338</f>
        <v>2097600</v>
      </c>
      <c r="Z341" s="192"/>
      <c r="AA341" s="192">
        <f>AA338</f>
        <v>513912</v>
      </c>
      <c r="AB341" s="192">
        <f>AB338+AC338</f>
        <v>513912</v>
      </c>
      <c r="AC341" s="192">
        <f>AA341-AB341</f>
        <v>0</v>
      </c>
      <c r="AD341" s="196"/>
      <c r="AE341" s="192"/>
      <c r="AF341" s="192"/>
      <c r="AG341" s="192"/>
      <c r="AH341" s="192"/>
      <c r="AI341" s="91"/>
      <c r="AM341" s="192">
        <f>SUM(AM338:AM339)</f>
        <v>482448</v>
      </c>
      <c r="AN341" s="192">
        <f>N341</f>
        <v>476364.96</v>
      </c>
      <c r="AO341" s="79">
        <f>AO338</f>
        <v>6083.03999999998</v>
      </c>
      <c r="AP341" s="91"/>
      <c r="AQ341" s="463"/>
      <c r="AR341" s="463"/>
      <c r="AS341" s="463"/>
      <c r="AT341" s="463"/>
      <c r="AW341" s="463"/>
      <c r="AX341" s="194"/>
      <c r="AY341" s="192"/>
      <c r="AZ341" s="150">
        <f>AZ338</f>
        <v>482448</v>
      </c>
      <c r="BA341" s="150"/>
      <c r="BB341" s="150">
        <f>BB338</f>
        <v>476364.96</v>
      </c>
      <c r="BC341" s="391">
        <f>BB341+BA341-AZ341</f>
        <v>-6083.03999999998</v>
      </c>
      <c r="BI341" s="478" t="s">
        <v>60</v>
      </c>
      <c r="BJ341" s="91"/>
    </row>
    <row r="342" s="76" customFormat="1" customHeight="1" outlineLevel="1" spans="1:62">
      <c r="C342" s="387">
        <v>45727</v>
      </c>
      <c r="D342" s="76" t="s">
        <v>335</v>
      </c>
      <c r="E342" s="76" t="s">
        <v>336</v>
      </c>
      <c r="F342" s="76" t="s">
        <v>335</v>
      </c>
      <c r="G342" s="586">
        <f>441324.99+625054.31</f>
        <v>1066379.3</v>
      </c>
      <c r="H342" s="76" t="s">
        <v>93</v>
      </c>
      <c r="J342" s="76">
        <v>160</v>
      </c>
      <c r="K342" s="264">
        <v>6550</v>
      </c>
      <c r="L342" s="129">
        <f>K342*J342</f>
        <v>1048000</v>
      </c>
      <c r="M342" s="114">
        <f>L342*0.3</f>
        <v>314400</v>
      </c>
      <c r="N342" s="76">
        <f>441324.99+625054.31</f>
        <v>1066379.3</v>
      </c>
      <c r="O342" s="114">
        <f>N342-L342</f>
        <v>18379.3</v>
      </c>
      <c r="R342" s="76" t="s">
        <v>88</v>
      </c>
      <c r="S342" s="76" t="s">
        <v>337</v>
      </c>
      <c r="T342" s="387">
        <v>45723</v>
      </c>
      <c r="U342" s="387">
        <v>45795</v>
      </c>
      <c r="V342" s="387"/>
      <c r="X342" s="133"/>
      <c r="Y342" s="76">
        <v>162.806</v>
      </c>
      <c r="Z342" s="114">
        <v>6300</v>
      </c>
      <c r="AA342" s="114">
        <f>Z342*Y342</f>
        <v>1025677.8</v>
      </c>
      <c r="AB342" s="114">
        <f>36398.45+1000000</f>
        <v>1036398.45</v>
      </c>
      <c r="AC342" s="114">
        <f>AA342-AB342</f>
        <v>-10720.6499999999</v>
      </c>
      <c r="AD342" s="140"/>
      <c r="AE342" s="114"/>
      <c r="AF342" s="114"/>
      <c r="AG342" s="114"/>
      <c r="AH342" s="114"/>
      <c r="AK342" s="76">
        <v>162.806</v>
      </c>
      <c r="AL342" s="76">
        <v>6550</v>
      </c>
      <c r="AM342" s="114">
        <f>AK342*AL342</f>
        <v>1066379.3</v>
      </c>
      <c r="AN342" s="114">
        <f>441324.99+625054.31</f>
        <v>1066379.3</v>
      </c>
      <c r="AO342" s="141">
        <f>AM342-AN342</f>
        <v>0</v>
      </c>
      <c r="AQ342" s="387"/>
      <c r="AR342" s="387"/>
      <c r="AS342" s="387"/>
      <c r="AT342" s="387"/>
      <c r="AW342" s="387"/>
      <c r="AX342" s="76">
        <v>162.806</v>
      </c>
      <c r="AY342" s="76">
        <v>6550</v>
      </c>
      <c r="AZ342" s="114">
        <f>AX342*AY342</f>
        <v>1066379.3</v>
      </c>
      <c r="BA342" s="127">
        <v>1066379.3</v>
      </c>
      <c r="BB342" s="127"/>
      <c r="BC342" s="391">
        <f>BB342+BA342-AZ342</f>
        <v>0</v>
      </c>
      <c r="BI342" s="75"/>
    </row>
    <row r="343" s="76" customFormat="1" customHeight="1" outlineLevel="1" spans="1:62">
      <c r="C343" s="387"/>
      <c r="G343" s="586"/>
      <c r="K343" s="264"/>
      <c r="L343" s="129"/>
      <c r="M343" s="114"/>
      <c r="O343" s="114"/>
      <c r="S343" s="578" t="s">
        <v>288</v>
      </c>
      <c r="T343" s="387"/>
      <c r="U343" s="387"/>
      <c r="V343" s="387"/>
      <c r="X343" s="133"/>
      <c r="Z343" s="114"/>
      <c r="AA343" s="114">
        <v>22356</v>
      </c>
      <c r="AB343" s="114"/>
      <c r="AC343" s="114"/>
      <c r="AD343" s="140"/>
      <c r="AE343" s="114"/>
      <c r="AF343" s="114"/>
      <c r="AG343" s="114"/>
      <c r="AH343" s="114"/>
      <c r="AM343" s="114"/>
      <c r="AN343" s="114"/>
      <c r="AO343" s="141"/>
      <c r="AQ343" s="387"/>
      <c r="AR343" s="387"/>
      <c r="AS343" s="387"/>
      <c r="AT343" s="387"/>
      <c r="AW343" s="387"/>
      <c r="AZ343" s="114"/>
      <c r="BA343" s="127"/>
      <c r="BB343" s="127"/>
      <c r="BC343" s="391"/>
      <c r="BI343" s="75"/>
    </row>
    <row r="344" s="79" customFormat="1" ht="14.45" customHeight="1" spans="1:62">
      <c r="A344" s="79">
        <v>54</v>
      </c>
      <c r="C344" s="463" t="s">
        <v>69</v>
      </c>
      <c r="D344" s="79" t="s">
        <v>335</v>
      </c>
      <c r="E344" s="79" t="s">
        <v>336</v>
      </c>
      <c r="F344" s="79" t="s">
        <v>335</v>
      </c>
      <c r="G344" s="486"/>
      <c r="H344" s="79" t="s">
        <v>93</v>
      </c>
      <c r="J344" s="579">
        <v>160</v>
      </c>
      <c r="K344" s="194"/>
      <c r="L344" s="194">
        <f>L342</f>
        <v>1048000</v>
      </c>
      <c r="M344" s="194"/>
      <c r="N344" s="79">
        <f>N342</f>
        <v>1066379.3</v>
      </c>
      <c r="P344" s="91"/>
      <c r="Q344" s="91"/>
      <c r="T344" s="463">
        <f>T342</f>
        <v>45723</v>
      </c>
      <c r="U344" s="463">
        <f>U342</f>
        <v>45795</v>
      </c>
      <c r="V344" s="463"/>
      <c r="X344" s="193"/>
      <c r="Y344" s="79">
        <f>Y342</f>
        <v>162.806</v>
      </c>
      <c r="Z344" s="192"/>
      <c r="AA344" s="192">
        <f>AA342+AA343</f>
        <v>1048033.8</v>
      </c>
      <c r="AB344" s="192"/>
      <c r="AC344" s="192"/>
      <c r="AD344" s="196"/>
      <c r="AE344" s="192"/>
      <c r="AF344" s="192"/>
      <c r="AG344" s="192"/>
      <c r="AH344" s="192"/>
      <c r="AI344" s="91"/>
      <c r="AM344" s="192">
        <f>SUM(AM342)</f>
        <v>1066379.3</v>
      </c>
      <c r="AN344" s="192">
        <f>N344</f>
        <v>1066379.3</v>
      </c>
      <c r="AO344" s="192">
        <f>AO342</f>
        <v>0</v>
      </c>
      <c r="AP344" s="91"/>
      <c r="AQ344" s="463"/>
      <c r="AR344" s="463"/>
      <c r="AS344" s="463"/>
      <c r="AT344" s="463"/>
      <c r="AW344" s="463"/>
      <c r="AX344" s="194"/>
      <c r="AY344" s="192"/>
      <c r="AZ344" s="150"/>
      <c r="BA344" s="150"/>
      <c r="BB344" s="150"/>
      <c r="BC344" s="391">
        <f>BB344+BA344-AZ344</f>
        <v>0</v>
      </c>
      <c r="BI344" s="478" t="s">
        <v>60</v>
      </c>
      <c r="BJ344" s="91"/>
    </row>
    <row r="345" s="76" customFormat="1" customHeight="1" outlineLevel="1" spans="1:62">
      <c r="A345" s="76" t="s">
        <v>338</v>
      </c>
      <c r="C345" s="387">
        <v>45700</v>
      </c>
      <c r="D345" s="76" t="s">
        <v>339</v>
      </c>
      <c r="E345" s="76" t="s">
        <v>340</v>
      </c>
      <c r="F345" s="76" t="s">
        <v>339</v>
      </c>
      <c r="G345" s="586">
        <f>770000+29767</f>
        <v>799767</v>
      </c>
      <c r="H345" s="76" t="s">
        <v>93</v>
      </c>
      <c r="I345" s="84"/>
      <c r="J345" s="129">
        <v>100</v>
      </c>
      <c r="K345" s="129">
        <v>6500</v>
      </c>
      <c r="L345" s="129">
        <f>K345*J345</f>
        <v>650000</v>
      </c>
      <c r="M345" s="114">
        <f>L345*0.3</f>
        <v>195000</v>
      </c>
      <c r="N345" s="76">
        <v>770000</v>
      </c>
      <c r="O345" s="114">
        <f>N345-L345</f>
        <v>120000</v>
      </c>
      <c r="P345" s="91"/>
      <c r="Q345" s="91"/>
      <c r="R345" s="76" t="s">
        <v>88</v>
      </c>
      <c r="S345" s="76" t="s">
        <v>341</v>
      </c>
      <c r="T345" s="387">
        <v>45700</v>
      </c>
      <c r="U345" s="387">
        <v>45772</v>
      </c>
      <c r="V345" s="387"/>
      <c r="X345" s="133"/>
      <c r="Y345" s="76">
        <v>100</v>
      </c>
      <c r="Z345" s="114">
        <v>6500</v>
      </c>
      <c r="AA345" s="114">
        <f>Z345*Y345</f>
        <v>650000</v>
      </c>
      <c r="AB345" s="114"/>
      <c r="AC345" s="114"/>
      <c r="AD345" s="140"/>
      <c r="AE345" s="114"/>
      <c r="AF345" s="114"/>
      <c r="AG345" s="114"/>
      <c r="AH345" s="114"/>
      <c r="AI345" s="91"/>
      <c r="AK345" s="76">
        <v>119</v>
      </c>
      <c r="AL345" s="76">
        <v>6500</v>
      </c>
      <c r="AM345" s="114">
        <f>AL345*AK345</f>
        <v>773500</v>
      </c>
      <c r="AN345" s="114">
        <f>N345</f>
        <v>770000</v>
      </c>
      <c r="AO345" s="141">
        <f>AM345-AN345</f>
        <v>3500</v>
      </c>
      <c r="AP345" s="91"/>
      <c r="AQ345" s="387"/>
      <c r="AR345" s="387"/>
      <c r="AS345" s="387"/>
      <c r="AT345" s="387"/>
      <c r="AW345" s="387"/>
      <c r="AX345" s="129"/>
      <c r="AY345" s="114"/>
      <c r="AZ345" s="127"/>
      <c r="BA345" s="127"/>
      <c r="BB345" s="127"/>
      <c r="BC345" s="127"/>
      <c r="BI345" s="75"/>
      <c r="BJ345" s="91"/>
    </row>
    <row r="346" s="224" customFormat="1" customHeight="1" outlineLevel="1" spans="1:62">
      <c r="C346" s="385"/>
      <c r="E346" s="224" t="s">
        <v>342</v>
      </c>
      <c r="G346" s="601"/>
      <c r="I346" s="84"/>
      <c r="J346" s="337"/>
      <c r="K346" s="337"/>
      <c r="L346" s="337"/>
      <c r="M346" s="383"/>
      <c r="O346" s="383"/>
      <c r="P346" s="102"/>
      <c r="Q346" s="102"/>
      <c r="S346" s="224" t="s">
        <v>183</v>
      </c>
      <c r="T346" s="385"/>
      <c r="U346" s="385"/>
      <c r="V346" s="385"/>
      <c r="X346" s="602"/>
      <c r="Y346" s="224">
        <v>58.443</v>
      </c>
      <c r="Z346" s="383">
        <v>2400</v>
      </c>
      <c r="AA346" s="114">
        <f>Z346*Y346</f>
        <v>140263.2</v>
      </c>
      <c r="AB346" s="383"/>
      <c r="AC346" s="383"/>
      <c r="AD346" s="603"/>
      <c r="AE346" s="383"/>
      <c r="AF346" s="383"/>
      <c r="AG346" s="383"/>
      <c r="AH346" s="383"/>
      <c r="AI346" s="91"/>
      <c r="AK346" s="224">
        <v>58.443</v>
      </c>
      <c r="AM346" s="383"/>
      <c r="AN346" s="383"/>
      <c r="AO346" s="141">
        <f>AM346-AN346</f>
        <v>0</v>
      </c>
      <c r="AP346" s="91"/>
      <c r="AQ346" s="385"/>
      <c r="AR346" s="385"/>
      <c r="AS346" s="385"/>
      <c r="AT346" s="385"/>
      <c r="AW346" s="385"/>
      <c r="AX346" s="337">
        <v>58.443</v>
      </c>
      <c r="AY346" s="383">
        <v>6750</v>
      </c>
      <c r="AZ346" s="127">
        <f>AY346*AX346</f>
        <v>394490.25</v>
      </c>
      <c r="BA346" s="224">
        <f>770000/112.424*AX346</f>
        <v>400280.278232406</v>
      </c>
      <c r="BB346" s="350"/>
      <c r="BC346" s="391">
        <f>BB346+BA346-AZ346</f>
        <v>5790.02823240589</v>
      </c>
      <c r="BI346" s="294"/>
      <c r="BJ346" s="102"/>
    </row>
    <row r="347" s="224" customFormat="1" customHeight="1" outlineLevel="1" spans="1:62">
      <c r="C347" s="385"/>
      <c r="E347" s="224" t="s">
        <v>343</v>
      </c>
      <c r="G347" s="601"/>
      <c r="I347" s="84"/>
      <c r="J347" s="337"/>
      <c r="K347" s="337"/>
      <c r="L347" s="337"/>
      <c r="M347" s="383"/>
      <c r="O347" s="383"/>
      <c r="P347" s="102"/>
      <c r="Q347" s="102"/>
      <c r="S347" s="224" t="s">
        <v>183</v>
      </c>
      <c r="T347" s="385"/>
      <c r="U347" s="385"/>
      <c r="V347" s="385"/>
      <c r="X347" s="602"/>
      <c r="Y347" s="224">
        <v>60.041</v>
      </c>
      <c r="Z347" s="383">
        <v>2400</v>
      </c>
      <c r="AA347" s="114">
        <f>Z347*Y347</f>
        <v>144098.4</v>
      </c>
      <c r="AB347" s="383"/>
      <c r="AC347" s="383"/>
      <c r="AD347" s="603"/>
      <c r="AE347" s="383"/>
      <c r="AF347" s="383"/>
      <c r="AG347" s="383"/>
      <c r="AH347" s="383"/>
      <c r="AI347" s="91"/>
      <c r="AK347" s="224">
        <v>60.041</v>
      </c>
      <c r="AM347" s="383"/>
      <c r="AN347" s="383"/>
      <c r="AO347" s="141">
        <f>AM347-AN347</f>
        <v>0</v>
      </c>
      <c r="AP347" s="91"/>
      <c r="AQ347" s="385"/>
      <c r="AR347" s="385"/>
      <c r="AS347" s="385"/>
      <c r="AT347" s="385"/>
      <c r="AW347" s="385"/>
      <c r="AX347" s="337">
        <v>53.981</v>
      </c>
      <c r="AY347" s="383">
        <v>6750</v>
      </c>
      <c r="AZ347" s="127">
        <f>AY347*AX347</f>
        <v>364371.75</v>
      </c>
      <c r="BA347" s="224">
        <f>770000/112.424*AX347</f>
        <v>369719.721767594</v>
      </c>
      <c r="BB347" s="350"/>
      <c r="BC347" s="391">
        <f>BB347+BA347-AZ347</f>
        <v>5347.97176759411</v>
      </c>
      <c r="BI347" s="294"/>
      <c r="BJ347" s="102"/>
    </row>
    <row r="348" s="224" customFormat="1" customHeight="1" outlineLevel="1" spans="1:62">
      <c r="C348" s="385"/>
      <c r="D348" s="224" t="s">
        <v>344</v>
      </c>
      <c r="E348" s="224" t="s">
        <v>343</v>
      </c>
      <c r="G348" s="601"/>
      <c r="I348" s="84"/>
      <c r="J348" s="337"/>
      <c r="K348" s="337"/>
      <c r="L348" s="337"/>
      <c r="M348" s="383"/>
      <c r="O348" s="383"/>
      <c r="P348" s="102"/>
      <c r="Q348" s="102"/>
      <c r="S348" s="578" t="s">
        <v>288</v>
      </c>
      <c r="T348" s="385"/>
      <c r="U348" s="385"/>
      <c r="V348" s="385"/>
      <c r="X348" s="602"/>
      <c r="Z348" s="383"/>
      <c r="AA348" s="383">
        <v>18708.2885258978</v>
      </c>
      <c r="AB348" s="383"/>
      <c r="AC348" s="383"/>
      <c r="AD348" s="603"/>
      <c r="AE348" s="383"/>
      <c r="AF348" s="383"/>
      <c r="AG348" s="383"/>
      <c r="AH348" s="383"/>
      <c r="AI348" s="91"/>
      <c r="AM348" s="383"/>
      <c r="AN348" s="383"/>
      <c r="AO348" s="604"/>
      <c r="AP348" s="91"/>
      <c r="AQ348" s="385"/>
      <c r="AR348" s="385"/>
      <c r="AS348" s="385"/>
      <c r="AT348" s="385"/>
      <c r="AW348" s="385"/>
      <c r="AX348" s="337">
        <v>6.06</v>
      </c>
      <c r="AY348" s="383">
        <v>6750</v>
      </c>
      <c r="AZ348" s="127">
        <f>AY348*AX348</f>
        <v>40905</v>
      </c>
      <c r="BB348" s="350"/>
      <c r="BC348" s="391"/>
      <c r="BI348" s="294"/>
      <c r="BJ348" s="102"/>
    </row>
    <row r="349" s="83" customFormat="1" ht="14.45" customHeight="1" spans="1:62">
      <c r="A349" s="83" t="s">
        <v>338</v>
      </c>
      <c r="C349" s="605" t="s">
        <v>69</v>
      </c>
      <c r="D349" s="83" t="s">
        <v>339</v>
      </c>
      <c r="E349" s="83" t="str">
        <f>E345</f>
        <v>0.17*818*coil 2.8/2.8 T4BA</v>
      </c>
      <c r="F349" s="83" t="s">
        <v>339</v>
      </c>
      <c r="G349" s="606"/>
      <c r="H349" s="83" t="str">
        <f>H345</f>
        <v>TW</v>
      </c>
      <c r="I349" s="84"/>
      <c r="J349" s="235">
        <f>J345</f>
        <v>100</v>
      </c>
      <c r="K349" s="235"/>
      <c r="L349" s="235">
        <f>L345</f>
        <v>650000</v>
      </c>
      <c r="M349" s="235"/>
      <c r="N349" s="83">
        <f>N345</f>
        <v>770000</v>
      </c>
      <c r="P349" s="102"/>
      <c r="Q349" s="102"/>
      <c r="T349" s="605">
        <f>T345</f>
        <v>45700</v>
      </c>
      <c r="U349" s="605">
        <f>U345</f>
        <v>45772</v>
      </c>
      <c r="V349" s="605"/>
      <c r="X349" s="232"/>
      <c r="Y349" s="83">
        <f>SUM(Y346:Y347)</f>
        <v>118.484</v>
      </c>
      <c r="Z349" s="219"/>
      <c r="AA349" s="219">
        <f>SUM(AA345:AA348)</f>
        <v>953069.888525898</v>
      </c>
      <c r="AB349" s="219"/>
      <c r="AC349" s="219"/>
      <c r="AD349" s="234"/>
      <c r="AE349" s="219"/>
      <c r="AF349" s="219"/>
      <c r="AG349" s="219"/>
      <c r="AH349" s="219"/>
      <c r="AI349" s="91"/>
      <c r="AM349" s="219">
        <f>SUM(AM345:AM347)</f>
        <v>773500</v>
      </c>
      <c r="AN349" s="192">
        <f>N349</f>
        <v>770000</v>
      </c>
      <c r="AO349" s="83">
        <f>SUM(AO345:AO347)</f>
        <v>3500</v>
      </c>
      <c r="AP349" s="91"/>
      <c r="AQ349" s="605"/>
      <c r="AR349" s="605"/>
      <c r="AS349" s="605"/>
      <c r="AT349" s="605"/>
      <c r="AW349" s="605"/>
      <c r="AX349" s="235">
        <f>SUM(AX346:AX348)</f>
        <v>118.484</v>
      </c>
      <c r="AY349" s="219"/>
      <c r="AZ349" s="235">
        <f>SUM(AZ346:AZ348)</f>
        <v>799767</v>
      </c>
      <c r="BA349" s="236">
        <f>SUM(BA346:BA347)</f>
        <v>770000</v>
      </c>
      <c r="BB349" s="236">
        <f>SUM(BB346:BB347)</f>
        <v>0</v>
      </c>
      <c r="BC349" s="391">
        <f>BB349+BA349-AZ349</f>
        <v>-29767</v>
      </c>
      <c r="BI349" s="478" t="s">
        <v>60</v>
      </c>
      <c r="BJ349" s="102"/>
    </row>
    <row r="350" s="76" customFormat="1" ht="12" customHeight="1" outlineLevel="1" spans="1:62">
      <c r="A350" s="76" t="s">
        <v>338</v>
      </c>
      <c r="C350" s="387"/>
      <c r="D350" s="76" t="s">
        <v>345</v>
      </c>
      <c r="E350" s="76" t="s">
        <v>346</v>
      </c>
      <c r="G350" s="586">
        <f>182952+1355.2</f>
        <v>184307.2</v>
      </c>
      <c r="H350" s="76" t="s">
        <v>93</v>
      </c>
      <c r="J350" s="129">
        <v>25</v>
      </c>
      <c r="K350" s="129">
        <v>6500</v>
      </c>
      <c r="L350" s="129">
        <f>J350*K350</f>
        <v>162500</v>
      </c>
      <c r="M350" s="129">
        <f>L350*0.3</f>
        <v>48750</v>
      </c>
      <c r="N350" s="76">
        <v>182952</v>
      </c>
      <c r="O350" s="114">
        <f>N350-L350</f>
        <v>20452</v>
      </c>
      <c r="P350" s="91"/>
      <c r="Q350" s="91"/>
      <c r="R350" s="76" t="s">
        <v>88</v>
      </c>
      <c r="S350" s="76" t="s">
        <v>347</v>
      </c>
      <c r="T350" s="387">
        <v>45715</v>
      </c>
      <c r="U350" s="387">
        <v>45802</v>
      </c>
      <c r="V350" s="387"/>
      <c r="X350" s="133"/>
      <c r="Y350" s="76">
        <v>27.104</v>
      </c>
      <c r="Z350" s="114">
        <v>6500</v>
      </c>
      <c r="AA350" s="114">
        <f>Z350*Y350</f>
        <v>176176</v>
      </c>
      <c r="AB350" s="114">
        <v>176176</v>
      </c>
      <c r="AC350" s="114"/>
      <c r="AD350" s="140"/>
      <c r="AE350" s="114"/>
      <c r="AF350" s="114"/>
      <c r="AG350" s="114"/>
      <c r="AH350" s="114"/>
      <c r="AI350" s="91"/>
      <c r="AK350" s="76">
        <v>27.104</v>
      </c>
      <c r="AL350" s="76">
        <v>6750</v>
      </c>
      <c r="AM350" s="114">
        <f>AL350*AK350</f>
        <v>182952</v>
      </c>
      <c r="AN350" s="114">
        <f>N350</f>
        <v>182952</v>
      </c>
      <c r="AO350" s="141">
        <f>AM350-AN350</f>
        <v>0</v>
      </c>
      <c r="AP350" s="91"/>
      <c r="AQ350" s="387"/>
      <c r="AR350" s="387"/>
      <c r="AS350" s="387"/>
      <c r="AT350" s="387"/>
      <c r="AW350" s="387"/>
      <c r="AX350" s="129">
        <v>27.104</v>
      </c>
      <c r="AY350" s="114">
        <v>6800</v>
      </c>
      <c r="AZ350" s="127">
        <f>AY350*AX350</f>
        <v>184307.2</v>
      </c>
      <c r="BA350" s="127">
        <v>182952</v>
      </c>
      <c r="BB350" s="127"/>
      <c r="BC350" s="127"/>
      <c r="BI350" s="75"/>
      <c r="BJ350" s="91"/>
    </row>
    <row r="351" s="76" customFormat="1" ht="12" customHeight="1" outlineLevel="1" spans="1:62">
      <c r="C351" s="387"/>
      <c r="G351" s="586"/>
      <c r="J351" s="129"/>
      <c r="K351" s="129"/>
      <c r="L351" s="129"/>
      <c r="M351" s="129"/>
      <c r="O351" s="114"/>
      <c r="P351" s="91"/>
      <c r="Q351" s="91"/>
      <c r="S351" s="578" t="s">
        <v>288</v>
      </c>
      <c r="T351" s="387"/>
      <c r="U351" s="387"/>
      <c r="V351" s="387"/>
      <c r="X351" s="133"/>
      <c r="Z351" s="114"/>
      <c r="AA351" s="114">
        <v>4881</v>
      </c>
      <c r="AB351" s="114"/>
      <c r="AC351" s="114"/>
      <c r="AD351" s="140"/>
      <c r="AE351" s="114"/>
      <c r="AF351" s="114"/>
      <c r="AG351" s="114"/>
      <c r="AH351" s="114"/>
      <c r="AI351" s="91"/>
      <c r="AM351" s="114"/>
      <c r="AN351" s="114"/>
      <c r="AO351" s="141"/>
      <c r="AP351" s="91"/>
      <c r="AQ351" s="387"/>
      <c r="AR351" s="387"/>
      <c r="AS351" s="387"/>
      <c r="AT351" s="387"/>
      <c r="AW351" s="387"/>
      <c r="AX351" s="129"/>
      <c r="AY351" s="114"/>
      <c r="AZ351" s="127"/>
      <c r="BA351" s="127"/>
      <c r="BB351" s="127"/>
      <c r="BC351" s="127"/>
      <c r="BI351" s="75"/>
      <c r="BJ351" s="91"/>
    </row>
    <row r="352" s="79" customFormat="1" ht="14.45" customHeight="1" spans="1:62">
      <c r="A352" s="79" t="s">
        <v>338</v>
      </c>
      <c r="C352" s="463" t="s">
        <v>69</v>
      </c>
      <c r="D352" s="79" t="s">
        <v>345</v>
      </c>
      <c r="E352" s="79" t="s">
        <v>346</v>
      </c>
      <c r="G352" s="486"/>
      <c r="J352" s="194">
        <v>25</v>
      </c>
      <c r="K352" s="194">
        <f>K350</f>
        <v>6500</v>
      </c>
      <c r="L352" s="194">
        <f>L350</f>
        <v>162500</v>
      </c>
      <c r="M352" s="194"/>
      <c r="N352" s="79">
        <f>N350</f>
        <v>182952</v>
      </c>
      <c r="P352" s="91"/>
      <c r="Q352" s="91"/>
      <c r="T352" s="463">
        <f>T350</f>
        <v>45715</v>
      </c>
      <c r="U352" s="463">
        <f>U350</f>
        <v>45802</v>
      </c>
      <c r="V352" s="463"/>
      <c r="X352" s="193"/>
      <c r="Z352" s="192"/>
      <c r="AA352" s="192">
        <f>SUM(AA350:AA351)</f>
        <v>181057</v>
      </c>
      <c r="AB352" s="192"/>
      <c r="AC352" s="192"/>
      <c r="AD352" s="196"/>
      <c r="AE352" s="192"/>
      <c r="AF352" s="192"/>
      <c r="AG352" s="192"/>
      <c r="AH352" s="192"/>
      <c r="AI352" s="91"/>
      <c r="AM352" s="192">
        <f>SUM(AM350)</f>
        <v>182952</v>
      </c>
      <c r="AN352" s="192">
        <f>N352</f>
        <v>182952</v>
      </c>
      <c r="AO352" s="79">
        <f>AO350</f>
        <v>0</v>
      </c>
      <c r="AP352" s="91"/>
      <c r="AQ352" s="463" t="s">
        <v>348</v>
      </c>
      <c r="AR352" s="463"/>
      <c r="AS352" s="463"/>
      <c r="AT352" s="463" t="s">
        <v>349</v>
      </c>
      <c r="AU352" s="79">
        <v>1066225847</v>
      </c>
      <c r="AV352" s="79">
        <v>1</v>
      </c>
      <c r="AW352" s="463" t="s">
        <v>90</v>
      </c>
      <c r="AX352" s="194">
        <f>AX350</f>
        <v>27.104</v>
      </c>
      <c r="AY352" s="192"/>
      <c r="AZ352" s="150">
        <f>AZ350</f>
        <v>184307.2</v>
      </c>
      <c r="BA352" s="150">
        <f>BA350</f>
        <v>182952</v>
      </c>
      <c r="BB352" s="150"/>
      <c r="BC352" s="391">
        <f>BB352+BA352-AZ352</f>
        <v>-1355.19999999998</v>
      </c>
      <c r="BI352" s="478" t="s">
        <v>60</v>
      </c>
      <c r="BJ352" s="91"/>
    </row>
    <row r="353" s="76" customFormat="1" customHeight="1" outlineLevel="1" spans="1:62">
      <c r="C353" s="387">
        <v>45720</v>
      </c>
      <c r="D353" s="76" t="s">
        <v>350</v>
      </c>
      <c r="E353" s="76" t="s">
        <v>351</v>
      </c>
      <c r="F353" s="76" t="s">
        <v>350</v>
      </c>
      <c r="G353" s="586">
        <f>580000</f>
        <v>580000</v>
      </c>
      <c r="H353" s="76" t="s">
        <v>93</v>
      </c>
      <c r="I353" s="84"/>
      <c r="J353" s="129">
        <v>2280000</v>
      </c>
      <c r="K353" s="373">
        <v>0.2329</v>
      </c>
      <c r="L353" s="129">
        <f>K353*J353</f>
        <v>531012</v>
      </c>
      <c r="M353" s="114">
        <f>L353*0.3</f>
        <v>159303.6</v>
      </c>
      <c r="N353" s="76">
        <v>580000</v>
      </c>
      <c r="O353" s="114">
        <f>N353-L353</f>
        <v>48988</v>
      </c>
      <c r="P353" s="91"/>
      <c r="Q353" s="91"/>
      <c r="R353" s="76" t="s">
        <v>88</v>
      </c>
      <c r="S353" s="76" t="s">
        <v>352</v>
      </c>
      <c r="T353" s="387">
        <v>45721</v>
      </c>
      <c r="U353" s="387">
        <v>45767</v>
      </c>
      <c r="V353" s="387"/>
      <c r="X353" s="133"/>
      <c r="Y353" s="76">
        <v>2320000</v>
      </c>
      <c r="Z353" s="114">
        <v>0.25</v>
      </c>
      <c r="AA353" s="114">
        <f>Z353*Y353</f>
        <v>580000</v>
      </c>
      <c r="AB353" s="114">
        <v>580000</v>
      </c>
      <c r="AC353" s="114">
        <f>AA353-AB353</f>
        <v>0</v>
      </c>
      <c r="AD353" s="140"/>
      <c r="AE353" s="114"/>
      <c r="AF353" s="114"/>
      <c r="AG353" s="114"/>
      <c r="AH353" s="114"/>
      <c r="AI353" s="91"/>
      <c r="AK353" s="76">
        <v>2360000</v>
      </c>
      <c r="AL353" s="76">
        <v>0.2329</v>
      </c>
      <c r="AM353" s="114">
        <f>AL353*AK353</f>
        <v>549644</v>
      </c>
      <c r="AN353" s="114">
        <f>N353</f>
        <v>580000</v>
      </c>
      <c r="AO353" s="141">
        <f>AM353-AN353</f>
        <v>-30356</v>
      </c>
      <c r="AP353" s="91"/>
      <c r="AQ353" s="387"/>
      <c r="AR353" s="387"/>
      <c r="AS353" s="387"/>
      <c r="AT353" s="387"/>
      <c r="AW353" s="387"/>
      <c r="AX353" s="264">
        <v>2360000</v>
      </c>
      <c r="AY353" s="263">
        <v>0.2329</v>
      </c>
      <c r="AZ353" s="127">
        <f>AY353*AX353</f>
        <v>549644</v>
      </c>
      <c r="BA353" s="127">
        <v>549644</v>
      </c>
      <c r="BB353" s="127"/>
      <c r="BC353" s="391">
        <f>BB353+BA353-AZ353</f>
        <v>0</v>
      </c>
      <c r="BI353" s="75"/>
      <c r="BJ353" s="91"/>
    </row>
    <row r="354" s="76" customFormat="1" ht="14.45" customHeight="1" outlineLevel="1" spans="1:62">
      <c r="C354" s="387"/>
      <c r="G354" s="601"/>
      <c r="I354" s="84"/>
      <c r="J354" s="129"/>
      <c r="K354" s="373"/>
      <c r="L354" s="129"/>
      <c r="M354" s="114"/>
      <c r="O354" s="114"/>
      <c r="P354" s="91"/>
      <c r="Q354" s="91"/>
      <c r="R354" s="578" t="s">
        <v>95</v>
      </c>
      <c r="T354" s="387"/>
      <c r="U354" s="387"/>
      <c r="V354" s="387"/>
      <c r="X354" s="133"/>
      <c r="Z354" s="114"/>
      <c r="AA354" s="114">
        <f>-(AZ353*0.13/1.13)</f>
        <v>-63233.3805309735</v>
      </c>
      <c r="AB354" s="114"/>
      <c r="AC354" s="114"/>
      <c r="AD354" s="140"/>
      <c r="AE354" s="114"/>
      <c r="AF354" s="114"/>
      <c r="AG354" s="114"/>
      <c r="AH354" s="114"/>
      <c r="AI354" s="91"/>
      <c r="AK354" s="189"/>
      <c r="AM354" s="114"/>
      <c r="AN354" s="114"/>
      <c r="AO354" s="141"/>
      <c r="AP354" s="91"/>
      <c r="AQ354" s="387"/>
      <c r="AR354" s="387"/>
      <c r="AS354" s="387"/>
      <c r="AT354" s="387"/>
      <c r="AW354" s="387"/>
      <c r="AX354" s="264"/>
      <c r="AY354" s="263"/>
      <c r="AZ354" s="127"/>
      <c r="BA354" s="127"/>
      <c r="BB354" s="127"/>
      <c r="BC354" s="391"/>
      <c r="BI354" s="75"/>
      <c r="BJ354" s="91"/>
    </row>
    <row r="355" s="76" customFormat="1" ht="14.45" customHeight="1" outlineLevel="1" spans="1:62">
      <c r="C355" s="387"/>
      <c r="G355" s="601"/>
      <c r="I355" s="84"/>
      <c r="J355" s="129"/>
      <c r="K355" s="373"/>
      <c r="L355" s="129"/>
      <c r="M355" s="114"/>
      <c r="O355" s="114"/>
      <c r="P355" s="91"/>
      <c r="Q355" s="91"/>
      <c r="R355" s="578"/>
      <c r="S355" s="578" t="s">
        <v>288</v>
      </c>
      <c r="T355" s="387"/>
      <c r="U355" s="387"/>
      <c r="V355" s="387"/>
      <c r="X355" s="133"/>
      <c r="Z355" s="114"/>
      <c r="AA355" s="114">
        <v>7044.80294244191</v>
      </c>
      <c r="AB355" s="114"/>
      <c r="AC355" s="114"/>
      <c r="AD355" s="140"/>
      <c r="AE355" s="114"/>
      <c r="AF355" s="114"/>
      <c r="AG355" s="114"/>
      <c r="AH355" s="114"/>
      <c r="AI355" s="91"/>
      <c r="AK355" s="189"/>
      <c r="AM355" s="114"/>
      <c r="AN355" s="114"/>
      <c r="AO355" s="141"/>
      <c r="AP355" s="91"/>
      <c r="AQ355" s="387"/>
      <c r="AR355" s="387"/>
      <c r="AS355" s="387"/>
      <c r="AT355" s="387"/>
      <c r="AW355" s="387"/>
      <c r="AX355" s="264"/>
      <c r="AY355" s="263"/>
      <c r="AZ355" s="127"/>
      <c r="BA355" s="127"/>
      <c r="BB355" s="127"/>
      <c r="BC355" s="391"/>
      <c r="BI355" s="75"/>
      <c r="BJ355" s="91"/>
    </row>
    <row r="356" s="79" customFormat="1" ht="14.45" customHeight="1" spans="1:62">
      <c r="A356" s="79" t="s">
        <v>338</v>
      </c>
      <c r="C356" s="463" t="s">
        <v>69</v>
      </c>
      <c r="D356" s="79" t="s">
        <v>350</v>
      </c>
      <c r="E356" s="79" t="str">
        <f>E353</f>
        <v>EOE.99.8mm 0.21 #401</v>
      </c>
      <c r="F356" s="79" t="str">
        <f>F353</f>
        <v>TJTW-57</v>
      </c>
      <c r="G356" s="606"/>
      <c r="H356" s="79" t="str">
        <f>H353</f>
        <v>TW</v>
      </c>
      <c r="I356" s="84"/>
      <c r="J356" s="194">
        <f>J353</f>
        <v>2280000</v>
      </c>
      <c r="K356" s="194"/>
      <c r="L356" s="194">
        <f>L353</f>
        <v>531012</v>
      </c>
      <c r="M356" s="194"/>
      <c r="N356" s="79">
        <f>N353</f>
        <v>580000</v>
      </c>
      <c r="O356" s="192">
        <f>O354</f>
        <v>0</v>
      </c>
      <c r="P356" s="91"/>
      <c r="Q356" s="91"/>
      <c r="T356" s="463">
        <f>T353</f>
        <v>45721</v>
      </c>
      <c r="U356" s="463">
        <f>U353</f>
        <v>45767</v>
      </c>
      <c r="V356" s="463"/>
      <c r="X356" s="193"/>
      <c r="Y356" s="79">
        <f>Y353</f>
        <v>2320000</v>
      </c>
      <c r="Z356" s="192"/>
      <c r="AA356" s="192">
        <f>AA353</f>
        <v>580000</v>
      </c>
      <c r="AB356" s="192"/>
      <c r="AC356" s="192">
        <f>AC353</f>
        <v>0</v>
      </c>
      <c r="AD356" s="196"/>
      <c r="AE356" s="192"/>
      <c r="AF356" s="192"/>
      <c r="AG356" s="192"/>
      <c r="AH356" s="192"/>
      <c r="AI356" s="91"/>
      <c r="AM356" s="192">
        <f>SUM(AM353:AM354)</f>
        <v>549644</v>
      </c>
      <c r="AN356" s="192">
        <f>N356</f>
        <v>580000</v>
      </c>
      <c r="AO356" s="79">
        <f>AO353</f>
        <v>-30356</v>
      </c>
      <c r="AP356" s="91"/>
      <c r="AQ356" s="463"/>
      <c r="AR356" s="463"/>
      <c r="AS356" s="463"/>
      <c r="AT356" s="463"/>
      <c r="AW356" s="463"/>
      <c r="AX356" s="194"/>
      <c r="AY356" s="192"/>
      <c r="AZ356" s="150">
        <f>AZ353</f>
        <v>549644</v>
      </c>
      <c r="BA356" s="150">
        <f>BA353</f>
        <v>549644</v>
      </c>
      <c r="BB356" s="150"/>
      <c r="BC356" s="391">
        <f>BB356+BA356-AZ356</f>
        <v>0</v>
      </c>
      <c r="BI356" s="478" t="s">
        <v>60</v>
      </c>
      <c r="BJ356" s="91"/>
    </row>
    <row r="357" s="76" customFormat="1" customHeight="1" outlineLevel="1" spans="1:62">
      <c r="A357" s="76" t="s">
        <v>338</v>
      </c>
      <c r="C357" s="387">
        <v>45749</v>
      </c>
      <c r="D357" s="76" t="s">
        <v>353</v>
      </c>
      <c r="E357" s="76" t="s">
        <v>351</v>
      </c>
      <c r="F357" s="76" t="s">
        <v>350</v>
      </c>
      <c r="G357" s="586">
        <f>500656+30356+9136</f>
        <v>540148</v>
      </c>
      <c r="H357" s="76" t="s">
        <v>93</v>
      </c>
      <c r="I357" s="84"/>
      <c r="J357" s="129">
        <v>2280000</v>
      </c>
      <c r="K357" s="373">
        <v>0.2329</v>
      </c>
      <c r="L357" s="129">
        <f>K357*J357</f>
        <v>531012</v>
      </c>
      <c r="M357" s="114">
        <f>L357*0.3</f>
        <v>159303.6</v>
      </c>
      <c r="N357" s="76">
        <f>30356+500656+9316</f>
        <v>540328</v>
      </c>
      <c r="O357" s="114">
        <f>N357-L357</f>
        <v>9316</v>
      </c>
      <c r="R357" s="76" t="s">
        <v>88</v>
      </c>
      <c r="S357" s="76" t="s">
        <v>354</v>
      </c>
      <c r="T357" s="387">
        <v>45749</v>
      </c>
      <c r="U357" s="387"/>
      <c r="V357" s="387"/>
      <c r="X357" s="133"/>
      <c r="Y357" s="76">
        <v>2320000</v>
      </c>
      <c r="Z357" s="114">
        <v>0.25</v>
      </c>
      <c r="AA357" s="114">
        <f>Z357*Y357</f>
        <v>580000</v>
      </c>
      <c r="AB357" s="114">
        <f>199000+266947.54+114052.46</f>
        <v>580000</v>
      </c>
      <c r="AC357" s="114">
        <f>AA357-AB357</f>
        <v>0</v>
      </c>
      <c r="AD357" s="140"/>
      <c r="AE357" s="114"/>
      <c r="AF357" s="114"/>
      <c r="AG357" s="114"/>
      <c r="AH357" s="114"/>
      <c r="AK357" s="264">
        <v>2320000</v>
      </c>
      <c r="AL357" s="373">
        <v>0.2329</v>
      </c>
      <c r="AM357" s="129">
        <f>AL357*AK357</f>
        <v>540328</v>
      </c>
      <c r="AN357" s="114">
        <f>N357</f>
        <v>540328</v>
      </c>
      <c r="AO357" s="141">
        <f>AM357-AN357</f>
        <v>0</v>
      </c>
      <c r="AQ357" s="387"/>
      <c r="AR357" s="387"/>
      <c r="AS357" s="387"/>
      <c r="AT357" s="387"/>
      <c r="AW357" s="387"/>
      <c r="AX357" s="264">
        <v>2320000</v>
      </c>
      <c r="AY357" s="373">
        <v>0.2329</v>
      </c>
      <c r="AZ357" s="129">
        <f>AY357*AX357</f>
        <v>540328</v>
      </c>
      <c r="BA357" s="127">
        <f>AN360</f>
        <v>540328</v>
      </c>
      <c r="BB357" s="127"/>
      <c r="BC357" s="391">
        <f>BB357+BA357-AZ357</f>
        <v>0</v>
      </c>
      <c r="BI357" s="149"/>
    </row>
    <row r="358" s="76" customFormat="1" customHeight="1" outlineLevel="1" spans="1:62">
      <c r="C358" s="387"/>
      <c r="F358" s="84"/>
      <c r="G358" s="607"/>
      <c r="I358" s="84"/>
      <c r="J358" s="129"/>
      <c r="K358" s="373"/>
      <c r="L358" s="129"/>
      <c r="M358" s="114"/>
      <c r="O358" s="114"/>
      <c r="R358" s="578" t="s">
        <v>95</v>
      </c>
      <c r="T358" s="387"/>
      <c r="U358" s="387"/>
      <c r="V358" s="387"/>
      <c r="X358" s="133"/>
      <c r="Z358" s="114"/>
      <c r="AA358" s="114">
        <f>-(AZ357*0.13/1.13)</f>
        <v>-62161.6283185841</v>
      </c>
      <c r="AB358" s="114"/>
      <c r="AC358" s="114"/>
      <c r="AD358" s="140"/>
      <c r="AE358" s="114"/>
      <c r="AF358" s="114"/>
      <c r="AG358" s="114"/>
      <c r="AH358" s="114"/>
      <c r="AK358" s="189"/>
      <c r="AL358" s="373"/>
      <c r="AM358" s="114"/>
      <c r="AN358" s="114"/>
      <c r="AO358" s="141"/>
      <c r="AQ358" s="387"/>
      <c r="AR358" s="387"/>
      <c r="AS358" s="387"/>
      <c r="AT358" s="387"/>
      <c r="AW358" s="387"/>
      <c r="AX358" s="264"/>
      <c r="AY358" s="373"/>
      <c r="AZ358" s="129"/>
      <c r="BA358" s="127"/>
      <c r="BB358" s="127"/>
      <c r="BC358" s="391"/>
      <c r="BI358" s="149"/>
    </row>
    <row r="359" s="76" customFormat="1" customHeight="1" outlineLevel="1" spans="1:62">
      <c r="C359" s="387"/>
      <c r="F359" s="84"/>
      <c r="G359" s="607"/>
      <c r="I359" s="84"/>
      <c r="J359" s="129"/>
      <c r="K359" s="373"/>
      <c r="L359" s="129"/>
      <c r="M359" s="114"/>
      <c r="O359" s="114"/>
      <c r="R359" s="578"/>
      <c r="S359" s="578" t="s">
        <v>288</v>
      </c>
      <c r="T359" s="387"/>
      <c r="U359" s="387"/>
      <c r="V359" s="387"/>
      <c r="X359" s="133"/>
      <c r="Z359" s="114"/>
      <c r="AA359" s="114">
        <v>7733.10817816884</v>
      </c>
      <c r="AB359" s="114"/>
      <c r="AC359" s="114"/>
      <c r="AD359" s="140"/>
      <c r="AE359" s="114"/>
      <c r="AF359" s="114"/>
      <c r="AG359" s="114"/>
      <c r="AH359" s="114"/>
      <c r="AK359" s="189"/>
      <c r="AL359" s="373"/>
      <c r="AM359" s="114"/>
      <c r="AN359" s="114"/>
      <c r="AO359" s="141"/>
      <c r="AQ359" s="387"/>
      <c r="AR359" s="387"/>
      <c r="AS359" s="387"/>
      <c r="AT359" s="387"/>
      <c r="AW359" s="387"/>
      <c r="AX359" s="264"/>
      <c r="AY359" s="373"/>
      <c r="AZ359" s="129"/>
      <c r="BA359" s="127"/>
      <c r="BB359" s="127"/>
      <c r="BC359" s="391"/>
      <c r="BI359" s="149"/>
    </row>
    <row r="360" s="79" customFormat="1" ht="15.95" customHeight="1" spans="1:62">
      <c r="A360" s="79" t="s">
        <v>338</v>
      </c>
      <c r="C360" s="463"/>
      <c r="D360" s="79" t="s">
        <v>353</v>
      </c>
      <c r="E360" s="79" t="s">
        <v>351</v>
      </c>
      <c r="F360" s="80"/>
      <c r="G360" s="608"/>
      <c r="H360" s="79" t="s">
        <v>93</v>
      </c>
      <c r="I360" s="84"/>
      <c r="J360" s="194">
        <f>J357</f>
        <v>2280000</v>
      </c>
      <c r="K360" s="194"/>
      <c r="L360" s="194">
        <f>L357</f>
        <v>531012</v>
      </c>
      <c r="M360" s="194"/>
      <c r="N360" s="79">
        <f>N357</f>
        <v>540328</v>
      </c>
      <c r="O360" s="192">
        <f>O357</f>
        <v>9316</v>
      </c>
      <c r="P360" s="91"/>
      <c r="Q360" s="91"/>
      <c r="T360" s="463"/>
      <c r="U360" s="463">
        <f>C357+21</f>
        <v>45770</v>
      </c>
      <c r="V360" s="609">
        <v>45836</v>
      </c>
      <c r="W360" s="418"/>
      <c r="X360" s="610" t="s">
        <v>355</v>
      </c>
      <c r="Y360" s="611">
        <f>SUM(Y357:Y358)</f>
        <v>2320000</v>
      </c>
      <c r="Z360" s="192"/>
      <c r="AA360" s="192">
        <f>SUM(AA357:AA359)</f>
        <v>525571.479859585</v>
      </c>
      <c r="AB360" s="192">
        <f>AB357</f>
        <v>580000</v>
      </c>
      <c r="AC360" s="192">
        <f>AC361</f>
        <v>0</v>
      </c>
      <c r="AD360" s="196"/>
      <c r="AE360" s="192"/>
      <c r="AF360" s="192"/>
      <c r="AG360" s="192"/>
      <c r="AH360" s="192"/>
      <c r="AI360" s="91"/>
      <c r="AM360" s="192">
        <f>SUM(AM357:AM358)</f>
        <v>540328</v>
      </c>
      <c r="AN360" s="192">
        <f>N360</f>
        <v>540328</v>
      </c>
      <c r="AO360" s="79">
        <f>SUM(AO357)</f>
        <v>0</v>
      </c>
      <c r="AP360" s="91"/>
      <c r="AQ360" s="463">
        <f>V360</f>
        <v>45836</v>
      </c>
      <c r="AR360" s="463"/>
      <c r="AS360" s="609"/>
      <c r="AT360" s="609" t="s">
        <v>298</v>
      </c>
      <c r="AU360" s="418">
        <v>1067650929</v>
      </c>
      <c r="AV360" s="418">
        <v>2</v>
      </c>
      <c r="AW360" s="609">
        <v>45843</v>
      </c>
      <c r="AX360" s="194"/>
      <c r="AY360" s="192"/>
      <c r="AZ360" s="150"/>
      <c r="BA360" s="150"/>
      <c r="BB360" s="150"/>
      <c r="BC360" s="150"/>
      <c r="BI360" s="494" t="s">
        <v>85</v>
      </c>
      <c r="BJ360" s="91"/>
    </row>
    <row r="361" s="76" customFormat="1" customHeight="1" outlineLevel="1" spans="1:62">
      <c r="A361" s="612" t="s">
        <v>356</v>
      </c>
      <c r="B361" s="612"/>
      <c r="C361" s="387">
        <v>45759</v>
      </c>
      <c r="D361" s="76" t="s">
        <v>357</v>
      </c>
      <c r="E361" s="76" t="s">
        <v>358</v>
      </c>
      <c r="F361" s="84"/>
      <c r="G361" s="613">
        <f>903960+124316.86+39862.24</f>
        <v>1068139.1</v>
      </c>
      <c r="H361" s="76" t="s">
        <v>93</v>
      </c>
      <c r="I361" s="84"/>
      <c r="J361" s="129">
        <v>108</v>
      </c>
      <c r="K361" s="129">
        <v>6200</v>
      </c>
      <c r="L361" s="129">
        <f>K361*J361</f>
        <v>669600</v>
      </c>
      <c r="M361" s="114">
        <f>L361*0.3</f>
        <v>200880</v>
      </c>
      <c r="N361" s="76">
        <f>903960+124316.86</f>
        <v>1028276.86</v>
      </c>
      <c r="O361" s="76">
        <f>L361-N361</f>
        <v>-358676.86</v>
      </c>
      <c r="R361" s="76" t="s">
        <v>88</v>
      </c>
      <c r="S361" s="76" t="s">
        <v>359</v>
      </c>
      <c r="T361" s="387">
        <v>45759</v>
      </c>
      <c r="U361" s="387"/>
      <c r="V361" s="387">
        <v>45823</v>
      </c>
      <c r="X361" s="133"/>
      <c r="Y361" s="76">
        <v>109.252</v>
      </c>
      <c r="Z361" s="114">
        <v>6100</v>
      </c>
      <c r="AA361" s="114">
        <f>Z361*Y361</f>
        <v>666437.2</v>
      </c>
      <c r="AB361" s="114">
        <v>666437.2</v>
      </c>
      <c r="AC361" s="114"/>
      <c r="AD361" s="140"/>
      <c r="AE361" s="114"/>
      <c r="AF361" s="114"/>
      <c r="AG361" s="114"/>
      <c r="AH361" s="114"/>
      <c r="AK361" s="76">
        <v>109.252</v>
      </c>
      <c r="AL361" s="76">
        <f>Z361+280</f>
        <v>6380</v>
      </c>
      <c r="AM361" s="114">
        <f>AL361*AK361</f>
        <v>697027.76</v>
      </c>
      <c r="AN361" s="253">
        <f>AM361</f>
        <v>697027.76</v>
      </c>
      <c r="AO361" s="141">
        <f>AM361-AN361</f>
        <v>0</v>
      </c>
      <c r="AQ361" s="387"/>
      <c r="AR361" s="387"/>
      <c r="AS361" s="387"/>
      <c r="AT361" s="387"/>
      <c r="AW361" s="387"/>
      <c r="AX361" s="129">
        <v>109.252</v>
      </c>
      <c r="AY361" s="114">
        <v>6380</v>
      </c>
      <c r="AZ361" s="129">
        <f>AY361*AX361</f>
        <v>697027.76</v>
      </c>
      <c r="BA361" s="127">
        <f>AN361</f>
        <v>697027.76</v>
      </c>
      <c r="BB361" s="127"/>
      <c r="BC361" s="391">
        <f>BB361+BA361-AZ361</f>
        <v>0</v>
      </c>
      <c r="BI361" s="149"/>
    </row>
    <row r="362" s="76" customFormat="1" customHeight="1" outlineLevel="1" spans="1:62">
      <c r="A362" s="612" t="s">
        <v>360</v>
      </c>
      <c r="B362" s="612"/>
      <c r="C362" s="387">
        <v>45759</v>
      </c>
      <c r="D362" s="76" t="s">
        <v>357</v>
      </c>
      <c r="E362" s="76" t="s">
        <v>361</v>
      </c>
      <c r="F362" s="84"/>
      <c r="G362" s="613"/>
      <c r="H362" s="76" t="s">
        <v>93</v>
      </c>
      <c r="I362" s="84"/>
      <c r="J362" s="129">
        <v>27</v>
      </c>
      <c r="K362" s="129">
        <v>6200</v>
      </c>
      <c r="L362" s="129">
        <f>K362*J362</f>
        <v>167400</v>
      </c>
      <c r="M362" s="114">
        <f>L362*0.3</f>
        <v>50220</v>
      </c>
      <c r="O362" s="76">
        <f>L362-N362</f>
        <v>167400</v>
      </c>
      <c r="R362" s="76" t="s">
        <v>88</v>
      </c>
      <c r="S362" s="76" t="s">
        <v>362</v>
      </c>
      <c r="T362" s="387">
        <v>45759</v>
      </c>
      <c r="U362" s="387"/>
      <c r="V362" s="387">
        <v>45833</v>
      </c>
      <c r="X362" s="133"/>
      <c r="Y362" s="76">
        <v>25.515</v>
      </c>
      <c r="Z362" s="114">
        <v>6200</v>
      </c>
      <c r="AA362" s="114">
        <f>Z362*Y362</f>
        <v>158193</v>
      </c>
      <c r="AB362" s="114">
        <v>158193</v>
      </c>
      <c r="AC362" s="114"/>
      <c r="AD362" s="140"/>
      <c r="AE362" s="114"/>
      <c r="AF362" s="114"/>
      <c r="AG362" s="114"/>
      <c r="AH362" s="114"/>
      <c r="AK362" s="76">
        <v>25.515</v>
      </c>
      <c r="AL362" s="76">
        <f>Z362+280</f>
        <v>6480</v>
      </c>
      <c r="AM362" s="114">
        <f>AL362*AK362</f>
        <v>165337.2</v>
      </c>
      <c r="AN362" s="253">
        <f>AM362</f>
        <v>165337.2</v>
      </c>
      <c r="AO362" s="141">
        <f>AM362-AN362</f>
        <v>0</v>
      </c>
      <c r="AQ362" s="387"/>
      <c r="AR362" s="387"/>
      <c r="AS362" s="387"/>
      <c r="AT362" s="387"/>
      <c r="AW362" s="387"/>
      <c r="AX362" s="129">
        <v>25.515</v>
      </c>
      <c r="AY362" s="114">
        <v>6480</v>
      </c>
      <c r="AZ362" s="129">
        <f>AY362*AX362</f>
        <v>165337.2</v>
      </c>
      <c r="BA362" s="127">
        <f>AN362</f>
        <v>165337.2</v>
      </c>
      <c r="BB362" s="127"/>
      <c r="BC362" s="127"/>
      <c r="BI362" s="149"/>
    </row>
    <row r="363" s="76" customFormat="1" customHeight="1" outlineLevel="1" spans="1:62">
      <c r="A363" s="612" t="s">
        <v>360</v>
      </c>
      <c r="B363" s="612"/>
      <c r="C363" s="387">
        <v>45759</v>
      </c>
      <c r="D363" s="76" t="s">
        <v>357</v>
      </c>
      <c r="E363" s="76" t="s">
        <v>363</v>
      </c>
      <c r="F363" s="84"/>
      <c r="G363" s="607"/>
      <c r="H363" s="76" t="s">
        <v>93</v>
      </c>
      <c r="I363" s="84"/>
      <c r="J363" s="129">
        <v>27</v>
      </c>
      <c r="K363" s="129">
        <v>6200</v>
      </c>
      <c r="L363" s="129">
        <f>K363*J363</f>
        <v>167400</v>
      </c>
      <c r="M363" s="114">
        <f>L363*0.3</f>
        <v>50220</v>
      </c>
      <c r="O363" s="76">
        <f>L363-N363</f>
        <v>167400</v>
      </c>
      <c r="R363" s="76" t="s">
        <v>88</v>
      </c>
      <c r="S363" s="76" t="s">
        <v>362</v>
      </c>
      <c r="T363" s="387">
        <v>45759</v>
      </c>
      <c r="U363" s="387"/>
      <c r="V363" s="387">
        <v>45833</v>
      </c>
      <c r="X363" s="133"/>
      <c r="Y363" s="76">
        <v>26.005</v>
      </c>
      <c r="Z363" s="114">
        <v>6100</v>
      </c>
      <c r="AA363" s="114">
        <f>Z363*Y363</f>
        <v>158630.5</v>
      </c>
      <c r="AB363" s="114">
        <v>158630.5</v>
      </c>
      <c r="AC363" s="114"/>
      <c r="AD363" s="140"/>
      <c r="AE363" s="114"/>
      <c r="AF363" s="114"/>
      <c r="AG363" s="114"/>
      <c r="AH363" s="114"/>
      <c r="AK363" s="76">
        <v>26.005</v>
      </c>
      <c r="AL363" s="76">
        <f>Z363+280</f>
        <v>6380</v>
      </c>
      <c r="AM363" s="114">
        <f>AL363*AK363</f>
        <v>165911.9</v>
      </c>
      <c r="AN363" s="253">
        <v>165911.9</v>
      </c>
      <c r="AO363" s="141">
        <f>AM363-AN363</f>
        <v>0</v>
      </c>
      <c r="AQ363" s="387"/>
      <c r="AR363" s="387"/>
      <c r="AS363" s="387"/>
      <c r="AT363" s="387"/>
      <c r="AW363" s="387"/>
      <c r="AX363" s="129">
        <v>26.005</v>
      </c>
      <c r="AY363" s="114">
        <v>6380</v>
      </c>
      <c r="AZ363" s="129">
        <f>AY363*AX363</f>
        <v>165911.9</v>
      </c>
      <c r="BA363" s="127">
        <f>AN363</f>
        <v>165911.9</v>
      </c>
      <c r="BB363" s="127"/>
      <c r="BC363" s="127"/>
      <c r="BI363" s="149"/>
    </row>
    <row r="364" s="76" customFormat="1" customHeight="1" outlineLevel="1" spans="1:62">
      <c r="A364" s="612"/>
      <c r="B364" s="612"/>
      <c r="C364" s="387"/>
      <c r="D364" s="76" t="s">
        <v>364</v>
      </c>
      <c r="E364" s="76" t="s">
        <v>358</v>
      </c>
      <c r="F364" s="84"/>
      <c r="G364" s="607"/>
      <c r="I364" s="84"/>
      <c r="J364" s="129"/>
      <c r="K364" s="129"/>
      <c r="L364" s="129"/>
      <c r="M364" s="114"/>
      <c r="N364" s="76">
        <v>39862.24</v>
      </c>
      <c r="T364" s="387"/>
      <c r="U364" s="387"/>
      <c r="V364" s="387"/>
      <c r="X364" s="133"/>
      <c r="Y364" s="76">
        <v>6.248</v>
      </c>
      <c r="Z364" s="114">
        <v>6100</v>
      </c>
      <c r="AA364" s="114">
        <f>Z364*Y364</f>
        <v>38112.8</v>
      </c>
      <c r="AB364" s="114">
        <v>38112.8</v>
      </c>
      <c r="AC364" s="114"/>
      <c r="AD364" s="140"/>
      <c r="AE364" s="114"/>
      <c r="AF364" s="114"/>
      <c r="AG364" s="114"/>
      <c r="AH364" s="114"/>
      <c r="AK364" s="76">
        <v>6.248</v>
      </c>
      <c r="AL364" s="76">
        <v>6380</v>
      </c>
      <c r="AM364" s="114">
        <f>AL364*AK364</f>
        <v>39862.24</v>
      </c>
      <c r="AN364" s="114">
        <v>39862.24</v>
      </c>
      <c r="AO364" s="141">
        <f>AM364-AN364</f>
        <v>0</v>
      </c>
      <c r="AQ364" s="387"/>
      <c r="AR364" s="387"/>
      <c r="AS364" s="387"/>
      <c r="AT364" s="387"/>
      <c r="AW364" s="387"/>
      <c r="AX364" s="76">
        <v>6.248</v>
      </c>
      <c r="AY364" s="76">
        <v>6380</v>
      </c>
      <c r="AZ364" s="114">
        <f>AY364*AX364</f>
        <v>39862.24</v>
      </c>
      <c r="BA364" s="127">
        <f>AN364</f>
        <v>39862.24</v>
      </c>
      <c r="BB364" s="127"/>
      <c r="BC364" s="127"/>
      <c r="BI364" s="149"/>
    </row>
    <row r="365" s="76" customFormat="1" customHeight="1" outlineLevel="1" spans="1:62">
      <c r="A365" s="612"/>
      <c r="B365" s="612"/>
      <c r="C365" s="387"/>
      <c r="F365" s="84"/>
      <c r="G365" s="607"/>
      <c r="I365" s="84"/>
      <c r="J365" s="129"/>
      <c r="K365" s="129"/>
      <c r="L365" s="129"/>
      <c r="M365" s="114"/>
      <c r="S365" s="76" t="s">
        <v>288</v>
      </c>
      <c r="T365" s="387"/>
      <c r="U365" s="387"/>
      <c r="V365" s="387"/>
      <c r="X365" s="133"/>
      <c r="Z365" s="114"/>
      <c r="AA365" s="114">
        <v>21469.050448042</v>
      </c>
      <c r="AB365" s="114"/>
      <c r="AC365" s="114"/>
      <c r="AD365" s="140"/>
      <c r="AE365" s="114"/>
      <c r="AF365" s="114"/>
      <c r="AG365" s="114"/>
      <c r="AH365" s="114"/>
      <c r="AM365" s="114"/>
      <c r="AN365" s="114"/>
      <c r="AO365" s="141"/>
      <c r="AQ365" s="387"/>
      <c r="AR365" s="387"/>
      <c r="AS365" s="387"/>
      <c r="AT365" s="387"/>
      <c r="AW365" s="387"/>
      <c r="AZ365" s="114"/>
      <c r="BA365" s="127"/>
      <c r="BB365" s="127"/>
      <c r="BC365" s="127"/>
      <c r="BI365" s="149"/>
    </row>
    <row r="366" s="79" customFormat="1" ht="36" customHeight="1" spans="1:62">
      <c r="A366" s="79" t="s">
        <v>365</v>
      </c>
      <c r="C366" s="463"/>
      <c r="D366" s="79" t="s">
        <v>357</v>
      </c>
      <c r="E366" s="116" t="s">
        <v>366</v>
      </c>
      <c r="F366" s="80"/>
      <c r="G366" s="607">
        <f>0</f>
        <v>0</v>
      </c>
      <c r="H366" s="79" t="s">
        <v>93</v>
      </c>
      <c r="I366" s="84"/>
      <c r="J366" s="194">
        <f>SUM(J361:J363)</f>
        <v>162</v>
      </c>
      <c r="K366" s="194"/>
      <c r="L366" s="194">
        <f>SUM(L361:L363)</f>
        <v>1004400</v>
      </c>
      <c r="M366" s="194"/>
      <c r="N366" s="79">
        <f>SUM(N361:N363)</f>
        <v>1028276.86</v>
      </c>
      <c r="O366" s="192">
        <f>SUM(O361:O363)</f>
        <v>-23876.86</v>
      </c>
      <c r="P366" s="91"/>
      <c r="Q366" s="91"/>
      <c r="T366" s="463"/>
      <c r="U366" s="463">
        <f>C361+45</f>
        <v>45804</v>
      </c>
      <c r="V366" s="463">
        <v>45823</v>
      </c>
      <c r="X366" s="193" t="s">
        <v>355</v>
      </c>
      <c r="Y366" s="79">
        <f>SUM(Y361:Y364)</f>
        <v>167.02</v>
      </c>
      <c r="Z366" s="192"/>
      <c r="AA366" s="79">
        <f>SUM(AA361:AA365)</f>
        <v>1042842.55044804</v>
      </c>
      <c r="AB366" s="79">
        <f>SUM(AB361:AB364)</f>
        <v>1021373.5</v>
      </c>
      <c r="AC366" s="192"/>
      <c r="AD366" s="196"/>
      <c r="AE366" s="192"/>
      <c r="AF366" s="192"/>
      <c r="AG366" s="192"/>
      <c r="AH366" s="192"/>
      <c r="AI366" s="91"/>
      <c r="AK366" s="79">
        <f>SUM(AK361:AK364)</f>
        <v>167.02</v>
      </c>
      <c r="AM366" s="192">
        <f>SUM(AM361:AM364)</f>
        <v>1068139.1</v>
      </c>
      <c r="AN366" s="192">
        <f>SUM(AN361:AN364)</f>
        <v>1068139.1</v>
      </c>
      <c r="AO366" s="192">
        <f>SUM(AO361:AO364)</f>
        <v>0</v>
      </c>
      <c r="AP366" s="91"/>
      <c r="AQ366" s="463">
        <f>V366</f>
        <v>45823</v>
      </c>
      <c r="AR366" s="463"/>
      <c r="AS366" s="463"/>
      <c r="AT366" s="463" t="s">
        <v>367</v>
      </c>
      <c r="AU366" s="79">
        <v>1067465141</v>
      </c>
      <c r="AV366" s="79">
        <v>6</v>
      </c>
      <c r="AW366" s="463">
        <v>45851</v>
      </c>
      <c r="AX366" s="194">
        <f>SUM(AX361:AX364)</f>
        <v>167.02</v>
      </c>
      <c r="AY366" s="192"/>
      <c r="AZ366" s="150">
        <f>SUM(AZ361:AZ364)</f>
        <v>1068139.1</v>
      </c>
      <c r="BA366" s="150">
        <f>SUM(BA361:BA364)</f>
        <v>1068139.1</v>
      </c>
      <c r="BB366" s="150"/>
      <c r="BC366" s="391">
        <f>BB366+BA366-AZ366</f>
        <v>0</v>
      </c>
      <c r="BI366" s="494" t="s">
        <v>85</v>
      </c>
      <c r="BJ366" s="91"/>
    </row>
    <row r="367" s="76" customFormat="1" ht="14.45" customHeight="1" outlineLevel="1" spans="1:62">
      <c r="A367" s="76" t="s">
        <v>338</v>
      </c>
      <c r="C367" s="387">
        <v>45752</v>
      </c>
      <c r="D367" s="76" t="s">
        <v>368</v>
      </c>
      <c r="E367" s="113" t="s">
        <v>369</v>
      </c>
      <c r="F367" s="84"/>
      <c r="G367" s="613">
        <f>1200000+3404655+10989.432+4090.5+349942.5</f>
        <v>4969677.432</v>
      </c>
      <c r="H367" s="76" t="s">
        <v>93</v>
      </c>
      <c r="I367" s="84"/>
      <c r="J367" s="76">
        <v>162</v>
      </c>
      <c r="K367" s="129">
        <v>6500</v>
      </c>
      <c r="L367" s="129">
        <f t="shared" ref="L367:L373" si="22">K367*J367</f>
        <v>1053000</v>
      </c>
      <c r="M367" s="129"/>
      <c r="N367" s="76">
        <v>1200000</v>
      </c>
      <c r="O367" s="76">
        <f t="shared" ref="O367:O373" si="23">L367-N367</f>
        <v>-147000</v>
      </c>
      <c r="R367" s="76" t="s">
        <v>88</v>
      </c>
      <c r="S367" s="76" t="s">
        <v>370</v>
      </c>
      <c r="T367" s="387">
        <v>45763</v>
      </c>
      <c r="U367" s="387"/>
      <c r="V367" s="387">
        <v>45853</v>
      </c>
      <c r="X367" s="133"/>
      <c r="Y367" s="76">
        <v>149.193</v>
      </c>
      <c r="Z367" s="114">
        <v>6250</v>
      </c>
      <c r="AA367" s="114">
        <f t="shared" ref="AA367:AA380" si="24">Z367*Y367</f>
        <v>932456.25</v>
      </c>
      <c r="AB367" s="114">
        <v>932456.25</v>
      </c>
      <c r="AC367" s="114"/>
      <c r="AD367" s="140"/>
      <c r="AE367" s="114"/>
      <c r="AF367" s="114"/>
      <c r="AG367" s="114"/>
      <c r="AH367" s="114"/>
      <c r="AK367" s="76">
        <v>149.193</v>
      </c>
      <c r="AL367" s="76">
        <f>Z367+250+75</f>
        <v>6575</v>
      </c>
      <c r="AM367" s="114">
        <f t="shared" ref="AM367:AM379" si="25">AL367*AK367</f>
        <v>980943.975</v>
      </c>
      <c r="AN367" s="114">
        <f t="shared" ref="AN367:AN379" si="26">N367</f>
        <v>1200000</v>
      </c>
      <c r="AO367" s="141">
        <f t="shared" ref="AO367:AO379" si="27">AM367-AN367</f>
        <v>-219056.025</v>
      </c>
      <c r="AQ367" s="387"/>
      <c r="AR367" s="387"/>
      <c r="AS367" s="387"/>
      <c r="AT367" s="387"/>
      <c r="AU367" s="76">
        <v>1067655333</v>
      </c>
      <c r="AV367" s="76">
        <v>6</v>
      </c>
      <c r="AW367" s="387">
        <v>45866</v>
      </c>
      <c r="AX367" s="129">
        <v>149.193</v>
      </c>
      <c r="AY367" s="114">
        <v>6575</v>
      </c>
      <c r="AZ367" s="127">
        <v>980943.975</v>
      </c>
      <c r="BA367" s="127">
        <v>1200000</v>
      </c>
      <c r="BB367" s="127"/>
      <c r="BC367" s="127"/>
      <c r="BI367" s="149"/>
    </row>
    <row r="368" s="76" customFormat="1" ht="14.45" customHeight="1" outlineLevel="1" spans="1:62">
      <c r="A368" s="76" t="s">
        <v>338</v>
      </c>
      <c r="C368" s="387">
        <v>45752</v>
      </c>
      <c r="D368" s="76" t="s">
        <v>368</v>
      </c>
      <c r="E368" s="113" t="s">
        <v>371</v>
      </c>
      <c r="F368" s="84"/>
      <c r="G368" s="613"/>
      <c r="H368" s="76" t="s">
        <v>93</v>
      </c>
      <c r="I368" s="84"/>
      <c r="J368" s="76">
        <v>140</v>
      </c>
      <c r="K368" s="129">
        <v>6650</v>
      </c>
      <c r="L368" s="129">
        <f t="shared" si="22"/>
        <v>931000</v>
      </c>
      <c r="M368" s="129"/>
      <c r="N368" s="76">
        <v>3404655</v>
      </c>
      <c r="O368" s="76">
        <f t="shared" si="23"/>
        <v>-2473655</v>
      </c>
      <c r="R368" s="76" t="s">
        <v>88</v>
      </c>
      <c r="S368" s="76" t="s">
        <v>370</v>
      </c>
      <c r="T368" s="387">
        <v>45763</v>
      </c>
      <c r="U368" s="387"/>
      <c r="V368" s="387">
        <v>45853</v>
      </c>
      <c r="X368" s="133"/>
      <c r="Y368" s="76">
        <v>13.616</v>
      </c>
      <c r="Z368" s="114">
        <v>6400</v>
      </c>
      <c r="AA368" s="114">
        <f t="shared" si="24"/>
        <v>87142.4</v>
      </c>
      <c r="AB368" s="114">
        <v>87142.4</v>
      </c>
      <c r="AC368" s="114"/>
      <c r="AD368" s="140"/>
      <c r="AE368" s="114"/>
      <c r="AF368" s="114"/>
      <c r="AG368" s="114"/>
      <c r="AH368" s="114"/>
      <c r="AK368" s="76">
        <v>13.616</v>
      </c>
      <c r="AL368" s="76">
        <v>6725</v>
      </c>
      <c r="AM368" s="114">
        <f t="shared" si="25"/>
        <v>91567.6</v>
      </c>
      <c r="AN368" s="114">
        <f t="shared" si="26"/>
        <v>3404655</v>
      </c>
      <c r="AO368" s="141">
        <f t="shared" si="27"/>
        <v>-3313087.4</v>
      </c>
      <c r="AQ368" s="387"/>
      <c r="AR368" s="387"/>
      <c r="AS368" s="387"/>
      <c r="AT368" s="387"/>
      <c r="AU368" s="76">
        <v>1067724821</v>
      </c>
      <c r="AV368" s="76">
        <v>2</v>
      </c>
      <c r="AW368" s="387">
        <v>45866</v>
      </c>
      <c r="AX368" s="129">
        <v>13.616</v>
      </c>
      <c r="AY368" s="114">
        <v>6725</v>
      </c>
      <c r="AZ368" s="127">
        <v>91567.6</v>
      </c>
      <c r="BA368" s="127">
        <v>3404655</v>
      </c>
      <c r="BB368" s="127"/>
      <c r="BC368" s="127"/>
      <c r="BI368" s="149"/>
    </row>
    <row r="369" s="76" customFormat="1" ht="14.45" customHeight="1" outlineLevel="1" spans="1:62">
      <c r="A369" s="76" t="s">
        <v>338</v>
      </c>
      <c r="C369" s="387">
        <v>45752</v>
      </c>
      <c r="D369" s="76" t="s">
        <v>372</v>
      </c>
      <c r="E369" s="113" t="s">
        <v>373</v>
      </c>
      <c r="F369" s="84"/>
      <c r="G369" s="613"/>
      <c r="H369" s="76" t="s">
        <v>93</v>
      </c>
      <c r="I369" s="84"/>
      <c r="J369" s="76">
        <v>108</v>
      </c>
      <c r="K369" s="129">
        <v>6650</v>
      </c>
      <c r="L369" s="129">
        <f t="shared" si="22"/>
        <v>718200</v>
      </c>
      <c r="M369" s="129"/>
      <c r="N369" s="76">
        <f>10989.43+349942.5+4090.5</f>
        <v>365022.43</v>
      </c>
      <c r="O369" s="76">
        <f t="shared" si="23"/>
        <v>353177.57</v>
      </c>
      <c r="R369" s="76" t="s">
        <v>88</v>
      </c>
      <c r="S369" s="76" t="s">
        <v>370</v>
      </c>
      <c r="T369" s="387">
        <v>45763</v>
      </c>
      <c r="U369" s="387"/>
      <c r="V369" s="387">
        <v>45853</v>
      </c>
      <c r="X369" s="133"/>
      <c r="Y369" s="76">
        <v>19.695</v>
      </c>
      <c r="Z369" s="114">
        <v>6400</v>
      </c>
      <c r="AA369" s="114">
        <f t="shared" si="24"/>
        <v>126048</v>
      </c>
      <c r="AB369" s="114">
        <v>126048</v>
      </c>
      <c r="AC369" s="114"/>
      <c r="AD369" s="140"/>
      <c r="AE369" s="114"/>
      <c r="AF369" s="114"/>
      <c r="AG369" s="114"/>
      <c r="AH369" s="114"/>
      <c r="AK369" s="76">
        <v>19.695</v>
      </c>
      <c r="AL369" s="114">
        <f>Z369+250+70</f>
        <v>6720</v>
      </c>
      <c r="AM369" s="114">
        <f t="shared" si="25"/>
        <v>132350.4</v>
      </c>
      <c r="AN369" s="114">
        <f t="shared" si="26"/>
        <v>365022.43</v>
      </c>
      <c r="AO369" s="141">
        <f t="shared" si="27"/>
        <v>-232672.03</v>
      </c>
      <c r="AQ369" s="387"/>
      <c r="AR369" s="387"/>
      <c r="AS369" s="387"/>
      <c r="AT369" s="387"/>
      <c r="AU369" s="76">
        <v>1067783709</v>
      </c>
      <c r="AV369" s="76">
        <v>4</v>
      </c>
      <c r="AW369" s="387">
        <v>45857</v>
      </c>
      <c r="AX369" s="129">
        <v>19.695</v>
      </c>
      <c r="AY369" s="114">
        <v>6720</v>
      </c>
      <c r="AZ369" s="127">
        <v>132350.4</v>
      </c>
      <c r="BA369" s="127">
        <v>365022.43</v>
      </c>
      <c r="BB369" s="127"/>
      <c r="BC369" s="127"/>
      <c r="BI369" s="149"/>
    </row>
    <row r="370" s="76" customFormat="1" ht="14.45" customHeight="1" outlineLevel="1" spans="1:62">
      <c r="A370" s="76" t="s">
        <v>338</v>
      </c>
      <c r="C370" s="387">
        <v>45752</v>
      </c>
      <c r="D370" s="76" t="s">
        <v>374</v>
      </c>
      <c r="E370" s="113" t="s">
        <v>375</v>
      </c>
      <c r="F370" s="84"/>
      <c r="G370" s="613"/>
      <c r="H370" s="76" t="s">
        <v>93</v>
      </c>
      <c r="I370" s="84"/>
      <c r="J370" s="76">
        <v>54</v>
      </c>
      <c r="K370" s="129">
        <v>6500</v>
      </c>
      <c r="L370" s="129">
        <f t="shared" si="22"/>
        <v>351000</v>
      </c>
      <c r="M370" s="129"/>
      <c r="N370" s="76">
        <v>-103000.38</v>
      </c>
      <c r="O370" s="76">
        <f t="shared" si="23"/>
        <v>454000.38</v>
      </c>
      <c r="R370" s="76" t="s">
        <v>88</v>
      </c>
      <c r="S370" s="76" t="s">
        <v>370</v>
      </c>
      <c r="T370" s="387">
        <v>45763</v>
      </c>
      <c r="U370" s="387"/>
      <c r="V370" s="387">
        <v>45853</v>
      </c>
      <c r="X370" s="133"/>
      <c r="Y370" s="76">
        <v>52.223</v>
      </c>
      <c r="Z370" s="114">
        <v>6250</v>
      </c>
      <c r="AA370" s="114">
        <f t="shared" si="24"/>
        <v>326393.75</v>
      </c>
      <c r="AB370" s="114">
        <v>326393.75</v>
      </c>
      <c r="AC370" s="114"/>
      <c r="AD370" s="140"/>
      <c r="AE370" s="114"/>
      <c r="AF370" s="114"/>
      <c r="AG370" s="114"/>
      <c r="AH370" s="114"/>
      <c r="AK370" s="76">
        <v>52.223</v>
      </c>
      <c r="AL370" s="76">
        <f>Z370+250+70</f>
        <v>6570</v>
      </c>
      <c r="AM370" s="114">
        <f t="shared" si="25"/>
        <v>343105.11</v>
      </c>
      <c r="AN370" s="114">
        <f t="shared" si="26"/>
        <v>-103000.38</v>
      </c>
      <c r="AO370" s="141">
        <f t="shared" si="27"/>
        <v>446105.49</v>
      </c>
      <c r="AQ370" s="387"/>
      <c r="AR370" s="387"/>
      <c r="AS370" s="387"/>
      <c r="AT370" s="387"/>
      <c r="AU370" s="113">
        <v>1067866886</v>
      </c>
      <c r="AV370" s="76">
        <v>6</v>
      </c>
      <c r="AW370" s="387">
        <v>45873</v>
      </c>
      <c r="AX370" s="76">
        <v>52.223</v>
      </c>
      <c r="AY370" s="76">
        <v>6570</v>
      </c>
      <c r="AZ370" s="114">
        <v>343105.11</v>
      </c>
      <c r="BA370" s="127"/>
      <c r="BB370" s="127"/>
      <c r="BC370" s="127"/>
      <c r="BI370" s="149"/>
    </row>
    <row r="371" s="76" customFormat="1" ht="14.45" customHeight="1" outlineLevel="1" spans="1:62">
      <c r="A371" s="76" t="s">
        <v>338</v>
      </c>
      <c r="C371" s="387">
        <v>45752</v>
      </c>
      <c r="D371" s="76" t="s">
        <v>374</v>
      </c>
      <c r="E371" s="113" t="s">
        <v>376</v>
      </c>
      <c r="F371" s="84"/>
      <c r="G371" s="613"/>
      <c r="H371" s="76" t="s">
        <v>93</v>
      </c>
      <c r="I371" s="84"/>
      <c r="J371" s="76">
        <v>54</v>
      </c>
      <c r="K371" s="129">
        <v>6650</v>
      </c>
      <c r="L371" s="129">
        <f t="shared" si="22"/>
        <v>359100</v>
      </c>
      <c r="M371" s="129"/>
      <c r="O371" s="76">
        <f t="shared" si="23"/>
        <v>359100</v>
      </c>
      <c r="R371" s="76" t="s">
        <v>88</v>
      </c>
      <c r="S371" s="76" t="s">
        <v>370</v>
      </c>
      <c r="T371" s="387">
        <v>45763</v>
      </c>
      <c r="U371" s="387"/>
      <c r="V371" s="387">
        <v>45853</v>
      </c>
      <c r="X371" s="133"/>
      <c r="Y371" s="76">
        <v>46.172</v>
      </c>
      <c r="Z371" s="114">
        <v>6400</v>
      </c>
      <c r="AA371" s="114">
        <f t="shared" si="24"/>
        <v>295500.8</v>
      </c>
      <c r="AB371" s="114">
        <v>295500.8</v>
      </c>
      <c r="AC371" s="114"/>
      <c r="AD371" s="140"/>
      <c r="AE371" s="114"/>
      <c r="AF371" s="114"/>
      <c r="AG371" s="114"/>
      <c r="AH371" s="114"/>
      <c r="AK371" s="76">
        <v>46.172</v>
      </c>
      <c r="AL371" s="76">
        <f>Z371+250+70</f>
        <v>6720</v>
      </c>
      <c r="AM371" s="114">
        <f t="shared" si="25"/>
        <v>310275.84</v>
      </c>
      <c r="AN371" s="114">
        <f t="shared" si="26"/>
        <v>0</v>
      </c>
      <c r="AO371" s="141">
        <f t="shared" si="27"/>
        <v>310275.84</v>
      </c>
      <c r="AQ371" s="387"/>
      <c r="AR371" s="387"/>
      <c r="AS371" s="387"/>
      <c r="AT371" s="387"/>
      <c r="AU371" s="76">
        <v>1067866913</v>
      </c>
      <c r="AV371" s="76">
        <v>6</v>
      </c>
      <c r="AW371" s="387">
        <v>45872</v>
      </c>
      <c r="AX371" s="76">
        <v>46.172</v>
      </c>
      <c r="AY371" s="76">
        <v>6720</v>
      </c>
      <c r="AZ371" s="114">
        <v>310275.84</v>
      </c>
      <c r="BA371" s="127"/>
      <c r="BB371" s="127"/>
      <c r="BC371" s="127"/>
      <c r="BI371" s="149"/>
    </row>
    <row r="372" s="224" customFormat="1" ht="14.45" customHeight="1" outlineLevel="1" spans="1:62">
      <c r="A372" s="76" t="s">
        <v>377</v>
      </c>
      <c r="B372" s="76"/>
      <c r="C372" s="387">
        <v>45752</v>
      </c>
      <c r="D372" s="76" t="s">
        <v>378</v>
      </c>
      <c r="E372" s="335" t="s">
        <v>379</v>
      </c>
      <c r="F372" s="84"/>
      <c r="G372" s="607"/>
      <c r="H372" s="76" t="s">
        <v>93</v>
      </c>
      <c r="I372" s="84"/>
      <c r="J372" s="224">
        <v>162</v>
      </c>
      <c r="K372" s="129">
        <v>6500</v>
      </c>
      <c r="L372" s="129">
        <f t="shared" si="22"/>
        <v>1053000</v>
      </c>
      <c r="M372" s="337"/>
      <c r="O372" s="76">
        <f t="shared" si="23"/>
        <v>1053000</v>
      </c>
      <c r="R372" s="76" t="s">
        <v>88</v>
      </c>
      <c r="S372" s="76" t="s">
        <v>370</v>
      </c>
      <c r="T372" s="387">
        <v>45763</v>
      </c>
      <c r="U372" s="385"/>
      <c r="V372" s="387">
        <v>45853</v>
      </c>
      <c r="X372" s="602"/>
      <c r="Y372" s="224">
        <v>109.08</v>
      </c>
      <c r="Z372" s="114">
        <v>6250</v>
      </c>
      <c r="AA372" s="114">
        <f t="shared" si="24"/>
        <v>681750</v>
      </c>
      <c r="AB372" s="383">
        <v>681750</v>
      </c>
      <c r="AC372" s="383"/>
      <c r="AD372" s="603"/>
      <c r="AE372" s="383"/>
      <c r="AF372" s="383"/>
      <c r="AG372" s="383"/>
      <c r="AH372" s="383"/>
      <c r="AI372" s="76"/>
      <c r="AK372" s="224">
        <v>109.08</v>
      </c>
      <c r="AL372" s="76">
        <f>Z372+250</f>
        <v>6500</v>
      </c>
      <c r="AM372" s="114">
        <f t="shared" si="25"/>
        <v>709020</v>
      </c>
      <c r="AN372" s="114">
        <f t="shared" si="26"/>
        <v>0</v>
      </c>
      <c r="AO372" s="141">
        <f t="shared" si="27"/>
        <v>709020</v>
      </c>
      <c r="AP372" s="76"/>
      <c r="AQ372" s="387"/>
      <c r="AR372" s="385"/>
      <c r="AS372" s="385"/>
      <c r="AT372" s="385"/>
      <c r="AU372" s="76">
        <v>1068130351</v>
      </c>
      <c r="AV372" s="224">
        <v>4</v>
      </c>
      <c r="AW372" s="385">
        <v>45880</v>
      </c>
      <c r="AX372" s="224">
        <v>109.08</v>
      </c>
      <c r="AY372" s="76">
        <v>6500</v>
      </c>
      <c r="AZ372" s="114">
        <v>709020</v>
      </c>
      <c r="BA372" s="350">
        <v>0</v>
      </c>
      <c r="BB372" s="350">
        <v>709020</v>
      </c>
      <c r="BC372" s="350"/>
      <c r="BI372" s="614"/>
    </row>
    <row r="373" s="224" customFormat="1" ht="14.45" customHeight="1" outlineLevel="1" spans="1:62">
      <c r="A373" s="76" t="s">
        <v>338</v>
      </c>
      <c r="B373" s="76"/>
      <c r="C373" s="387">
        <v>45752</v>
      </c>
      <c r="D373" s="76" t="s">
        <v>372</v>
      </c>
      <c r="E373" s="335" t="s">
        <v>380</v>
      </c>
      <c r="F373" s="84"/>
      <c r="G373" s="607"/>
      <c r="H373" s="224" t="s">
        <v>93</v>
      </c>
      <c r="I373" s="84"/>
      <c r="J373" s="224">
        <v>81</v>
      </c>
      <c r="K373" s="129">
        <v>6500</v>
      </c>
      <c r="L373" s="129">
        <f t="shared" si="22"/>
        <v>526500</v>
      </c>
      <c r="M373" s="337"/>
      <c r="O373" s="76">
        <f t="shared" si="23"/>
        <v>526500</v>
      </c>
      <c r="R373" s="76" t="s">
        <v>88</v>
      </c>
      <c r="S373" s="76" t="s">
        <v>370</v>
      </c>
      <c r="T373" s="387">
        <v>45763</v>
      </c>
      <c r="U373" s="385"/>
      <c r="V373" s="387">
        <v>45853</v>
      </c>
      <c r="X373" s="602"/>
      <c r="Y373" s="224">
        <v>81.355</v>
      </c>
      <c r="Z373" s="114">
        <v>6250</v>
      </c>
      <c r="AA373" s="114">
        <f t="shared" si="24"/>
        <v>508468.75</v>
      </c>
      <c r="AB373" s="383">
        <v>508468.75</v>
      </c>
      <c r="AC373" s="383"/>
      <c r="AD373" s="603"/>
      <c r="AE373" s="383"/>
      <c r="AF373" s="383"/>
      <c r="AG373" s="383"/>
      <c r="AH373" s="383"/>
      <c r="AI373" s="76"/>
      <c r="AK373" s="224">
        <v>81.355</v>
      </c>
      <c r="AL373" s="114">
        <f>Z373+250+70</f>
        <v>6570</v>
      </c>
      <c r="AM373" s="114">
        <f t="shared" si="25"/>
        <v>534502.35</v>
      </c>
      <c r="AN373" s="114">
        <f t="shared" si="26"/>
        <v>0</v>
      </c>
      <c r="AO373" s="141">
        <f t="shared" si="27"/>
        <v>534502.35</v>
      </c>
      <c r="AP373" s="76"/>
      <c r="AQ373" s="387"/>
      <c r="AR373" s="385"/>
      <c r="AS373" s="385"/>
      <c r="AT373" s="385"/>
      <c r="AW373" s="385"/>
      <c r="AX373" s="337">
        <v>81.355</v>
      </c>
      <c r="AY373" s="383">
        <v>6570</v>
      </c>
      <c r="AZ373" s="350">
        <v>534502.35</v>
      </c>
      <c r="BA373" s="350">
        <v>0</v>
      </c>
      <c r="BB373" s="350">
        <v>534502.35</v>
      </c>
      <c r="BC373" s="350"/>
      <c r="BI373" s="614"/>
    </row>
    <row r="374" s="224" customFormat="1" ht="14.45" customHeight="1" outlineLevel="1" spans="1:62">
      <c r="A374" s="76"/>
      <c r="B374" s="76"/>
      <c r="C374" s="387"/>
      <c r="D374" s="76" t="s">
        <v>381</v>
      </c>
      <c r="E374" s="335" t="s">
        <v>379</v>
      </c>
      <c r="F374" s="84"/>
      <c r="G374" s="607"/>
      <c r="I374" s="84"/>
      <c r="K374" s="129"/>
      <c r="L374" s="129"/>
      <c r="M374" s="337"/>
      <c r="O374" s="76"/>
      <c r="R374" s="76"/>
      <c r="S374" s="76"/>
      <c r="T374" s="387"/>
      <c r="U374" s="385"/>
      <c r="V374" s="387"/>
      <c r="X374" s="602"/>
      <c r="Y374" s="224">
        <v>54.54</v>
      </c>
      <c r="Z374" s="114">
        <v>6250</v>
      </c>
      <c r="AA374" s="114">
        <f t="shared" si="24"/>
        <v>340875</v>
      </c>
      <c r="AB374" s="383">
        <v>340875</v>
      </c>
      <c r="AC374" s="383"/>
      <c r="AD374" s="603"/>
      <c r="AE374" s="383"/>
      <c r="AF374" s="383"/>
      <c r="AG374" s="383"/>
      <c r="AH374" s="383"/>
      <c r="AI374" s="76"/>
      <c r="AK374" s="224">
        <v>54.54</v>
      </c>
      <c r="AL374" s="76">
        <f>6500+75</f>
        <v>6575</v>
      </c>
      <c r="AM374" s="114">
        <f t="shared" si="25"/>
        <v>358600.5</v>
      </c>
      <c r="AN374" s="114">
        <f t="shared" si="26"/>
        <v>0</v>
      </c>
      <c r="AO374" s="141">
        <f t="shared" si="27"/>
        <v>358600.5</v>
      </c>
      <c r="AP374" s="76"/>
      <c r="AQ374" s="387"/>
      <c r="AR374" s="385"/>
      <c r="AS374" s="385"/>
      <c r="AT374" s="385"/>
      <c r="AW374" s="385"/>
      <c r="AX374" s="337">
        <v>54.54</v>
      </c>
      <c r="AY374" s="383">
        <v>6575</v>
      </c>
      <c r="AZ374" s="350">
        <v>358600.5</v>
      </c>
      <c r="BA374" s="350"/>
      <c r="BB374" s="350">
        <v>358600.5</v>
      </c>
      <c r="BC374" s="350"/>
      <c r="BI374" s="614"/>
    </row>
    <row r="375" s="224" customFormat="1" ht="14.45" customHeight="1" outlineLevel="1" spans="1:62">
      <c r="A375" s="76"/>
      <c r="B375" s="76"/>
      <c r="C375" s="387"/>
      <c r="D375" s="76" t="s">
        <v>372</v>
      </c>
      <c r="E375" s="113" t="s">
        <v>369</v>
      </c>
      <c r="F375" s="84"/>
      <c r="G375" s="607"/>
      <c r="I375" s="84"/>
      <c r="K375" s="129"/>
      <c r="L375" s="129"/>
      <c r="M375" s="337"/>
      <c r="O375" s="76"/>
      <c r="R375" s="76"/>
      <c r="S375" s="76"/>
      <c r="T375" s="387"/>
      <c r="U375" s="385"/>
      <c r="V375" s="387"/>
      <c r="X375" s="602"/>
      <c r="Y375" s="224">
        <v>7.918</v>
      </c>
      <c r="Z375" s="114">
        <v>6250</v>
      </c>
      <c r="AA375" s="114">
        <f t="shared" si="24"/>
        <v>49487.5</v>
      </c>
      <c r="AB375" s="383">
        <v>49487.5</v>
      </c>
      <c r="AC375" s="383"/>
      <c r="AD375" s="603"/>
      <c r="AE375" s="383"/>
      <c r="AF375" s="383"/>
      <c r="AG375" s="383"/>
      <c r="AH375" s="383"/>
      <c r="AI375" s="76"/>
      <c r="AK375" s="224">
        <v>7.918</v>
      </c>
      <c r="AL375" s="76">
        <v>6570</v>
      </c>
      <c r="AM375" s="114">
        <f t="shared" si="25"/>
        <v>52021.26</v>
      </c>
      <c r="AN375" s="114">
        <f t="shared" si="26"/>
        <v>0</v>
      </c>
      <c r="AO375" s="141">
        <f t="shared" si="27"/>
        <v>52021.26</v>
      </c>
      <c r="AP375" s="76"/>
      <c r="AQ375" s="387"/>
      <c r="AR375" s="385"/>
      <c r="AS375" s="385"/>
      <c r="AT375" s="385"/>
      <c r="AW375" s="385"/>
      <c r="AX375" s="337">
        <v>7.918</v>
      </c>
      <c r="AY375" s="383">
        <v>6570</v>
      </c>
      <c r="AZ375" s="350">
        <v>52021.26</v>
      </c>
      <c r="BA375" s="350"/>
      <c r="BB375" s="350">
        <v>52021.26</v>
      </c>
      <c r="BC375" s="350"/>
      <c r="BI375" s="614"/>
    </row>
    <row r="376" s="224" customFormat="1" ht="14.45" customHeight="1" outlineLevel="1" spans="1:62">
      <c r="A376" s="76"/>
      <c r="B376" s="76"/>
      <c r="C376" s="387"/>
      <c r="D376" s="76" t="s">
        <v>372</v>
      </c>
      <c r="E376" s="113" t="s">
        <v>371</v>
      </c>
      <c r="F376" s="84"/>
      <c r="G376" s="607"/>
      <c r="I376" s="84"/>
      <c r="K376" s="129"/>
      <c r="L376" s="129"/>
      <c r="M376" s="337"/>
      <c r="O376" s="76"/>
      <c r="R376" s="76"/>
      <c r="S376" s="76"/>
      <c r="T376" s="387"/>
      <c r="U376" s="385"/>
      <c r="V376" s="387"/>
      <c r="X376" s="602"/>
      <c r="Y376" s="224">
        <v>27.27</v>
      </c>
      <c r="Z376" s="114">
        <v>6400</v>
      </c>
      <c r="AA376" s="114">
        <f t="shared" si="24"/>
        <v>174528</v>
      </c>
      <c r="AB376" s="383">
        <v>174528</v>
      </c>
      <c r="AC376" s="383"/>
      <c r="AD376" s="603"/>
      <c r="AE376" s="383"/>
      <c r="AF376" s="383"/>
      <c r="AG376" s="383"/>
      <c r="AH376" s="383"/>
      <c r="AI376" s="76"/>
      <c r="AK376" s="224">
        <v>27.27</v>
      </c>
      <c r="AL376" s="76">
        <v>6720</v>
      </c>
      <c r="AM376" s="114">
        <f t="shared" si="25"/>
        <v>183254.4</v>
      </c>
      <c r="AN376" s="114">
        <f t="shared" si="26"/>
        <v>0</v>
      </c>
      <c r="AO376" s="141">
        <f t="shared" si="27"/>
        <v>183254.4</v>
      </c>
      <c r="AP376" s="76"/>
      <c r="AQ376" s="387"/>
      <c r="AR376" s="385"/>
      <c r="AS376" s="385"/>
      <c r="AT376" s="385"/>
      <c r="AW376" s="385"/>
      <c r="AX376" s="337">
        <v>27.27</v>
      </c>
      <c r="AY376" s="383">
        <v>6720</v>
      </c>
      <c r="AZ376" s="350">
        <v>183254.4</v>
      </c>
      <c r="BA376" s="350"/>
      <c r="BB376" s="350">
        <v>183254.4</v>
      </c>
      <c r="BC376" s="350"/>
      <c r="BI376" s="614"/>
    </row>
    <row r="377" s="224" customFormat="1" ht="14.45" customHeight="1" outlineLevel="1" spans="1:62">
      <c r="A377" s="76"/>
      <c r="B377" s="76"/>
      <c r="C377" s="387"/>
      <c r="D377" s="76" t="s">
        <v>382</v>
      </c>
      <c r="E377" s="113" t="s">
        <v>371</v>
      </c>
      <c r="F377" s="84"/>
      <c r="G377" s="607"/>
      <c r="I377" s="84"/>
      <c r="K377" s="129"/>
      <c r="L377" s="129"/>
      <c r="M377" s="337"/>
      <c r="O377" s="76"/>
      <c r="R377" s="76"/>
      <c r="S377" s="76"/>
      <c r="T377" s="387"/>
      <c r="U377" s="385"/>
      <c r="V377" s="387"/>
      <c r="X377" s="602"/>
      <c r="Y377" s="224">
        <v>94.602</v>
      </c>
      <c r="Z377" s="114">
        <v>6400</v>
      </c>
      <c r="AA377" s="114">
        <f t="shared" si="24"/>
        <v>605452.8</v>
      </c>
      <c r="AB377" s="383">
        <v>605452.8</v>
      </c>
      <c r="AC377" s="383"/>
      <c r="AD377" s="603"/>
      <c r="AE377" s="383"/>
      <c r="AF377" s="383"/>
      <c r="AG377" s="383"/>
      <c r="AH377" s="383"/>
      <c r="AI377" s="76"/>
      <c r="AK377" s="224">
        <v>94.602</v>
      </c>
      <c r="AL377" s="76">
        <v>6720</v>
      </c>
      <c r="AM377" s="114">
        <f t="shared" si="25"/>
        <v>635725.44</v>
      </c>
      <c r="AN377" s="114">
        <f t="shared" si="26"/>
        <v>0</v>
      </c>
      <c r="AO377" s="141">
        <f t="shared" si="27"/>
        <v>635725.44</v>
      </c>
      <c r="AP377" s="76"/>
      <c r="AQ377" s="387"/>
      <c r="AR377" s="385"/>
      <c r="AS377" s="385"/>
      <c r="AT377" s="385"/>
      <c r="AW377" s="385"/>
      <c r="AX377" s="337">
        <v>94.602</v>
      </c>
      <c r="AY377" s="383">
        <v>6720</v>
      </c>
      <c r="AZ377" s="350">
        <v>635725.44</v>
      </c>
      <c r="BA377" s="350"/>
      <c r="BB377" s="350">
        <v>635725.44</v>
      </c>
      <c r="BC377" s="350"/>
      <c r="BI377" s="614"/>
    </row>
    <row r="378" s="224" customFormat="1" ht="14.45" customHeight="1" outlineLevel="1" spans="1:62">
      <c r="A378" s="76"/>
      <c r="B378" s="76"/>
      <c r="C378" s="387"/>
      <c r="D378" s="76" t="s">
        <v>374</v>
      </c>
      <c r="E378" s="113" t="s">
        <v>371</v>
      </c>
      <c r="F378" s="84"/>
      <c r="G378" s="607"/>
      <c r="I378" s="84"/>
      <c r="K378" s="129"/>
      <c r="L378" s="129"/>
      <c r="M378" s="337"/>
      <c r="O378" s="76"/>
      <c r="R378" s="76"/>
      <c r="S378" s="76"/>
      <c r="T378" s="387"/>
      <c r="U378" s="385"/>
      <c r="V378" s="387"/>
      <c r="X378" s="602"/>
      <c r="Y378" s="224">
        <v>10.605</v>
      </c>
      <c r="Z378" s="114">
        <v>6400</v>
      </c>
      <c r="AA378" s="114">
        <f t="shared" si="24"/>
        <v>67872</v>
      </c>
      <c r="AB378" s="383">
        <v>67872</v>
      </c>
      <c r="AC378" s="383"/>
      <c r="AD378" s="603"/>
      <c r="AE378" s="383"/>
      <c r="AF378" s="383"/>
      <c r="AG378" s="383"/>
      <c r="AH378" s="383"/>
      <c r="AI378" s="76"/>
      <c r="AK378" s="224">
        <v>10.605</v>
      </c>
      <c r="AL378" s="76">
        <v>6570</v>
      </c>
      <c r="AM378" s="114">
        <f t="shared" si="25"/>
        <v>69674.85</v>
      </c>
      <c r="AN378" s="114">
        <f t="shared" si="26"/>
        <v>0</v>
      </c>
      <c r="AO378" s="141">
        <f t="shared" si="27"/>
        <v>69674.85</v>
      </c>
      <c r="AP378" s="76"/>
      <c r="AQ378" s="387"/>
      <c r="AR378" s="385"/>
      <c r="AS378" s="385"/>
      <c r="AT378" s="385"/>
      <c r="AW378" s="385"/>
      <c r="AX378" s="224">
        <v>10.605</v>
      </c>
      <c r="AY378" s="76">
        <v>6570</v>
      </c>
      <c r="AZ378" s="114">
        <v>69674.85</v>
      </c>
      <c r="BA378" s="350"/>
      <c r="BB378" s="350"/>
      <c r="BC378" s="350"/>
      <c r="BI378" s="614"/>
    </row>
    <row r="379" s="224" customFormat="1" ht="14.45" customHeight="1" outlineLevel="1" spans="1:62">
      <c r="A379" s="76"/>
      <c r="B379" s="76"/>
      <c r="C379" s="387"/>
      <c r="D379" s="76" t="s">
        <v>382</v>
      </c>
      <c r="E379" s="113" t="s">
        <v>373</v>
      </c>
      <c r="F379" s="84"/>
      <c r="G379" s="607"/>
      <c r="I379" s="84"/>
      <c r="K379" s="129"/>
      <c r="L379" s="129"/>
      <c r="M379" s="337"/>
      <c r="O379" s="76"/>
      <c r="R379" s="76"/>
      <c r="S379" s="76"/>
      <c r="T379" s="387"/>
      <c r="U379" s="385"/>
      <c r="V379" s="387"/>
      <c r="X379" s="602"/>
      <c r="Y379" s="224">
        <v>69.291</v>
      </c>
      <c r="Z379" s="114">
        <v>6400</v>
      </c>
      <c r="AA379" s="114">
        <f t="shared" si="24"/>
        <v>443462.4</v>
      </c>
      <c r="AB379" s="383">
        <v>443462.4</v>
      </c>
      <c r="AC379" s="383"/>
      <c r="AD379" s="603"/>
      <c r="AE379" s="383"/>
      <c r="AF379" s="383"/>
      <c r="AG379" s="383"/>
      <c r="AH379" s="383"/>
      <c r="AI379" s="76"/>
      <c r="AK379" s="224">
        <v>69.291</v>
      </c>
      <c r="AL379" s="76">
        <v>6720</v>
      </c>
      <c r="AM379" s="114">
        <f t="shared" si="25"/>
        <v>465635.52</v>
      </c>
      <c r="AN379" s="114">
        <f t="shared" si="26"/>
        <v>0</v>
      </c>
      <c r="AO379" s="141">
        <f t="shared" si="27"/>
        <v>465635.52</v>
      </c>
      <c r="AP379" s="76"/>
      <c r="AQ379" s="387"/>
      <c r="AR379" s="385"/>
      <c r="AS379" s="385"/>
      <c r="AT379" s="385"/>
      <c r="AW379" s="385"/>
      <c r="AX379" s="337">
        <v>69.291</v>
      </c>
      <c r="AY379" s="383">
        <v>6720</v>
      </c>
      <c r="AZ379" s="350">
        <v>465635.52</v>
      </c>
      <c r="BA379" s="350"/>
      <c r="BB379" s="350">
        <v>465635.52</v>
      </c>
      <c r="BC379" s="350"/>
      <c r="BI379" s="614"/>
    </row>
    <row r="380" s="224" customFormat="1" ht="14.45" customHeight="1" outlineLevel="1" spans="1:62">
      <c r="A380" s="76"/>
      <c r="B380" s="76"/>
      <c r="C380" s="387"/>
      <c r="D380" s="76"/>
      <c r="E380" s="113" t="s">
        <v>375</v>
      </c>
      <c r="F380" s="84"/>
      <c r="G380" s="607"/>
      <c r="I380" s="84"/>
      <c r="K380" s="129"/>
      <c r="L380" s="129"/>
      <c r="M380" s="337"/>
      <c r="O380" s="76"/>
      <c r="R380" s="76"/>
      <c r="S380" s="76"/>
      <c r="T380" s="387"/>
      <c r="U380" s="385"/>
      <c r="V380" s="387"/>
      <c r="X380" s="602"/>
      <c r="Y380" s="224">
        <v>1.512</v>
      </c>
      <c r="Z380" s="114">
        <v>6250</v>
      </c>
      <c r="AA380" s="114">
        <f t="shared" si="24"/>
        <v>9450</v>
      </c>
      <c r="AB380" s="383">
        <v>9450</v>
      </c>
      <c r="AC380" s="383"/>
      <c r="AD380" s="603"/>
      <c r="AE380" s="383"/>
      <c r="AF380" s="383"/>
      <c r="AG380" s="383"/>
      <c r="AH380" s="383"/>
      <c r="AI380" s="76"/>
      <c r="AK380" s="224">
        <v>1.512</v>
      </c>
      <c r="AL380" s="76"/>
      <c r="AM380" s="114"/>
      <c r="AN380" s="114"/>
      <c r="AO380" s="141"/>
      <c r="AP380" s="76"/>
      <c r="AQ380" s="387"/>
      <c r="AR380" s="385"/>
      <c r="AS380" s="385"/>
      <c r="AT380" s="385"/>
      <c r="AW380" s="385"/>
      <c r="AX380" s="337"/>
      <c r="AY380" s="383"/>
      <c r="AZ380" s="350"/>
      <c r="BA380" s="350"/>
      <c r="BB380" s="350"/>
      <c r="BC380" s="350"/>
      <c r="BI380" s="614"/>
    </row>
    <row r="381" s="224" customFormat="1" ht="14.45" customHeight="1" outlineLevel="1" spans="1:62">
      <c r="A381" s="76"/>
      <c r="B381" s="76"/>
      <c r="C381" s="387"/>
      <c r="D381" s="76"/>
      <c r="E381" s="113"/>
      <c r="F381" s="84"/>
      <c r="G381" s="607"/>
      <c r="I381" s="84"/>
      <c r="K381" s="129"/>
      <c r="L381" s="129"/>
      <c r="M381" s="337"/>
      <c r="O381" s="76"/>
      <c r="R381" s="76"/>
      <c r="S381" s="578" t="s">
        <v>288</v>
      </c>
      <c r="T381" s="387"/>
      <c r="U381" s="385"/>
      <c r="V381" s="387"/>
      <c r="X381" s="602"/>
      <c r="Z381" s="114"/>
      <c r="AA381" s="114">
        <v>151362.4</v>
      </c>
      <c r="AB381" s="383"/>
      <c r="AC381" s="383"/>
      <c r="AD381" s="603"/>
      <c r="AE381" s="383"/>
      <c r="AF381" s="383"/>
      <c r="AG381" s="383"/>
      <c r="AH381" s="383"/>
      <c r="AI381" s="76"/>
      <c r="AL381" s="76"/>
      <c r="AM381" s="114"/>
      <c r="AN381" s="114"/>
      <c r="AO381" s="141"/>
      <c r="AP381" s="76"/>
      <c r="AQ381" s="387"/>
      <c r="AR381" s="385"/>
      <c r="AS381" s="385"/>
      <c r="AT381" s="385"/>
      <c r="AW381" s="385"/>
      <c r="AX381" s="337"/>
      <c r="AY381" s="383"/>
      <c r="AZ381" s="350"/>
      <c r="BA381" s="350"/>
      <c r="BB381" s="350"/>
      <c r="BC381" s="350"/>
      <c r="BI381" s="614"/>
    </row>
    <row r="382" s="79" customFormat="1" ht="39.75" customHeight="1" spans="1:62">
      <c r="A382" s="79" t="s">
        <v>338</v>
      </c>
      <c r="C382" s="463"/>
      <c r="D382" s="79" t="s">
        <v>383</v>
      </c>
      <c r="E382" s="116" t="s">
        <v>384</v>
      </c>
      <c r="F382" s="80"/>
      <c r="G382" s="486"/>
      <c r="H382" s="79" t="s">
        <v>93</v>
      </c>
      <c r="I382" s="84"/>
      <c r="J382" s="194">
        <f>SUM(J367:J373)</f>
        <v>761</v>
      </c>
      <c r="K382" s="194"/>
      <c r="L382" s="194">
        <f>SUM(L367:L373)</f>
        <v>4991800</v>
      </c>
      <c r="M382" s="194"/>
      <c r="N382" s="79">
        <f>SUM(N367:N371)</f>
        <v>4866677.05</v>
      </c>
      <c r="O382" s="192">
        <f>SUM(O367:O373)</f>
        <v>125122.95</v>
      </c>
      <c r="P382" s="91"/>
      <c r="Q382" s="91"/>
      <c r="T382" s="463"/>
      <c r="U382" s="463">
        <f>C367+60</f>
        <v>45812</v>
      </c>
      <c r="V382" s="463">
        <v>45853</v>
      </c>
      <c r="X382" s="193" t="s">
        <v>355</v>
      </c>
      <c r="Y382" s="79">
        <f>SUM(Y367:Y380)</f>
        <v>737.072</v>
      </c>
      <c r="Z382" s="192"/>
      <c r="AA382" s="192">
        <f>SUM(AA367:AA381)</f>
        <v>4800250.05</v>
      </c>
      <c r="AB382" s="192">
        <f>SUM(AB367:AB380)</f>
        <v>4648887.65</v>
      </c>
      <c r="AC382" s="192"/>
      <c r="AD382" s="196"/>
      <c r="AE382" s="192"/>
      <c r="AF382" s="192"/>
      <c r="AG382" s="192"/>
      <c r="AH382" s="192"/>
      <c r="AI382" s="91"/>
      <c r="AJ382" s="83"/>
      <c r="AK382" s="79">
        <f>SUM(AK367:AK380)</f>
        <v>737.072</v>
      </c>
      <c r="AM382" s="192">
        <f>SUM(AM367:AM380)</f>
        <v>4866677.245</v>
      </c>
      <c r="AN382" s="192">
        <f>N382</f>
        <v>4866677.05</v>
      </c>
      <c r="AO382" s="79">
        <f>SUM(AO367:AO380)</f>
        <v>0.195000000006985</v>
      </c>
      <c r="AP382" s="91"/>
      <c r="AQ382" s="463">
        <f>V382</f>
        <v>45853</v>
      </c>
      <c r="AR382" s="463"/>
      <c r="AS382" s="463"/>
      <c r="AT382" s="463" t="s">
        <v>298</v>
      </c>
      <c r="AV382" s="79">
        <f>SUM(AV367:AV373)</f>
        <v>28</v>
      </c>
      <c r="AW382" s="463">
        <v>45865</v>
      </c>
      <c r="AX382" s="194">
        <f>SUM(AX367:AX380)</f>
        <v>735.56</v>
      </c>
      <c r="AY382" s="192"/>
      <c r="AZ382" s="150">
        <f>SUM(AZ367:AZ380)</f>
        <v>4866677.245</v>
      </c>
      <c r="BA382" s="150"/>
      <c r="BB382" s="150"/>
      <c r="BC382" s="150"/>
      <c r="BI382" s="494" t="s">
        <v>85</v>
      </c>
      <c r="BJ382" s="91"/>
    </row>
    <row r="383" s="76" customFormat="1" ht="14.45" customHeight="1" outlineLevel="1" spans="1:62">
      <c r="A383" s="569">
        <v>45755</v>
      </c>
      <c r="B383" s="569"/>
      <c r="C383" s="569">
        <v>45758</v>
      </c>
      <c r="D383" s="77" t="s">
        <v>385</v>
      </c>
      <c r="E383" s="338" t="s">
        <v>386</v>
      </c>
      <c r="G383" s="615">
        <f>186320+200997+25022.02</f>
        <v>412339.02</v>
      </c>
      <c r="H383" s="76" t="s">
        <v>93</v>
      </c>
      <c r="J383" s="129">
        <v>30</v>
      </c>
      <c r="K383" s="129">
        <f>5220+250</f>
        <v>5470</v>
      </c>
      <c r="L383" s="129">
        <f>K383*J383</f>
        <v>164100</v>
      </c>
      <c r="M383" s="129"/>
      <c r="N383" s="76">
        <f>186320</f>
        <v>186320</v>
      </c>
      <c r="O383" s="76">
        <f>L383-N383</f>
        <v>-22220</v>
      </c>
      <c r="R383" s="76" t="s">
        <v>88</v>
      </c>
      <c r="S383" s="76" t="s">
        <v>387</v>
      </c>
      <c r="T383" s="387">
        <v>45763</v>
      </c>
      <c r="U383" s="387"/>
      <c r="V383" s="387">
        <v>45833</v>
      </c>
      <c r="X383" s="133"/>
      <c r="Y383" s="76">
        <f>1.502*19+1.85</f>
        <v>30.388</v>
      </c>
      <c r="Z383" s="114">
        <v>5220</v>
      </c>
      <c r="AA383" s="114">
        <f>Z383*Y383</f>
        <v>158625.36</v>
      </c>
      <c r="AB383" s="114">
        <v>158625.36</v>
      </c>
      <c r="AC383" s="114"/>
      <c r="AD383" s="140"/>
      <c r="AE383" s="114"/>
      <c r="AF383" s="114"/>
      <c r="AG383" s="114"/>
      <c r="AH383" s="114"/>
      <c r="AK383" s="76">
        <f>1.502*19+1.85</f>
        <v>30.388</v>
      </c>
      <c r="AL383" s="76">
        <f>Z383+280</f>
        <v>5500</v>
      </c>
      <c r="AM383" s="114">
        <f>AL383*AK383</f>
        <v>167134</v>
      </c>
      <c r="AN383" s="114">
        <f>N383</f>
        <v>186320</v>
      </c>
      <c r="AO383" s="141">
        <f>AM383-AN383</f>
        <v>-19186</v>
      </c>
      <c r="AQ383" s="387"/>
      <c r="AR383" s="385"/>
      <c r="AS383" s="385"/>
      <c r="AT383" s="385"/>
      <c r="AW383" s="387"/>
      <c r="AX383" s="76">
        <f>1.502*19+1.85</f>
        <v>30.388</v>
      </c>
      <c r="AY383" s="76">
        <v>5500</v>
      </c>
      <c r="AZ383" s="114">
        <f>AY383*AX383</f>
        <v>167134</v>
      </c>
      <c r="BA383" s="127">
        <f>AN383</f>
        <v>186320</v>
      </c>
      <c r="BB383" s="127"/>
      <c r="BC383" s="391">
        <f>BB383+BA383-AZ383</f>
        <v>19186</v>
      </c>
      <c r="BI383" s="149"/>
    </row>
    <row r="384" s="76" customFormat="1" ht="14.45" customHeight="1" outlineLevel="1" spans="1:62">
      <c r="A384" s="569">
        <v>45755</v>
      </c>
      <c r="B384" s="569"/>
      <c r="C384" s="387">
        <v>45758</v>
      </c>
      <c r="D384" s="76" t="s">
        <v>385</v>
      </c>
      <c r="E384" s="113" t="s">
        <v>388</v>
      </c>
      <c r="G384" s="615"/>
      <c r="H384" s="76" t="s">
        <v>93</v>
      </c>
      <c r="J384" s="129">
        <v>15</v>
      </c>
      <c r="K384" s="129">
        <f>5220+250</f>
        <v>5470</v>
      </c>
      <c r="L384" s="129">
        <f>K384*J384</f>
        <v>82050</v>
      </c>
      <c r="M384" s="129"/>
      <c r="N384" s="76">
        <v>200997</v>
      </c>
      <c r="O384" s="76">
        <f>L384-N384</f>
        <v>-118947</v>
      </c>
      <c r="R384" s="76" t="s">
        <v>88</v>
      </c>
      <c r="S384" s="76" t="s">
        <v>387</v>
      </c>
      <c r="T384" s="387">
        <v>45763</v>
      </c>
      <c r="U384" s="387"/>
      <c r="V384" s="387">
        <v>45833</v>
      </c>
      <c r="X384" s="133"/>
      <c r="Y384" s="76">
        <f>1.511*6+1.193</f>
        <v>10.259</v>
      </c>
      <c r="Z384" s="114">
        <v>5220</v>
      </c>
      <c r="AA384" s="114">
        <f>Z384*Y384</f>
        <v>53551.98</v>
      </c>
      <c r="AB384" s="114">
        <v>53551.98</v>
      </c>
      <c r="AC384" s="114"/>
      <c r="AD384" s="140"/>
      <c r="AE384" s="114"/>
      <c r="AF384" s="114"/>
      <c r="AG384" s="114"/>
      <c r="AH384" s="114"/>
      <c r="AK384" s="76">
        <f>1.511*6+1.193</f>
        <v>10.259</v>
      </c>
      <c r="AL384" s="76">
        <f>Z384+280</f>
        <v>5500</v>
      </c>
      <c r="AM384" s="114">
        <f>AL384*AK384</f>
        <v>56424.5</v>
      </c>
      <c r="AN384" s="114">
        <f>N384</f>
        <v>200997</v>
      </c>
      <c r="AO384" s="141">
        <f>AM384-AN384</f>
        <v>-144572.5</v>
      </c>
      <c r="AQ384" s="387"/>
      <c r="AR384" s="385"/>
      <c r="AS384" s="385"/>
      <c r="AT384" s="385"/>
      <c r="AW384" s="387"/>
      <c r="AX384" s="76">
        <f>1.511*6+1.193</f>
        <v>10.259</v>
      </c>
      <c r="AY384" s="76">
        <v>5500</v>
      </c>
      <c r="AZ384" s="114">
        <f>AY384*AX384</f>
        <v>56424.5</v>
      </c>
      <c r="BA384" s="127">
        <f>AN384</f>
        <v>200997</v>
      </c>
      <c r="BB384" s="127"/>
      <c r="BC384" s="391">
        <f>BB384+BA384-AZ384</f>
        <v>144572.5</v>
      </c>
      <c r="BI384" s="149"/>
    </row>
    <row r="385" s="76" customFormat="1" ht="14.45" customHeight="1" outlineLevel="1" spans="1:62">
      <c r="A385" s="569">
        <v>45755</v>
      </c>
      <c r="B385" s="569"/>
      <c r="C385" s="387">
        <v>45758</v>
      </c>
      <c r="D385" s="76" t="s">
        <v>385</v>
      </c>
      <c r="E385" s="113" t="s">
        <v>389</v>
      </c>
      <c r="G385" s="615"/>
      <c r="H385" s="76" t="s">
        <v>93</v>
      </c>
      <c r="J385" s="129">
        <v>15</v>
      </c>
      <c r="K385" s="129">
        <f>5200+250</f>
        <v>5450</v>
      </c>
      <c r="L385" s="129">
        <f>K385*J385</f>
        <v>81750</v>
      </c>
      <c r="M385" s="129"/>
      <c r="N385" s="76">
        <v>12511.01</v>
      </c>
      <c r="O385" s="76">
        <f>L385-N385</f>
        <v>69238.99</v>
      </c>
      <c r="R385" s="76" t="s">
        <v>88</v>
      </c>
      <c r="S385" s="76" t="s">
        <v>387</v>
      </c>
      <c r="T385" s="387">
        <v>45763</v>
      </c>
      <c r="U385" s="387"/>
      <c r="V385" s="387">
        <v>45823</v>
      </c>
      <c r="X385" s="133"/>
      <c r="Y385" s="76">
        <v>17.179</v>
      </c>
      <c r="Z385" s="114">
        <v>5200</v>
      </c>
      <c r="AA385" s="114">
        <f>Z385*Y385</f>
        <v>89330.8</v>
      </c>
      <c r="AB385" s="114">
        <v>89330.8</v>
      </c>
      <c r="AC385" s="114"/>
      <c r="AD385" s="140"/>
      <c r="AE385" s="114"/>
      <c r="AF385" s="114"/>
      <c r="AG385" s="114"/>
      <c r="AH385" s="114"/>
      <c r="AK385" s="76">
        <v>17.179</v>
      </c>
      <c r="AL385" s="76">
        <f>Z385+280</f>
        <v>5480</v>
      </c>
      <c r="AM385" s="114">
        <f>AL385*AK385</f>
        <v>94140.92</v>
      </c>
      <c r="AN385" s="114">
        <f>N385</f>
        <v>12511.01</v>
      </c>
      <c r="AO385" s="141">
        <f>AM385-AN385</f>
        <v>81629.91</v>
      </c>
      <c r="AQ385" s="387"/>
      <c r="AR385" s="385"/>
      <c r="AS385" s="385"/>
      <c r="AT385" s="385"/>
      <c r="AW385" s="387"/>
      <c r="AX385" s="76">
        <v>17.179</v>
      </c>
      <c r="AY385" s="76">
        <v>5480</v>
      </c>
      <c r="AZ385" s="114">
        <f>AY385*AX385</f>
        <v>94140.92</v>
      </c>
      <c r="BA385" s="127">
        <f>AN385</f>
        <v>12511.01</v>
      </c>
      <c r="BB385" s="127"/>
      <c r="BC385" s="391">
        <f>BB385+BA385-AZ385</f>
        <v>-81629.91</v>
      </c>
      <c r="BI385" s="149"/>
    </row>
    <row r="386" s="76" customFormat="1" ht="14.45" customHeight="1" outlineLevel="1" spans="1:62">
      <c r="A386" s="569">
        <v>45755</v>
      </c>
      <c r="B386" s="569"/>
      <c r="C386" s="387">
        <v>45758</v>
      </c>
      <c r="D386" s="76" t="s">
        <v>385</v>
      </c>
      <c r="E386" s="113" t="s">
        <v>390</v>
      </c>
      <c r="G386" s="615"/>
      <c r="H386" s="76" t="s">
        <v>93</v>
      </c>
      <c r="J386" s="129">
        <v>15</v>
      </c>
      <c r="K386" s="129">
        <f>5200+250</f>
        <v>5450</v>
      </c>
      <c r="L386" s="129">
        <f>K386*J386</f>
        <v>81750</v>
      </c>
      <c r="M386" s="129"/>
      <c r="N386" s="76">
        <v>12511.01</v>
      </c>
      <c r="O386" s="76">
        <f>L386-N386</f>
        <v>69238.99</v>
      </c>
      <c r="R386" s="76" t="s">
        <v>88</v>
      </c>
      <c r="S386" s="76" t="s">
        <v>387</v>
      </c>
      <c r="T386" s="387">
        <v>45763</v>
      </c>
      <c r="U386" s="387"/>
      <c r="V386" s="387">
        <v>45823</v>
      </c>
      <c r="X386" s="133"/>
      <c r="Y386" s="76">
        <v>17.27</v>
      </c>
      <c r="Z386" s="114">
        <v>5200</v>
      </c>
      <c r="AA386" s="114">
        <f>Z386*Y386</f>
        <v>89804</v>
      </c>
      <c r="AB386" s="114">
        <v>89804</v>
      </c>
      <c r="AC386" s="114"/>
      <c r="AD386" s="140"/>
      <c r="AE386" s="114"/>
      <c r="AF386" s="114"/>
      <c r="AG386" s="114"/>
      <c r="AH386" s="114"/>
      <c r="AK386" s="76">
        <v>17.27</v>
      </c>
      <c r="AL386" s="76">
        <f>Z386+280</f>
        <v>5480</v>
      </c>
      <c r="AM386" s="114">
        <f>AL386*AK386</f>
        <v>94639.6</v>
      </c>
      <c r="AN386" s="114">
        <f>N386</f>
        <v>12511.01</v>
      </c>
      <c r="AO386" s="141">
        <f>AM386-AN386</f>
        <v>82128.59</v>
      </c>
      <c r="AQ386" s="387"/>
      <c r="AR386" s="385"/>
      <c r="AS386" s="385"/>
      <c r="AT386" s="385"/>
      <c r="AW386" s="387"/>
      <c r="AX386" s="76">
        <v>17.27</v>
      </c>
      <c r="AY386" s="76">
        <v>5480</v>
      </c>
      <c r="AZ386" s="114">
        <f>AY386*AX386</f>
        <v>94639.6</v>
      </c>
      <c r="BA386" s="127">
        <f>AN386</f>
        <v>12511.01</v>
      </c>
      <c r="BB386" s="127"/>
      <c r="BC386" s="391">
        <f>BB386+BA386-AZ386</f>
        <v>-82128.59</v>
      </c>
      <c r="BI386" s="149"/>
    </row>
    <row r="387" s="77" customFormat="1" ht="14.45" customHeight="1" outlineLevel="1" spans="1:62">
      <c r="A387" s="569"/>
      <c r="B387" s="569"/>
      <c r="C387" s="569"/>
      <c r="E387" s="338"/>
      <c r="F387" s="84"/>
      <c r="G387" s="616"/>
      <c r="H387" s="224"/>
      <c r="I387" s="84"/>
      <c r="J387" s="157"/>
      <c r="K387" s="157"/>
      <c r="L387" s="157"/>
      <c r="M387" s="157"/>
      <c r="S387" s="617" t="s">
        <v>288</v>
      </c>
      <c r="T387" s="569"/>
      <c r="U387" s="569"/>
      <c r="V387" s="569"/>
      <c r="X387" s="161"/>
      <c r="Z387" s="155"/>
      <c r="AA387" s="155">
        <v>12903</v>
      </c>
      <c r="AB387" s="155"/>
      <c r="AC387" s="155"/>
      <c r="AD387" s="163"/>
      <c r="AE387" s="155"/>
      <c r="AF387" s="155"/>
      <c r="AG387" s="155"/>
      <c r="AH387" s="155"/>
      <c r="AI387" s="76"/>
      <c r="AM387" s="155"/>
      <c r="AN387" s="114"/>
      <c r="AO387" s="164"/>
      <c r="AP387" s="76"/>
      <c r="AQ387" s="387"/>
      <c r="AR387" s="618"/>
      <c r="AS387" s="618"/>
      <c r="AT387" s="618"/>
      <c r="AW387" s="569"/>
      <c r="AZ387" s="155"/>
      <c r="BA387" s="168"/>
      <c r="BB387" s="168"/>
      <c r="BC387" s="391"/>
      <c r="BI387" s="149"/>
    </row>
    <row r="388" s="420" customFormat="1" ht="57.6" customHeight="1" spans="1:62">
      <c r="A388" s="420" t="s">
        <v>391</v>
      </c>
      <c r="C388" s="619"/>
      <c r="D388" s="420" t="s">
        <v>385</v>
      </c>
      <c r="E388" s="620" t="s">
        <v>392</v>
      </c>
      <c r="F388" s="80"/>
      <c r="G388" s="608"/>
      <c r="H388" s="83" t="s">
        <v>93</v>
      </c>
      <c r="I388" s="84"/>
      <c r="J388" s="621">
        <f>SUM(J383:J386)</f>
        <v>75</v>
      </c>
      <c r="K388" s="621"/>
      <c r="L388" s="621">
        <f>SUM(L383:L386)</f>
        <v>409650</v>
      </c>
      <c r="M388" s="621"/>
      <c r="N388" s="420">
        <f>SUM(N383:N386)</f>
        <v>412339.02</v>
      </c>
      <c r="O388" s="622">
        <f>SUM(O383:O386)</f>
        <v>-2689.01999999999</v>
      </c>
      <c r="P388" s="160"/>
      <c r="Q388" s="160"/>
      <c r="T388" s="619"/>
      <c r="U388" s="619">
        <f>A383+60</f>
        <v>45815</v>
      </c>
      <c r="V388" s="619">
        <v>45833</v>
      </c>
      <c r="X388" s="623" t="s">
        <v>355</v>
      </c>
      <c r="Y388" s="420">
        <f>SUM(Y383:Y386)</f>
        <v>75.096</v>
      </c>
      <c r="Z388" s="622"/>
      <c r="AA388" s="420">
        <f>SUM(AA383:AA387)</f>
        <v>404215.14</v>
      </c>
      <c r="AB388" s="420">
        <f>SUM(AB383:AB386)</f>
        <v>391312.14</v>
      </c>
      <c r="AC388" s="622"/>
      <c r="AD388" s="624"/>
      <c r="AE388" s="622"/>
      <c r="AF388" s="622"/>
      <c r="AG388" s="622"/>
      <c r="AH388" s="622"/>
      <c r="AI388" s="91"/>
      <c r="AK388" s="420">
        <f>SUM(AK383:AK386)</f>
        <v>75.096</v>
      </c>
      <c r="AM388" s="622">
        <f>SUM(AM383:AM386)</f>
        <v>412339.02</v>
      </c>
      <c r="AN388" s="192">
        <f>N388</f>
        <v>412339.02</v>
      </c>
      <c r="AO388" s="622">
        <f>SUM(AO383:AO386)</f>
        <v>0</v>
      </c>
      <c r="AP388" s="91"/>
      <c r="AQ388" s="463">
        <f>V388</f>
        <v>45833</v>
      </c>
      <c r="AR388" s="625"/>
      <c r="AS388" s="625"/>
      <c r="AT388" s="625" t="s">
        <v>298</v>
      </c>
      <c r="AU388" s="420">
        <v>1066506246</v>
      </c>
      <c r="AV388" s="420">
        <v>3</v>
      </c>
      <c r="AW388" s="619">
        <v>45837</v>
      </c>
      <c r="AX388" s="626">
        <f>SUM(AX383:AX386)</f>
        <v>75.096</v>
      </c>
      <c r="AY388" s="622"/>
      <c r="AZ388" s="626">
        <f>SUM(AZ383:AZ386)</f>
        <v>412339.02</v>
      </c>
      <c r="BA388" s="626">
        <f>SUM(BA383:BA386)</f>
        <v>412339.02</v>
      </c>
      <c r="BB388" s="626"/>
      <c r="BC388" s="391">
        <f>SUM(BC383:BC386)</f>
        <v>0</v>
      </c>
      <c r="BI388" s="494" t="s">
        <v>85</v>
      </c>
      <c r="BJ388" s="160"/>
    </row>
    <row r="389" s="77" customFormat="1" ht="14.45" customHeight="1" outlineLevel="1" spans="1:62">
      <c r="A389" s="569">
        <v>45762</v>
      </c>
      <c r="B389" s="569"/>
      <c r="C389" s="569"/>
      <c r="D389" s="77" t="s">
        <v>393</v>
      </c>
      <c r="E389" s="338" t="s">
        <v>394</v>
      </c>
      <c r="F389" s="80"/>
      <c r="G389" s="616">
        <f>437240+6200.67+30</f>
        <v>443470.67</v>
      </c>
      <c r="H389" s="76" t="s">
        <v>93</v>
      </c>
      <c r="I389" s="84"/>
      <c r="J389" s="157">
        <v>47</v>
      </c>
      <c r="K389" s="157">
        <v>6400</v>
      </c>
      <c r="L389" s="129">
        <f>K389*J389</f>
        <v>300800</v>
      </c>
      <c r="M389" s="157"/>
      <c r="N389" s="77">
        <v>437240</v>
      </c>
      <c r="O389" s="114">
        <f>L389-N389</f>
        <v>-136440</v>
      </c>
      <c r="R389" s="76" t="s">
        <v>88</v>
      </c>
      <c r="S389" s="77" t="s">
        <v>395</v>
      </c>
      <c r="T389" s="569">
        <v>45764</v>
      </c>
      <c r="U389" s="569"/>
      <c r="V389" s="387">
        <v>45836</v>
      </c>
      <c r="X389" s="161"/>
      <c r="Y389" s="77">
        <v>35.054</v>
      </c>
      <c r="Z389" s="155">
        <v>6150</v>
      </c>
      <c r="AA389" s="114">
        <f>Z389*Y389</f>
        <v>215582.1</v>
      </c>
      <c r="AB389" s="155">
        <v>215582.1</v>
      </c>
      <c r="AC389" s="155"/>
      <c r="AD389" s="163"/>
      <c r="AE389" s="155"/>
      <c r="AF389" s="155"/>
      <c r="AG389" s="155"/>
      <c r="AH389" s="155"/>
      <c r="AI389" s="76"/>
      <c r="AK389" s="77">
        <v>35.054</v>
      </c>
      <c r="AL389" s="76">
        <f>Z389+280</f>
        <v>6430</v>
      </c>
      <c r="AM389" s="114">
        <f>AL389*AK389</f>
        <v>225397.22</v>
      </c>
      <c r="AN389" s="114">
        <f>N389</f>
        <v>437240</v>
      </c>
      <c r="AO389" s="141">
        <f>AM389-AN389</f>
        <v>-211842.78</v>
      </c>
      <c r="AP389" s="76"/>
      <c r="AQ389" s="387"/>
      <c r="AR389" s="569"/>
      <c r="AS389" s="569"/>
      <c r="AT389" s="569"/>
      <c r="AW389" s="569"/>
      <c r="AX389" s="77">
        <v>35.054</v>
      </c>
      <c r="AY389" s="155">
        <v>6430</v>
      </c>
      <c r="AZ389" s="114">
        <f>AY389*AX389</f>
        <v>225397.22</v>
      </c>
      <c r="BA389" s="168">
        <f>AN389</f>
        <v>437240</v>
      </c>
      <c r="BB389" s="168"/>
      <c r="BC389" s="391">
        <f>BB389+BA389-AZ389</f>
        <v>211842.78</v>
      </c>
      <c r="BI389" s="188"/>
    </row>
    <row r="390" s="77" customFormat="1" ht="14.45" customHeight="1" outlineLevel="1" spans="1:62">
      <c r="A390" s="569">
        <v>45762</v>
      </c>
      <c r="B390" s="569"/>
      <c r="C390" s="569"/>
      <c r="D390" s="77" t="s">
        <v>393</v>
      </c>
      <c r="E390" s="338" t="s">
        <v>396</v>
      </c>
      <c r="F390" s="80"/>
      <c r="G390" s="616"/>
      <c r="H390" s="76" t="s">
        <v>93</v>
      </c>
      <c r="I390" s="84"/>
      <c r="J390" s="157">
        <v>23.5</v>
      </c>
      <c r="K390" s="157">
        <v>6400</v>
      </c>
      <c r="L390" s="129">
        <f>K390*J390</f>
        <v>150400</v>
      </c>
      <c r="M390" s="157"/>
      <c r="N390" s="77">
        <v>6230.67</v>
      </c>
      <c r="O390" s="114">
        <f>L390-N390</f>
        <v>144169.33</v>
      </c>
      <c r="R390" s="76" t="s">
        <v>88</v>
      </c>
      <c r="S390" s="77" t="s">
        <v>395</v>
      </c>
      <c r="T390" s="569">
        <v>45764</v>
      </c>
      <c r="U390" s="569"/>
      <c r="V390" s="387">
        <v>45836</v>
      </c>
      <c r="X390" s="161"/>
      <c r="Y390" s="77">
        <v>33.915</v>
      </c>
      <c r="Z390" s="155">
        <v>6150</v>
      </c>
      <c r="AA390" s="114">
        <f>Z390*Y390</f>
        <v>208577.25</v>
      </c>
      <c r="AB390" s="155">
        <v>208577.25</v>
      </c>
      <c r="AC390" s="155"/>
      <c r="AD390" s="163"/>
      <c r="AE390" s="155"/>
      <c r="AF390" s="155"/>
      <c r="AG390" s="155"/>
      <c r="AH390" s="155"/>
      <c r="AI390" s="76"/>
      <c r="AK390" s="77">
        <v>33.915</v>
      </c>
      <c r="AL390" s="76">
        <f>Z390+280</f>
        <v>6430</v>
      </c>
      <c r="AM390" s="114">
        <f>AL390*AK390</f>
        <v>218073.45</v>
      </c>
      <c r="AN390" s="114">
        <f>N390</f>
        <v>6230.67</v>
      </c>
      <c r="AO390" s="141">
        <f>AM390-AN390</f>
        <v>211842.78</v>
      </c>
      <c r="AP390" s="76"/>
      <c r="AQ390" s="387"/>
      <c r="AR390" s="569"/>
      <c r="AS390" s="569"/>
      <c r="AT390" s="569"/>
      <c r="AW390" s="569"/>
      <c r="AX390" s="77">
        <v>33.915</v>
      </c>
      <c r="AY390" s="155">
        <v>6430</v>
      </c>
      <c r="AZ390" s="114">
        <f>AY390*AX390</f>
        <v>218073.45</v>
      </c>
      <c r="BA390" s="168"/>
      <c r="BB390" s="168"/>
      <c r="BC390" s="391">
        <f>BB390+BA390-AZ390</f>
        <v>-218073.45</v>
      </c>
      <c r="BI390" s="188"/>
    </row>
    <row r="391" s="77" customFormat="1" ht="14.45" customHeight="1" outlineLevel="1" spans="1:62">
      <c r="A391" s="569"/>
      <c r="B391" s="569"/>
      <c r="C391" s="569"/>
      <c r="E391" s="338"/>
      <c r="F391" s="80"/>
      <c r="G391" s="616"/>
      <c r="H391" s="224"/>
      <c r="I391" s="84"/>
      <c r="J391" s="157"/>
      <c r="K391" s="157"/>
      <c r="L391" s="157"/>
      <c r="M391" s="157"/>
      <c r="O391" s="155"/>
      <c r="S391" s="617" t="s">
        <v>288</v>
      </c>
      <c r="T391" s="569"/>
      <c r="U391" s="569"/>
      <c r="V391" s="569"/>
      <c r="X391" s="161"/>
      <c r="Z391" s="155"/>
      <c r="AA391" s="155">
        <v>13803</v>
      </c>
      <c r="AB391" s="155"/>
      <c r="AC391" s="155"/>
      <c r="AD391" s="163"/>
      <c r="AE391" s="155"/>
      <c r="AF391" s="155"/>
      <c r="AG391" s="155"/>
      <c r="AH391" s="155"/>
      <c r="AI391" s="76"/>
      <c r="AM391" s="155"/>
      <c r="AN391" s="114"/>
      <c r="AO391" s="164"/>
      <c r="AP391" s="76"/>
      <c r="AQ391" s="387"/>
      <c r="AR391" s="569"/>
      <c r="AS391" s="569"/>
      <c r="AT391" s="569"/>
      <c r="AW391" s="569"/>
      <c r="AY391" s="155"/>
      <c r="AZ391" s="155"/>
      <c r="BA391" s="168"/>
      <c r="BB391" s="168"/>
      <c r="BC391" s="391"/>
      <c r="BI391" s="188"/>
    </row>
    <row r="392" s="420" customFormat="1" ht="28.9" customHeight="1" spans="1:62">
      <c r="A392" s="420" t="s">
        <v>397</v>
      </c>
      <c r="C392" s="619"/>
      <c r="D392" s="420" t="s">
        <v>393</v>
      </c>
      <c r="E392" s="620" t="s">
        <v>398</v>
      </c>
      <c r="F392" s="80"/>
      <c r="G392" s="608"/>
      <c r="H392" s="83" t="s">
        <v>93</v>
      </c>
      <c r="I392" s="84"/>
      <c r="J392" s="621">
        <f>SUM(J389:J390)</f>
        <v>70.5</v>
      </c>
      <c r="K392" s="621">
        <f>K389</f>
        <v>6400</v>
      </c>
      <c r="L392" s="621">
        <f>SUM(L389:L390)</f>
        <v>451200</v>
      </c>
      <c r="M392" s="621"/>
      <c r="N392" s="420">
        <f>SUM(N389:N390)</f>
        <v>443470.67</v>
      </c>
      <c r="O392" s="622">
        <f>SUM(O389:O390)</f>
        <v>7729.32999999999</v>
      </c>
      <c r="P392" s="160"/>
      <c r="Q392" s="160"/>
      <c r="T392" s="619"/>
      <c r="U392" s="619">
        <f>A389+60</f>
        <v>45822</v>
      </c>
      <c r="V392" s="619">
        <v>45836</v>
      </c>
      <c r="X392" s="623" t="s">
        <v>355</v>
      </c>
      <c r="Y392" s="622">
        <f>SUM(Y389:Y390)</f>
        <v>68.969</v>
      </c>
      <c r="Z392" s="622"/>
      <c r="AA392" s="622">
        <f>SUM(AA389:AA391)</f>
        <v>437962.35</v>
      </c>
      <c r="AB392" s="622">
        <f>SUM(AB389:AB390)</f>
        <v>424159.35</v>
      </c>
      <c r="AC392" s="622"/>
      <c r="AD392" s="624"/>
      <c r="AE392" s="622"/>
      <c r="AF392" s="622"/>
      <c r="AG392" s="622"/>
      <c r="AH392" s="622"/>
      <c r="AI392" s="91"/>
      <c r="AK392" s="420">
        <f>SUM(AK389:AK390)</f>
        <v>68.969</v>
      </c>
      <c r="AM392" s="622">
        <f>SUM(AM389:AM390)</f>
        <v>443470.67</v>
      </c>
      <c r="AN392" s="192">
        <f>N392</f>
        <v>443470.67</v>
      </c>
      <c r="AO392" s="420">
        <f>SUM(AO389:AO390)</f>
        <v>0</v>
      </c>
      <c r="AP392" s="91"/>
      <c r="AQ392" s="463">
        <f>V392</f>
        <v>45836</v>
      </c>
      <c r="AR392" s="619"/>
      <c r="AS392" s="619"/>
      <c r="AT392" s="619" t="s">
        <v>298</v>
      </c>
      <c r="AU392" s="420">
        <v>255546531</v>
      </c>
      <c r="AV392" s="420">
        <v>3</v>
      </c>
      <c r="AW392" s="619">
        <v>45844</v>
      </c>
      <c r="AX392" s="621"/>
      <c r="AY392" s="622"/>
      <c r="AZ392" s="626">
        <f>SUM(AZ389:AZ390)</f>
        <v>443470.67</v>
      </c>
      <c r="BA392" s="626">
        <f>SUM(BA389:BA390)</f>
        <v>437240</v>
      </c>
      <c r="BB392" s="626"/>
      <c r="BC392" s="391">
        <f>SUM(BC389:BC390)</f>
        <v>-6230.66999999998</v>
      </c>
      <c r="BI392" s="494" t="s">
        <v>85</v>
      </c>
      <c r="BJ392" s="160"/>
    </row>
    <row r="393" s="76" customFormat="1" ht="14.45" customHeight="1" outlineLevel="1" spans="1:62">
      <c r="C393" s="387">
        <v>45728</v>
      </c>
      <c r="D393" s="76" t="s">
        <v>399</v>
      </c>
      <c r="E393" s="76" t="s">
        <v>400</v>
      </c>
      <c r="F393" s="84"/>
      <c r="G393" s="627"/>
      <c r="H393" s="628" t="s">
        <v>401</v>
      </c>
      <c r="I393" s="84"/>
      <c r="J393" s="129">
        <v>243</v>
      </c>
      <c r="K393" s="129">
        <v>8400</v>
      </c>
      <c r="L393" s="129">
        <f>K393*J393</f>
        <v>2041200</v>
      </c>
      <c r="M393" s="114">
        <f>L393*0.3</f>
        <v>612360</v>
      </c>
      <c r="O393" s="76">
        <f>L393-N393</f>
        <v>2041200</v>
      </c>
      <c r="P393" s="91"/>
      <c r="Q393" s="91"/>
      <c r="R393" s="76" t="s">
        <v>402</v>
      </c>
      <c r="S393" s="76" t="s">
        <v>403</v>
      </c>
      <c r="T393" s="387">
        <v>45701</v>
      </c>
      <c r="U393" s="387"/>
      <c r="V393" s="387"/>
      <c r="X393" s="133"/>
      <c r="Y393" s="76">
        <v>243</v>
      </c>
      <c r="Z393" s="114">
        <v>7783</v>
      </c>
      <c r="AA393" s="114">
        <f>Z393*Y393</f>
        <v>1891269</v>
      </c>
      <c r="AB393" s="114"/>
      <c r="AC393" s="114"/>
      <c r="AD393" s="140"/>
      <c r="AE393" s="114"/>
      <c r="AF393" s="114"/>
      <c r="AG393" s="114"/>
      <c r="AH393" s="114"/>
      <c r="AI393" s="91"/>
      <c r="AM393" s="114"/>
      <c r="AN393" s="114"/>
      <c r="AO393" s="141">
        <f>AM393-AN393</f>
        <v>0</v>
      </c>
      <c r="AP393" s="91"/>
      <c r="AQ393" s="387"/>
      <c r="AR393" s="387"/>
      <c r="AS393" s="387"/>
      <c r="AT393" s="387"/>
      <c r="AW393" s="387"/>
      <c r="AX393" s="129"/>
      <c r="AY393" s="114"/>
      <c r="AZ393" s="127"/>
      <c r="BB393" s="127"/>
      <c r="BC393" s="127"/>
      <c r="BI393" s="75"/>
      <c r="BJ393" s="91"/>
    </row>
    <row r="394" s="76" customFormat="1" ht="14.45" customHeight="1" outlineLevel="1" spans="1:62">
      <c r="C394" s="387">
        <v>45728</v>
      </c>
      <c r="D394" s="76" t="s">
        <v>404</v>
      </c>
      <c r="E394" s="76" t="s">
        <v>400</v>
      </c>
      <c r="F394" s="84"/>
      <c r="G394" s="627"/>
      <c r="H394" s="628" t="s">
        <v>401</v>
      </c>
      <c r="I394" s="84"/>
      <c r="J394" s="129">
        <v>54</v>
      </c>
      <c r="K394" s="129">
        <v>8400</v>
      </c>
      <c r="L394" s="129">
        <f>K394*J394</f>
        <v>453600</v>
      </c>
      <c r="M394" s="114">
        <f>L394*0.3</f>
        <v>136080</v>
      </c>
      <c r="N394" s="76">
        <f>453600+64102.8</f>
        <v>517702.8</v>
      </c>
      <c r="O394" s="114">
        <f>N394-L394</f>
        <v>64102.8</v>
      </c>
      <c r="P394" s="91"/>
      <c r="Q394" s="91"/>
      <c r="R394" s="76" t="s">
        <v>402</v>
      </c>
      <c r="S394" s="76" t="s">
        <v>405</v>
      </c>
      <c r="T394" s="387">
        <v>45727</v>
      </c>
      <c r="U394" s="387">
        <v>45734</v>
      </c>
      <c r="V394" s="387"/>
      <c r="X394" s="133"/>
      <c r="Y394" s="76">
        <v>54.452</v>
      </c>
      <c r="Z394" s="114">
        <v>7783</v>
      </c>
      <c r="AA394" s="114">
        <f>Z394*Y394</f>
        <v>423799.916</v>
      </c>
      <c r="AB394" s="114">
        <v>84056.4</v>
      </c>
      <c r="AC394" s="114">
        <v>338965.22</v>
      </c>
      <c r="AD394" s="140"/>
      <c r="AE394" s="114"/>
      <c r="AF394" s="114"/>
      <c r="AG394" s="114"/>
      <c r="AH394" s="114"/>
      <c r="AI394" s="91"/>
      <c r="AJ394" s="91"/>
      <c r="AK394" s="76">
        <v>54.452</v>
      </c>
      <c r="AL394" s="76">
        <v>9525</v>
      </c>
      <c r="AM394" s="114">
        <f>AL394*AK394</f>
        <v>518655.3</v>
      </c>
      <c r="AN394" s="114">
        <v>517702.8</v>
      </c>
      <c r="AO394" s="141">
        <f>AM394-AN394</f>
        <v>952.5</v>
      </c>
      <c r="AP394" s="91"/>
      <c r="AQ394" s="387"/>
      <c r="AR394" s="387"/>
      <c r="AS394" s="387"/>
      <c r="AT394" s="387"/>
      <c r="AW394" s="387"/>
      <c r="AX394" s="76">
        <v>54.452</v>
      </c>
      <c r="AY394" s="76">
        <v>9525</v>
      </c>
      <c r="AZ394" s="114">
        <f>AY394*AX394</f>
        <v>518655.3</v>
      </c>
      <c r="BA394" s="540">
        <f>AN394</f>
        <v>517702.8</v>
      </c>
      <c r="BB394" s="127"/>
      <c r="BC394" s="76">
        <f>AZ394-BA394-BB394</f>
        <v>952.5</v>
      </c>
      <c r="BD394" s="76" t="s">
        <v>406</v>
      </c>
      <c r="BE394" s="76" t="s">
        <v>59</v>
      </c>
      <c r="BI394" s="75"/>
      <c r="BJ394" s="91"/>
    </row>
    <row r="395" s="76" customFormat="1" ht="14.45" customHeight="1" outlineLevel="1" spans="1:62">
      <c r="C395" s="387">
        <v>45734</v>
      </c>
      <c r="D395" s="76" t="s">
        <v>407</v>
      </c>
      <c r="E395" s="76" t="s">
        <v>400</v>
      </c>
      <c r="F395" s="84"/>
      <c r="G395" s="627"/>
      <c r="H395" s="628" t="s">
        <v>401</v>
      </c>
      <c r="I395" s="84"/>
      <c r="J395" s="76">
        <v>104.819</v>
      </c>
      <c r="K395" s="129">
        <v>8400</v>
      </c>
      <c r="L395" s="129">
        <f>K395*J395</f>
        <v>880479.6</v>
      </c>
      <c r="M395" s="114"/>
      <c r="N395" s="140">
        <f>272160+300000+417121.72</f>
        <v>989281.72</v>
      </c>
      <c r="O395" s="114">
        <f>N395-L395</f>
        <v>108802.12</v>
      </c>
      <c r="P395" s="91"/>
      <c r="Q395" s="91"/>
      <c r="R395" s="76" t="s">
        <v>402</v>
      </c>
      <c r="S395" s="76" t="s">
        <v>408</v>
      </c>
      <c r="T395" s="387">
        <v>45734</v>
      </c>
      <c r="U395" s="387">
        <v>45771</v>
      </c>
      <c r="V395" s="387"/>
      <c r="X395" s="133"/>
      <c r="Y395" s="76">
        <v>104.819</v>
      </c>
      <c r="Z395" s="114">
        <v>7783</v>
      </c>
      <c r="AA395" s="114">
        <f>Z395*Y395</f>
        <v>815806.277</v>
      </c>
      <c r="AB395" s="114">
        <v>150000</v>
      </c>
      <c r="AC395" s="114">
        <v>665806.28</v>
      </c>
      <c r="AD395" s="140"/>
      <c r="AE395" s="114"/>
      <c r="AF395" s="114"/>
      <c r="AG395" s="114"/>
      <c r="AH395" s="114"/>
      <c r="AI395" s="91"/>
      <c r="AK395" s="129">
        <v>104.819</v>
      </c>
      <c r="AL395" s="114">
        <v>9438</v>
      </c>
      <c r="AM395" s="114">
        <f>AL395*AK395</f>
        <v>989281.722</v>
      </c>
      <c r="AN395" s="114">
        <f>N395</f>
        <v>989281.72</v>
      </c>
      <c r="AO395" s="141">
        <f>AM395-AN395</f>
        <v>0.0020000000949949</v>
      </c>
      <c r="AP395" s="91"/>
      <c r="AQ395" s="387"/>
      <c r="AR395" s="387"/>
      <c r="AS395" s="387"/>
      <c r="AT395" s="387"/>
      <c r="AW395" s="387"/>
      <c r="AX395" s="129">
        <v>104.819</v>
      </c>
      <c r="AY395" s="114">
        <v>9438</v>
      </c>
      <c r="AZ395" s="114">
        <f>AY395*AX395</f>
        <v>989281.722</v>
      </c>
      <c r="BA395" s="540">
        <f>AN395</f>
        <v>989281.72</v>
      </c>
      <c r="BB395" s="127"/>
      <c r="BC395" s="127">
        <f>AZ395-BA395-BB395</f>
        <v>0.0020000000949949</v>
      </c>
      <c r="BI395" s="75"/>
      <c r="BJ395" s="91"/>
    </row>
    <row r="396" s="76" customFormat="1" ht="14.45" customHeight="1" outlineLevel="1" spans="1:62">
      <c r="C396" s="387"/>
      <c r="F396" s="84"/>
      <c r="G396" s="627"/>
      <c r="H396" s="628"/>
      <c r="I396" s="84"/>
      <c r="J396" s="129"/>
      <c r="K396" s="129"/>
      <c r="L396" s="129"/>
      <c r="M396" s="114"/>
      <c r="O396" s="114"/>
      <c r="P396" s="91"/>
      <c r="Q396" s="91"/>
      <c r="S396" s="189" t="s">
        <v>288</v>
      </c>
      <c r="T396" s="387"/>
      <c r="U396" s="387"/>
      <c r="V396" s="387"/>
      <c r="X396" s="133"/>
      <c r="Z396" s="114"/>
      <c r="AA396" s="114">
        <v>129072</v>
      </c>
      <c r="AB396" s="114"/>
      <c r="AC396" s="114"/>
      <c r="AD396" s="140"/>
      <c r="AE396" s="114"/>
      <c r="AF396" s="114"/>
      <c r="AG396" s="114"/>
      <c r="AH396" s="114"/>
      <c r="AI396" s="91"/>
      <c r="AK396" s="129"/>
      <c r="AL396" s="114"/>
      <c r="AM396" s="114"/>
      <c r="AN396" s="114"/>
      <c r="AO396" s="141"/>
      <c r="AP396" s="91"/>
      <c r="AQ396" s="387"/>
      <c r="AR396" s="482"/>
      <c r="AS396" s="482"/>
      <c r="AT396" s="482"/>
      <c r="AU396" s="137"/>
      <c r="AV396" s="137"/>
      <c r="AW396" s="482"/>
      <c r="AX396" s="142"/>
      <c r="AY396" s="114"/>
      <c r="AZ396" s="114"/>
      <c r="BA396" s="540"/>
      <c r="BB396" s="540"/>
      <c r="BC396" s="540"/>
      <c r="BI396" s="75"/>
      <c r="BJ396" s="91"/>
    </row>
    <row r="397" s="76" customFormat="1" ht="14.45" customHeight="1" outlineLevel="1" spans="1:62">
      <c r="C397" s="387">
        <v>45798</v>
      </c>
      <c r="D397" s="76" t="s">
        <v>409</v>
      </c>
      <c r="E397" s="76" t="s">
        <v>400</v>
      </c>
      <c r="F397" s="84"/>
      <c r="G397" s="627"/>
      <c r="H397" s="628"/>
      <c r="I397" s="84"/>
      <c r="J397" s="129">
        <v>81.733</v>
      </c>
      <c r="K397" s="129">
        <v>8400</v>
      </c>
      <c r="L397" s="129">
        <f>K397*J397</f>
        <v>686557.2</v>
      </c>
      <c r="M397" s="114"/>
      <c r="N397" s="76">
        <f>204120+562944.21</f>
        <v>767064.21</v>
      </c>
      <c r="O397" s="114"/>
      <c r="P397" s="91"/>
      <c r="Q397" s="91"/>
      <c r="R397" s="76" t="s">
        <v>402</v>
      </c>
      <c r="T397" s="387"/>
      <c r="U397" s="387">
        <v>45827</v>
      </c>
      <c r="V397" s="387">
        <v>45827</v>
      </c>
      <c r="X397" s="133" t="s">
        <v>90</v>
      </c>
      <c r="Y397" s="76">
        <v>81.733</v>
      </c>
      <c r="Z397" s="114">
        <v>7783</v>
      </c>
      <c r="AA397" s="114">
        <f>Z397*Y397</f>
        <v>636127.939</v>
      </c>
      <c r="AB397" s="114">
        <v>120000</v>
      </c>
      <c r="AC397" s="114">
        <v>516127.94</v>
      </c>
      <c r="AD397" s="140"/>
      <c r="AE397" s="114"/>
      <c r="AF397" s="114"/>
      <c r="AG397" s="114"/>
      <c r="AH397" s="114"/>
      <c r="AI397" s="91"/>
      <c r="AK397" s="76">
        <v>81.733</v>
      </c>
      <c r="AL397" s="114">
        <v>9385</v>
      </c>
      <c r="AM397" s="114">
        <f>AL397*AK397</f>
        <v>767064.205</v>
      </c>
      <c r="AN397" s="114">
        <f>N397</f>
        <v>767064.21</v>
      </c>
      <c r="AO397" s="141">
        <f>AM397-AN397</f>
        <v>-0.00499999988824129</v>
      </c>
      <c r="AP397" s="91"/>
      <c r="AQ397" s="387"/>
      <c r="AR397" s="482"/>
      <c r="AS397" s="482"/>
      <c r="AT397" s="482"/>
      <c r="AU397" s="137"/>
      <c r="AV397" s="137"/>
      <c r="AW397" s="482"/>
      <c r="AX397" s="76">
        <v>81.733</v>
      </c>
      <c r="AY397" s="114">
        <v>9385</v>
      </c>
      <c r="AZ397" s="114">
        <f>AY397*AX397</f>
        <v>767064.205</v>
      </c>
      <c r="BA397" s="540">
        <f>AN397</f>
        <v>767064.21</v>
      </c>
      <c r="BB397" s="540"/>
      <c r="BC397" s="127">
        <f>AZ397-BA397-BB397</f>
        <v>-0.00499999988824129</v>
      </c>
      <c r="BI397" s="75"/>
      <c r="BJ397" s="91"/>
    </row>
    <row r="398" s="79" customFormat="1" ht="14.45" customHeight="1" spans="1:62">
      <c r="C398" s="463" t="s">
        <v>69</v>
      </c>
      <c r="D398" s="79" t="s">
        <v>399</v>
      </c>
      <c r="E398" s="79" t="s">
        <v>400</v>
      </c>
      <c r="F398" s="84"/>
      <c r="G398" s="627"/>
      <c r="H398" s="79" t="str">
        <f>H394</f>
        <v>PARTNER</v>
      </c>
      <c r="I398" s="84"/>
      <c r="J398" s="194">
        <v>243</v>
      </c>
      <c r="K398" s="194"/>
      <c r="L398" s="194">
        <f>L393</f>
        <v>2041200</v>
      </c>
      <c r="M398" s="194"/>
      <c r="N398" s="79">
        <f>SUM(N393:N395)</f>
        <v>1506984.52</v>
      </c>
      <c r="P398" s="91"/>
      <c r="Q398" s="91"/>
      <c r="T398" s="463"/>
      <c r="U398" s="463"/>
      <c r="V398" s="463"/>
      <c r="W398" s="502"/>
      <c r="X398" s="517" t="s">
        <v>90</v>
      </c>
      <c r="Y398" s="79">
        <f>SUM(Y394:Y397)</f>
        <v>241.004</v>
      </c>
      <c r="Z398" s="192"/>
      <c r="AA398" s="79">
        <f>SUM(AA394:AA397)</f>
        <v>2004806.132</v>
      </c>
      <c r="AB398" s="79">
        <f>SUM(AB394:AB397)</f>
        <v>354056.4</v>
      </c>
      <c r="AC398" s="79">
        <f>SUM(AC394:AC397)</f>
        <v>1520899.44</v>
      </c>
      <c r="AD398" s="196"/>
      <c r="AE398" s="192"/>
      <c r="AF398" s="192"/>
      <c r="AG398" s="192"/>
      <c r="AH398" s="192"/>
      <c r="AI398" s="91"/>
      <c r="AM398" s="192">
        <f>SUM(AM393:AM395)</f>
        <v>1507937.022</v>
      </c>
      <c r="AN398" s="192">
        <f>SUM(AN394:AN395)</f>
        <v>1506984.52</v>
      </c>
      <c r="AO398" s="79">
        <f>SUM(AO393:AO395)</f>
        <v>952.502000000095</v>
      </c>
      <c r="AP398" s="91"/>
      <c r="AQ398" s="463" t="str">
        <f>X398</f>
        <v>shipped</v>
      </c>
      <c r="AR398" s="491"/>
      <c r="AS398" s="491"/>
      <c r="AT398" s="491"/>
      <c r="AU398" s="225"/>
      <c r="AV398" s="225"/>
      <c r="AW398" s="491"/>
      <c r="AX398" s="492">
        <f>SUM(AX395:AX395)</f>
        <v>104.819</v>
      </c>
      <c r="AY398" s="192"/>
      <c r="AZ398" s="492">
        <f>SUM(AZ394:AZ397)</f>
        <v>2275001.227</v>
      </c>
      <c r="BA398" s="492">
        <f>SUM(BA394:BA397)</f>
        <v>2274048.73</v>
      </c>
      <c r="BB398" s="492">
        <f>SUM(BB394:BB397)</f>
        <v>0</v>
      </c>
      <c r="BC398" s="492">
        <f>SUM(BC395:BC395)</f>
        <v>0.0020000000949949</v>
      </c>
      <c r="BI398" s="494" t="s">
        <v>85</v>
      </c>
      <c r="BJ398" s="91"/>
    </row>
    <row r="399" s="76" customFormat="1" ht="28.9" customHeight="1" outlineLevel="1" spans="1:62">
      <c r="A399" s="629">
        <v>45763</v>
      </c>
      <c r="B399" s="629"/>
      <c r="C399" s="387"/>
      <c r="D399" s="76" t="s">
        <v>410</v>
      </c>
      <c r="E399" s="113" t="s">
        <v>411</v>
      </c>
      <c r="F399" s="79"/>
      <c r="G399" s="479"/>
      <c r="H399" s="113" t="s">
        <v>75</v>
      </c>
      <c r="I399" s="630"/>
      <c r="J399" s="76">
        <v>25</v>
      </c>
      <c r="K399" s="76">
        <v>7003</v>
      </c>
      <c r="L399" s="483">
        <f>K399*J399</f>
        <v>175075</v>
      </c>
      <c r="M399" s="114">
        <f>L399*0.3</f>
        <v>52522.5</v>
      </c>
      <c r="N399" s="113">
        <f>171321.39+46597.96</f>
        <v>217919.35</v>
      </c>
      <c r="O399" s="76">
        <f>L399-N399</f>
        <v>-42844.35</v>
      </c>
      <c r="R399" s="76" t="s">
        <v>88</v>
      </c>
      <c r="S399" s="76" t="s">
        <v>412</v>
      </c>
      <c r="T399" s="387">
        <v>45765</v>
      </c>
      <c r="U399" s="387">
        <f>A399+60</f>
        <v>45823</v>
      </c>
      <c r="V399" s="387"/>
      <c r="X399" s="133"/>
      <c r="Y399" s="631">
        <v>31.118</v>
      </c>
      <c r="Z399" s="76">
        <v>6450</v>
      </c>
      <c r="AA399" s="114">
        <f>Z399*Y399</f>
        <v>200711.1</v>
      </c>
      <c r="AB399" s="124">
        <v>200711.1</v>
      </c>
      <c r="AC399" s="124"/>
      <c r="AD399" s="632"/>
      <c r="AE399" s="124"/>
      <c r="AF399" s="124"/>
      <c r="AG399" s="124"/>
      <c r="AH399" s="633"/>
      <c r="AJ399" s="137"/>
      <c r="AK399" s="631">
        <v>31.118</v>
      </c>
      <c r="AL399" s="632">
        <v>7003</v>
      </c>
      <c r="AM399" s="124">
        <f>AL399*AK399</f>
        <v>217919.354</v>
      </c>
      <c r="AN399" s="124">
        <f>171321.39+46597.96</f>
        <v>217919.35</v>
      </c>
      <c r="AO399" s="141">
        <f>AM399-AN399</f>
        <v>0.00399999998626299</v>
      </c>
      <c r="AQ399" s="387"/>
      <c r="AR399" s="482"/>
      <c r="AS399" s="482"/>
      <c r="AT399" s="482" t="s">
        <v>413</v>
      </c>
      <c r="AU399" s="137"/>
      <c r="AV399" s="137">
        <v>1</v>
      </c>
      <c r="AW399" s="482"/>
      <c r="AX399" s="123"/>
      <c r="AY399" s="483"/>
      <c r="AZ399" s="483"/>
      <c r="BA399" s="483"/>
      <c r="BB399" s="483"/>
      <c r="BC399" s="483"/>
      <c r="BD399" s="113"/>
      <c r="BE399" s="113"/>
      <c r="BF399" s="113"/>
      <c r="BG399" s="113"/>
      <c r="BI399" s="282"/>
    </row>
    <row r="400" s="79" customFormat="1" ht="28.9" customHeight="1" spans="1:62">
      <c r="A400" s="79" t="s">
        <v>414</v>
      </c>
      <c r="C400" s="463" t="s">
        <v>69</v>
      </c>
      <c r="D400" s="79" t="str">
        <f>D399</f>
        <v>NBE-5</v>
      </c>
      <c r="E400" s="116" t="s">
        <v>411</v>
      </c>
      <c r="G400" s="486"/>
      <c r="H400" s="116" t="s">
        <v>75</v>
      </c>
      <c r="I400" s="630"/>
      <c r="J400" s="79">
        <v>25</v>
      </c>
      <c r="K400" s="79">
        <v>7003</v>
      </c>
      <c r="L400" s="192"/>
      <c r="M400" s="79">
        <f>SUM(M399)</f>
        <v>52522.5</v>
      </c>
      <c r="N400" s="116">
        <f>SUM(N399)</f>
        <v>217919.35</v>
      </c>
      <c r="O400" s="520">
        <f>O399</f>
        <v>-42844.35</v>
      </c>
      <c r="P400" s="91"/>
      <c r="Q400" s="91"/>
      <c r="R400" s="116"/>
      <c r="S400" s="116"/>
      <c r="T400" s="634"/>
      <c r="U400" s="634">
        <f>U399</f>
        <v>45823</v>
      </c>
      <c r="V400" s="634">
        <v>45838</v>
      </c>
      <c r="W400" s="116"/>
      <c r="X400" s="635" t="s">
        <v>90</v>
      </c>
      <c r="Y400" s="116">
        <f>Y399</f>
        <v>31.118</v>
      </c>
      <c r="Z400" s="636"/>
      <c r="AA400" s="520">
        <f>AA399</f>
        <v>200711.1</v>
      </c>
      <c r="AB400" s="520">
        <f>AB399</f>
        <v>200711.1</v>
      </c>
      <c r="AC400" s="520"/>
      <c r="AD400" s="637"/>
      <c r="AE400" s="520"/>
      <c r="AF400" s="520"/>
      <c r="AG400" s="520"/>
      <c r="AH400" s="638"/>
      <c r="AI400" s="91"/>
      <c r="AJ400" s="225"/>
      <c r="AK400" s="637">
        <f>AK399</f>
        <v>31.118</v>
      </c>
      <c r="AL400" s="637"/>
      <c r="AM400" s="520">
        <f>SUM(AM399)</f>
        <v>217919.354</v>
      </c>
      <c r="AN400" s="192">
        <f>N400</f>
        <v>217919.35</v>
      </c>
      <c r="AO400" s="639">
        <f>AO399</f>
        <v>0.00399999998626299</v>
      </c>
      <c r="AP400" s="91"/>
      <c r="AQ400" s="463">
        <f>V400</f>
        <v>45838</v>
      </c>
      <c r="AR400" s="491"/>
      <c r="AS400" s="640"/>
      <c r="AT400" s="640"/>
      <c r="AU400" s="641"/>
      <c r="AV400" s="641"/>
      <c r="AW400" s="640"/>
      <c r="AX400" s="499"/>
      <c r="AY400" s="500"/>
      <c r="AZ400" s="500"/>
      <c r="BA400" s="500"/>
      <c r="BB400" s="500"/>
      <c r="BC400" s="500"/>
      <c r="BD400" s="116"/>
      <c r="BE400" s="116"/>
      <c r="BF400" s="116"/>
      <c r="BG400" s="116"/>
      <c r="BI400" s="494" t="s">
        <v>85</v>
      </c>
      <c r="BJ400" s="91"/>
    </row>
    <row r="401" s="76" customFormat="1" customHeight="1" outlineLevel="1" spans="1:62">
      <c r="A401" s="387">
        <v>45783</v>
      </c>
      <c r="B401" s="387"/>
      <c r="C401" s="387">
        <v>45783</v>
      </c>
      <c r="D401" s="76" t="s">
        <v>415</v>
      </c>
      <c r="E401" s="76" t="s">
        <v>416</v>
      </c>
      <c r="F401" s="84"/>
      <c r="G401" s="479"/>
      <c r="H401" s="628" t="s">
        <v>401</v>
      </c>
      <c r="I401" s="84"/>
      <c r="J401" s="129">
        <v>27</v>
      </c>
      <c r="K401" s="129">
        <v>9700</v>
      </c>
      <c r="L401" s="483">
        <f>K401*J401</f>
        <v>261900</v>
      </c>
      <c r="M401" s="114">
        <f>L401*0.3</f>
        <v>78570</v>
      </c>
      <c r="N401" s="114">
        <f>267836.4+25985.18</f>
        <v>293821.58</v>
      </c>
      <c r="O401" s="76">
        <f>L401-N401</f>
        <v>-31921.58</v>
      </c>
      <c r="P401" s="91"/>
      <c r="Q401" s="91"/>
      <c r="R401" s="76" t="s">
        <v>88</v>
      </c>
      <c r="S401" s="76" t="s">
        <v>417</v>
      </c>
      <c r="T401" s="387">
        <v>45783</v>
      </c>
      <c r="U401" s="387"/>
      <c r="V401" s="387">
        <v>45838</v>
      </c>
      <c r="X401" s="133"/>
      <c r="Y401" s="76">
        <v>27.563</v>
      </c>
      <c r="Z401" s="114">
        <v>7600</v>
      </c>
      <c r="AA401" s="114">
        <f>Z401*Y401</f>
        <v>209478.8</v>
      </c>
      <c r="AB401" s="114">
        <v>209478.8</v>
      </c>
      <c r="AC401" s="114"/>
      <c r="AD401" s="140"/>
      <c r="AE401" s="114"/>
      <c r="AF401" s="114"/>
      <c r="AG401" s="114"/>
      <c r="AH401" s="114"/>
      <c r="AI401" s="91"/>
      <c r="AJ401" s="84"/>
      <c r="AK401" s="76">
        <v>27.563</v>
      </c>
      <c r="AL401" s="76">
        <f>9700+960</f>
        <v>10660</v>
      </c>
      <c r="AM401" s="124">
        <f>AL401*AK401</f>
        <v>293821.58</v>
      </c>
      <c r="AN401" s="114">
        <f>267836.4+25985.18</f>
        <v>293821.58</v>
      </c>
      <c r="AO401" s="76">
        <f>AM401-AN401</f>
        <v>0</v>
      </c>
      <c r="AP401" s="91"/>
      <c r="AQ401" s="387"/>
      <c r="AR401" s="387"/>
      <c r="AS401" s="387"/>
      <c r="AT401" s="387"/>
      <c r="AW401" s="387"/>
      <c r="AX401" s="129"/>
      <c r="AY401" s="114"/>
      <c r="AZ401" s="127"/>
      <c r="BA401" s="127"/>
      <c r="BB401" s="127"/>
      <c r="BC401" s="127"/>
      <c r="BJ401" s="91"/>
    </row>
    <row r="402" s="76" customFormat="1" customHeight="1" outlineLevel="1" spans="1:62">
      <c r="A402" s="387">
        <v>45783</v>
      </c>
      <c r="B402" s="387"/>
      <c r="C402" s="387">
        <v>45783</v>
      </c>
      <c r="D402" s="76" t="s">
        <v>415</v>
      </c>
      <c r="E402" s="76" t="s">
        <v>418</v>
      </c>
      <c r="F402" s="84"/>
      <c r="G402" s="479"/>
      <c r="H402" s="628" t="s">
        <v>401</v>
      </c>
      <c r="I402" s="84"/>
      <c r="J402" s="129">
        <v>27</v>
      </c>
      <c r="K402" s="129">
        <v>9700</v>
      </c>
      <c r="L402" s="483">
        <f>K402*J402</f>
        <v>261900</v>
      </c>
      <c r="M402" s="114">
        <f>L402*0.3</f>
        <v>78570</v>
      </c>
      <c r="N402" s="114">
        <f>268360.2+26559.36</f>
        <v>294919.56</v>
      </c>
      <c r="O402" s="76">
        <f>L402-N402</f>
        <v>-33019.56</v>
      </c>
      <c r="P402" s="91"/>
      <c r="Q402" s="91"/>
      <c r="R402" s="76" t="s">
        <v>88</v>
      </c>
      <c r="S402" s="76" t="s">
        <v>417</v>
      </c>
      <c r="T402" s="387">
        <v>45783</v>
      </c>
      <c r="U402" s="387"/>
      <c r="V402" s="387">
        <v>45838</v>
      </c>
      <c r="X402" s="133"/>
      <c r="Y402" s="76">
        <v>27.666</v>
      </c>
      <c r="Z402" s="114">
        <v>7400</v>
      </c>
      <c r="AA402" s="114">
        <f>Z402*Y402</f>
        <v>204728.4</v>
      </c>
      <c r="AB402" s="114">
        <v>204728.4</v>
      </c>
      <c r="AC402" s="114"/>
      <c r="AD402" s="140"/>
      <c r="AE402" s="114"/>
      <c r="AF402" s="114"/>
      <c r="AG402" s="114"/>
      <c r="AH402" s="114"/>
      <c r="AI402" s="91"/>
      <c r="AJ402" s="84"/>
      <c r="AK402" s="76">
        <v>27.666</v>
      </c>
      <c r="AL402" s="76">
        <f>9700+960</f>
        <v>10660</v>
      </c>
      <c r="AM402" s="124">
        <f>AL402*AK402</f>
        <v>294919.56</v>
      </c>
      <c r="AN402" s="114">
        <f>268360.2+26559.36</f>
        <v>294919.56</v>
      </c>
      <c r="AO402" s="76">
        <f>AM402-AN402</f>
        <v>0</v>
      </c>
      <c r="AP402" s="91"/>
      <c r="AQ402" s="387"/>
      <c r="AR402" s="387"/>
      <c r="AS402" s="387"/>
      <c r="AT402" s="387"/>
      <c r="AW402" s="387"/>
      <c r="AX402" s="129"/>
      <c r="AY402" s="114"/>
      <c r="AZ402" s="127"/>
      <c r="BA402" s="127"/>
      <c r="BB402" s="127"/>
      <c r="BC402" s="127"/>
      <c r="BJ402" s="91"/>
    </row>
    <row r="403" s="79" customFormat="1" ht="28.9" customHeight="1" spans="1:62">
      <c r="A403" s="79" t="s">
        <v>419</v>
      </c>
      <c r="C403" s="463" t="s">
        <v>69</v>
      </c>
      <c r="D403" s="79" t="s">
        <v>415</v>
      </c>
      <c r="E403" s="116" t="s">
        <v>420</v>
      </c>
      <c r="F403" s="84"/>
      <c r="G403" s="486"/>
      <c r="H403" s="79" t="s">
        <v>401</v>
      </c>
      <c r="I403" s="84"/>
      <c r="J403" s="194">
        <v>54</v>
      </c>
      <c r="K403" s="194"/>
      <c r="L403" s="194">
        <f>SUM(L401:L402)</f>
        <v>523800</v>
      </c>
      <c r="M403" s="194">
        <f>SUM(M401:M402)</f>
        <v>157140</v>
      </c>
      <c r="N403" s="226">
        <f>SUM(N401:N402)</f>
        <v>588741.14</v>
      </c>
      <c r="O403" s="192">
        <f>SUM(O401:O402)</f>
        <v>-64941.14</v>
      </c>
      <c r="P403" s="91"/>
      <c r="Q403" s="91"/>
      <c r="T403" s="463"/>
      <c r="U403" s="463">
        <f>T402+60</f>
        <v>45843</v>
      </c>
      <c r="V403" s="463">
        <v>45838</v>
      </c>
      <c r="X403" s="193" t="s">
        <v>355</v>
      </c>
      <c r="Y403" s="79">
        <v>54</v>
      </c>
      <c r="Z403" s="192"/>
      <c r="AA403" s="192">
        <f>SUM(AA401:AA402)</f>
        <v>414207.2</v>
      </c>
      <c r="AB403" s="192">
        <f>SUM(AB401:AB402)</f>
        <v>414207.2</v>
      </c>
      <c r="AC403" s="192"/>
      <c r="AD403" s="196"/>
      <c r="AE403" s="192"/>
      <c r="AF403" s="192"/>
      <c r="AG403" s="192"/>
      <c r="AH403" s="192"/>
      <c r="AI403" s="91"/>
      <c r="AJ403" s="84"/>
      <c r="AK403" s="79">
        <f>SUM(AK401:AK402)</f>
        <v>55.229</v>
      </c>
      <c r="AM403" s="192">
        <f>SUM(AM401:AM402)</f>
        <v>588741.14</v>
      </c>
      <c r="AN403" s="192">
        <f>N403</f>
        <v>588741.14</v>
      </c>
      <c r="AO403" s="192">
        <f>AM403-AN403</f>
        <v>0</v>
      </c>
      <c r="AP403" s="91"/>
      <c r="AQ403" s="463">
        <f>V403</f>
        <v>45838</v>
      </c>
      <c r="AR403" s="463"/>
      <c r="AS403" s="463"/>
      <c r="AT403" s="463"/>
      <c r="AW403" s="463"/>
      <c r="AX403" s="194"/>
      <c r="AY403" s="192"/>
      <c r="AZ403" s="150"/>
      <c r="BA403" s="150"/>
      <c r="BB403" s="150"/>
      <c r="BC403" s="150"/>
      <c r="BI403" s="494" t="s">
        <v>85</v>
      </c>
      <c r="BJ403" s="91"/>
    </row>
    <row r="404" s="76" customFormat="1" customHeight="1" outlineLevel="1" spans="1:62">
      <c r="A404" s="387">
        <v>45783</v>
      </c>
      <c r="B404" s="387"/>
      <c r="C404" s="387">
        <v>45783</v>
      </c>
      <c r="D404" s="76" t="s">
        <v>421</v>
      </c>
      <c r="E404" s="76" t="s">
        <v>422</v>
      </c>
      <c r="F404" s="84"/>
      <c r="G404" s="479"/>
      <c r="H404" s="628" t="s">
        <v>401</v>
      </c>
      <c r="I404" s="84"/>
      <c r="J404" s="129">
        <v>15</v>
      </c>
      <c r="K404" s="129">
        <v>9540</v>
      </c>
      <c r="L404" s="483">
        <f>K404*J404</f>
        <v>143100</v>
      </c>
      <c r="M404" s="114">
        <f>L404*0.3</f>
        <v>42930</v>
      </c>
      <c r="N404" s="76">
        <v>73124.1</v>
      </c>
      <c r="O404" s="76">
        <f>L404-N404</f>
        <v>69975.9</v>
      </c>
      <c r="P404" s="91"/>
      <c r="Q404" s="91"/>
      <c r="R404" s="76" t="s">
        <v>88</v>
      </c>
      <c r="S404" s="76" t="s">
        <v>417</v>
      </c>
      <c r="T404" s="387">
        <v>45783</v>
      </c>
      <c r="U404" s="387"/>
      <c r="V404" s="387">
        <v>45838</v>
      </c>
      <c r="X404" s="133"/>
      <c r="Y404" s="76">
        <v>7.665</v>
      </c>
      <c r="Z404" s="114">
        <v>8000</v>
      </c>
      <c r="AA404" s="114">
        <f>Z404*Y404</f>
        <v>61320</v>
      </c>
      <c r="AB404" s="114">
        <v>61320</v>
      </c>
      <c r="AC404" s="114"/>
      <c r="AD404" s="140"/>
      <c r="AE404" s="114"/>
      <c r="AF404" s="114"/>
      <c r="AG404" s="114"/>
      <c r="AH404" s="114"/>
      <c r="AI404" s="91"/>
      <c r="AJ404" s="84"/>
      <c r="AK404" s="76">
        <v>7.665</v>
      </c>
      <c r="AL404" s="129">
        <v>9540</v>
      </c>
      <c r="AM404" s="124">
        <f>AL404*AK404</f>
        <v>73124.1</v>
      </c>
      <c r="AN404" s="114">
        <f>73124.1</f>
        <v>73124.1</v>
      </c>
      <c r="AP404" s="91"/>
      <c r="AQ404" s="387"/>
      <c r="AR404" s="387"/>
      <c r="AS404" s="387"/>
      <c r="AT404" s="387"/>
      <c r="AW404" s="387"/>
      <c r="AX404" s="129"/>
      <c r="AY404" s="114"/>
      <c r="AZ404" s="127"/>
      <c r="BA404" s="127"/>
      <c r="BB404" s="127"/>
      <c r="BC404" s="127"/>
      <c r="BJ404" s="91"/>
    </row>
    <row r="405" s="76" customFormat="1" customHeight="1" outlineLevel="1" spans="1:62">
      <c r="A405" s="387">
        <v>45783</v>
      </c>
      <c r="B405" s="387"/>
      <c r="C405" s="387">
        <v>45783</v>
      </c>
      <c r="D405" s="76" t="s">
        <v>421</v>
      </c>
      <c r="E405" s="76" t="s">
        <v>423</v>
      </c>
      <c r="F405" s="84"/>
      <c r="G405" s="479"/>
      <c r="H405" s="628" t="s">
        <v>401</v>
      </c>
      <c r="I405" s="84"/>
      <c r="J405" s="129">
        <v>15</v>
      </c>
      <c r="K405" s="129">
        <v>9060</v>
      </c>
      <c r="L405" s="483">
        <f>K405*J405</f>
        <v>135900</v>
      </c>
      <c r="M405" s="114">
        <f>L405*0.3</f>
        <v>40770</v>
      </c>
      <c r="N405" s="76">
        <v>72574.2</v>
      </c>
      <c r="O405" s="76">
        <f>L405-N405</f>
        <v>63325.8</v>
      </c>
      <c r="P405" s="91"/>
      <c r="Q405" s="91"/>
      <c r="R405" s="76" t="s">
        <v>88</v>
      </c>
      <c r="S405" s="76" t="s">
        <v>417</v>
      </c>
      <c r="T405" s="387">
        <v>45783</v>
      </c>
      <c r="U405" s="387"/>
      <c r="V405" s="387">
        <v>45838</v>
      </c>
      <c r="X405" s="133"/>
      <c r="Y405" s="76">
        <v>20.07</v>
      </c>
      <c r="Z405" s="114">
        <v>7800</v>
      </c>
      <c r="AA405" s="114">
        <f>Z405*Y405</f>
        <v>156546</v>
      </c>
      <c r="AB405" s="114">
        <v>156546</v>
      </c>
      <c r="AC405" s="114"/>
      <c r="AD405" s="140"/>
      <c r="AE405" s="114"/>
      <c r="AF405" s="114"/>
      <c r="AG405" s="114"/>
      <c r="AH405" s="114"/>
      <c r="AI405" s="91"/>
      <c r="AJ405" s="84"/>
      <c r="AK405" s="76">
        <v>20.07</v>
      </c>
      <c r="AL405" s="129">
        <v>9060</v>
      </c>
      <c r="AM405" s="124">
        <f>AL405*AK405</f>
        <v>181834.2</v>
      </c>
      <c r="AN405" s="114">
        <f>145698.3-AN404+109260</f>
        <v>181834.2</v>
      </c>
      <c r="AQ405" s="387"/>
      <c r="AR405" s="387"/>
      <c r="AS405" s="387"/>
      <c r="AT405" s="387"/>
      <c r="AW405" s="387"/>
      <c r="AX405" s="129"/>
      <c r="AY405" s="114"/>
      <c r="AZ405" s="127"/>
      <c r="BA405" s="127"/>
      <c r="BB405" s="127"/>
      <c r="BC405" s="127"/>
      <c r="BJ405" s="91"/>
    </row>
    <row r="406" s="76" customFormat="1" customHeight="1" outlineLevel="1" spans="1:62">
      <c r="A406" s="387">
        <v>45783</v>
      </c>
      <c r="B406" s="387"/>
      <c r="C406" s="387">
        <v>45783</v>
      </c>
      <c r="D406" s="76" t="s">
        <v>421</v>
      </c>
      <c r="E406" s="76" t="s">
        <v>424</v>
      </c>
      <c r="F406" s="84"/>
      <c r="G406" s="479"/>
      <c r="H406" s="628" t="s">
        <v>401</v>
      </c>
      <c r="I406" s="84"/>
      <c r="J406" s="129">
        <v>15</v>
      </c>
      <c r="K406" s="129">
        <v>7600</v>
      </c>
      <c r="L406" s="483">
        <f>K406*J406</f>
        <v>114000</v>
      </c>
      <c r="M406" s="114">
        <f>L406*0.3</f>
        <v>34200</v>
      </c>
      <c r="N406" s="76">
        <v>109260</v>
      </c>
      <c r="O406" s="76">
        <f>L406-N406</f>
        <v>4740</v>
      </c>
      <c r="P406" s="91"/>
      <c r="Q406" s="91"/>
      <c r="R406" s="76" t="s">
        <v>88</v>
      </c>
      <c r="S406" s="76" t="s">
        <v>417</v>
      </c>
      <c r="T406" s="387">
        <v>45783</v>
      </c>
      <c r="U406" s="387"/>
      <c r="V406" s="387">
        <v>45838</v>
      </c>
      <c r="X406" s="133"/>
      <c r="Y406" s="76">
        <v>15</v>
      </c>
      <c r="Z406" s="114">
        <v>7200</v>
      </c>
      <c r="AA406" s="114">
        <f>Z406*Y406</f>
        <v>108000</v>
      </c>
      <c r="AB406" s="114"/>
      <c r="AC406" s="114"/>
      <c r="AD406" s="140"/>
      <c r="AE406" s="114"/>
      <c r="AF406" s="114"/>
      <c r="AG406" s="114"/>
      <c r="AH406" s="114"/>
      <c r="AI406" s="91"/>
      <c r="AJ406" s="84"/>
      <c r="AM406" s="124">
        <f>AL406*AK406</f>
        <v>0</v>
      </c>
      <c r="AN406" s="114"/>
      <c r="AQ406" s="387"/>
      <c r="AR406" s="387"/>
      <c r="AS406" s="387"/>
      <c r="AT406" s="387"/>
      <c r="AW406" s="387"/>
      <c r="AX406" s="129"/>
      <c r="AY406" s="114"/>
      <c r="AZ406" s="127"/>
      <c r="BA406" s="127"/>
      <c r="BB406" s="127"/>
      <c r="BC406" s="127"/>
      <c r="BJ406" s="91"/>
    </row>
    <row r="407" s="79" customFormat="1" ht="43.15" customHeight="1" spans="1:62">
      <c r="A407" s="79" t="s">
        <v>419</v>
      </c>
      <c r="C407" s="463" t="s">
        <v>69</v>
      </c>
      <c r="D407" s="79" t="s">
        <v>421</v>
      </c>
      <c r="E407" s="116" t="s">
        <v>425</v>
      </c>
      <c r="F407" s="84"/>
      <c r="G407" s="486"/>
      <c r="H407" s="79" t="s">
        <v>401</v>
      </c>
      <c r="I407" s="84"/>
      <c r="J407" s="194">
        <v>45</v>
      </c>
      <c r="K407" s="194"/>
      <c r="L407" s="194">
        <f>SUM(L404:L406)</f>
        <v>393000</v>
      </c>
      <c r="M407" s="194">
        <f>SUM(M404:M406)</f>
        <v>117900</v>
      </c>
      <c r="N407" s="79">
        <f>SUM(N404:N406)</f>
        <v>254958.3</v>
      </c>
      <c r="O407" s="192">
        <f>SUM(O404:O406)</f>
        <v>138041.7</v>
      </c>
      <c r="P407" s="91"/>
      <c r="Q407" s="91"/>
      <c r="T407" s="463"/>
      <c r="U407" s="463">
        <f>T406+60</f>
        <v>45843</v>
      </c>
      <c r="V407" s="463">
        <v>45838</v>
      </c>
      <c r="X407" s="193" t="s">
        <v>355</v>
      </c>
      <c r="Y407" s="79">
        <f>SUM(Y404:Y406)</f>
        <v>42.735</v>
      </c>
      <c r="Z407" s="192"/>
      <c r="AA407" s="192">
        <f>SUM(AA404:AA406)</f>
        <v>325866</v>
      </c>
      <c r="AB407" s="192">
        <f>SUM(AB404:AB406)</f>
        <v>217866</v>
      </c>
      <c r="AC407" s="192"/>
      <c r="AD407" s="196"/>
      <c r="AE407" s="192"/>
      <c r="AF407" s="192"/>
      <c r="AG407" s="192"/>
      <c r="AH407" s="192"/>
      <c r="AI407" s="91"/>
      <c r="AJ407" s="84"/>
      <c r="AK407" s="79">
        <f>SUM(AK404:AK406)</f>
        <v>27.735</v>
      </c>
      <c r="AM407" s="192">
        <f>SUM(AM404:AM406)</f>
        <v>254958.3</v>
      </c>
      <c r="AN407" s="192">
        <f>N407</f>
        <v>254958.3</v>
      </c>
      <c r="AO407" s="192">
        <f>AM407-AN407</f>
        <v>0</v>
      </c>
      <c r="AP407" s="91"/>
      <c r="AQ407" s="463">
        <f>V407</f>
        <v>45838</v>
      </c>
      <c r="AR407" s="463"/>
      <c r="AS407" s="463"/>
      <c r="AT407" s="463"/>
      <c r="AW407" s="463"/>
      <c r="AX407" s="194"/>
      <c r="AY407" s="192"/>
      <c r="AZ407" s="150"/>
      <c r="BA407" s="150"/>
      <c r="BB407" s="150"/>
      <c r="BC407" s="150"/>
      <c r="BI407" s="494" t="s">
        <v>85</v>
      </c>
      <c r="BJ407" s="91"/>
    </row>
    <row r="408" s="76" customFormat="1" customHeight="1" outlineLevel="1" spans="1:62">
      <c r="A408" s="387">
        <v>45783</v>
      </c>
      <c r="B408" s="387"/>
      <c r="C408" s="387">
        <v>45783</v>
      </c>
      <c r="D408" s="76" t="s">
        <v>426</v>
      </c>
      <c r="E408" s="76" t="s">
        <v>427</v>
      </c>
      <c r="F408" s="84"/>
      <c r="G408" s="586">
        <f>140049+10658.05</f>
        <v>150707.05</v>
      </c>
      <c r="H408" s="76" t="s">
        <v>93</v>
      </c>
      <c r="I408" s="84"/>
      <c r="J408" s="129">
        <v>15</v>
      </c>
      <c r="K408" s="129">
        <v>5830</v>
      </c>
      <c r="L408" s="483">
        <f>K408*J408</f>
        <v>87450</v>
      </c>
      <c r="M408" s="114">
        <f>L408*0.3</f>
        <v>26235</v>
      </c>
      <c r="N408" s="76">
        <v>140049</v>
      </c>
      <c r="O408" s="76">
        <f>L408-N408</f>
        <v>-52599</v>
      </c>
      <c r="P408" s="91"/>
      <c r="Q408" s="91"/>
      <c r="R408" s="76" t="s">
        <v>88</v>
      </c>
      <c r="S408" s="76" t="s">
        <v>428</v>
      </c>
      <c r="T408" s="387">
        <v>45783</v>
      </c>
      <c r="U408" s="387"/>
      <c r="V408" s="387">
        <v>45838</v>
      </c>
      <c r="X408" s="133"/>
      <c r="Y408" s="76">
        <v>14.79</v>
      </c>
      <c r="Z408" s="114">
        <v>5580</v>
      </c>
      <c r="AA408" s="114">
        <f>Z408*Y408</f>
        <v>82528.2</v>
      </c>
      <c r="AB408" s="114">
        <v>82528.2</v>
      </c>
      <c r="AC408" s="114"/>
      <c r="AD408" s="140"/>
      <c r="AE408" s="114"/>
      <c r="AF408" s="114"/>
      <c r="AG408" s="114"/>
      <c r="AH408" s="114"/>
      <c r="AI408" s="91"/>
      <c r="AJ408" s="84"/>
      <c r="AK408" s="76">
        <v>14.79</v>
      </c>
      <c r="AL408" s="114">
        <f>Z408+280</f>
        <v>5860</v>
      </c>
      <c r="AM408" s="114">
        <f>AL408*AK408</f>
        <v>86669.4</v>
      </c>
      <c r="AN408" s="76">
        <v>140049</v>
      </c>
      <c r="AP408" s="91"/>
      <c r="AQ408" s="387"/>
      <c r="AR408" s="387"/>
      <c r="AS408" s="387"/>
      <c r="AT408" s="387"/>
      <c r="AW408" s="387"/>
      <c r="AX408" s="76">
        <v>14.79</v>
      </c>
      <c r="AY408" s="114">
        <v>5860</v>
      </c>
      <c r="AZ408" s="114">
        <f>AY408*AX408</f>
        <v>86669.4</v>
      </c>
      <c r="BA408" s="127"/>
      <c r="BB408" s="127"/>
      <c r="BC408" s="127"/>
      <c r="BJ408" s="91"/>
    </row>
    <row r="409" s="76" customFormat="1" customHeight="1" outlineLevel="1" spans="1:62">
      <c r="A409" s="387">
        <v>45783</v>
      </c>
      <c r="B409" s="387"/>
      <c r="C409" s="387">
        <v>45783</v>
      </c>
      <c r="D409" s="76" t="s">
        <v>426</v>
      </c>
      <c r="E409" s="76" t="s">
        <v>429</v>
      </c>
      <c r="F409" s="84"/>
      <c r="G409" s="586"/>
      <c r="H409" s="76" t="s">
        <v>93</v>
      </c>
      <c r="I409" s="84"/>
      <c r="J409" s="129">
        <v>12</v>
      </c>
      <c r="K409" s="129">
        <v>5680</v>
      </c>
      <c r="L409" s="483">
        <f>K409*J409</f>
        <v>68160</v>
      </c>
      <c r="M409" s="114">
        <f>L409*0.3</f>
        <v>20448</v>
      </c>
      <c r="N409" s="76">
        <v>10658.05</v>
      </c>
      <c r="O409" s="76">
        <f>L409-N409</f>
        <v>57501.95</v>
      </c>
      <c r="P409" s="91"/>
      <c r="Q409" s="91"/>
      <c r="R409" s="76" t="s">
        <v>88</v>
      </c>
      <c r="S409" s="76" t="s">
        <v>428</v>
      </c>
      <c r="T409" s="387">
        <v>45783</v>
      </c>
      <c r="U409" s="387"/>
      <c r="V409" s="387">
        <v>45838</v>
      </c>
      <c r="X409" s="133"/>
      <c r="Y409" s="76">
        <v>11.215</v>
      </c>
      <c r="Z409" s="114">
        <v>5430</v>
      </c>
      <c r="AA409" s="114">
        <f>Z409*Y409</f>
        <v>60897.45</v>
      </c>
      <c r="AB409" s="114">
        <v>60897.45</v>
      </c>
      <c r="AC409" s="114"/>
      <c r="AD409" s="140"/>
      <c r="AE409" s="114"/>
      <c r="AF409" s="114"/>
      <c r="AG409" s="114"/>
      <c r="AH409" s="114"/>
      <c r="AI409" s="91"/>
      <c r="AJ409" s="84"/>
      <c r="AK409" s="76">
        <v>11.215</v>
      </c>
      <c r="AL409" s="114">
        <f>Z409+280</f>
        <v>5710</v>
      </c>
      <c r="AM409" s="114">
        <f>AL409*AK409</f>
        <v>64037.65</v>
      </c>
      <c r="AN409" s="76">
        <v>10658.05</v>
      </c>
      <c r="AQ409" s="387"/>
      <c r="AR409" s="387"/>
      <c r="AS409" s="387"/>
      <c r="AT409" s="387"/>
      <c r="AW409" s="387"/>
      <c r="AX409" s="76">
        <v>11.215</v>
      </c>
      <c r="AY409" s="114">
        <v>5710</v>
      </c>
      <c r="AZ409" s="114">
        <f>AY409*AX409</f>
        <v>64037.65</v>
      </c>
      <c r="BA409" s="127"/>
      <c r="BB409" s="127"/>
      <c r="BC409" s="127"/>
      <c r="BJ409" s="91"/>
    </row>
    <row r="410" s="224" customFormat="1" customHeight="1" outlineLevel="1" spans="1:62">
      <c r="A410" s="385"/>
      <c r="B410" s="385"/>
      <c r="C410" s="385"/>
      <c r="F410" s="84"/>
      <c r="G410" s="601"/>
      <c r="I410" s="84"/>
      <c r="J410" s="337"/>
      <c r="K410" s="337"/>
      <c r="L410" s="642"/>
      <c r="M410" s="383"/>
      <c r="P410" s="102"/>
      <c r="Q410" s="102"/>
      <c r="S410" s="643" t="s">
        <v>288</v>
      </c>
      <c r="T410" s="385"/>
      <c r="U410" s="385"/>
      <c r="V410" s="385"/>
      <c r="X410" s="602"/>
      <c r="Z410" s="383"/>
      <c r="AA410" s="383">
        <v>5400</v>
      </c>
      <c r="AB410" s="383"/>
      <c r="AC410" s="383"/>
      <c r="AD410" s="603"/>
      <c r="AE410" s="383"/>
      <c r="AF410" s="383"/>
      <c r="AG410" s="383"/>
      <c r="AH410" s="383"/>
      <c r="AI410" s="102"/>
      <c r="AJ410" s="84"/>
      <c r="AL410" s="383"/>
      <c r="AM410" s="383"/>
      <c r="AN410" s="76"/>
      <c r="AQ410" s="387"/>
      <c r="AR410" s="385"/>
      <c r="AS410" s="385"/>
      <c r="AT410" s="385"/>
      <c r="AW410" s="385"/>
      <c r="AY410" s="383"/>
      <c r="AZ410" s="383"/>
      <c r="BA410" s="350"/>
      <c r="BB410" s="350"/>
      <c r="BC410" s="350"/>
      <c r="BJ410" s="102"/>
    </row>
    <row r="411" s="83" customFormat="1" ht="28.9" customHeight="1" spans="1:62">
      <c r="A411" s="83" t="s">
        <v>430</v>
      </c>
      <c r="C411" s="644" t="s">
        <v>69</v>
      </c>
      <c r="D411" s="83" t="s">
        <v>426</v>
      </c>
      <c r="E411" s="645" t="s">
        <v>431</v>
      </c>
      <c r="F411" s="84"/>
      <c r="G411" s="606"/>
      <c r="H411" s="83" t="s">
        <v>93</v>
      </c>
      <c r="I411" s="84"/>
      <c r="J411" s="235">
        <v>27</v>
      </c>
      <c r="K411" s="235"/>
      <c r="L411" s="235">
        <f>SUM(L408:L409)</f>
        <v>155610</v>
      </c>
      <c r="M411" s="235">
        <f>SUM(M408:M409)</f>
        <v>46683</v>
      </c>
      <c r="N411" s="83">
        <f>SUM(N408:N409)</f>
        <v>150707.05</v>
      </c>
      <c r="O411" s="219">
        <f>SUM(O408:O409)</f>
        <v>4902.95</v>
      </c>
      <c r="P411" s="102"/>
      <c r="Q411" s="102"/>
      <c r="T411" s="605"/>
      <c r="U411" s="605">
        <f>T409+60</f>
        <v>45843</v>
      </c>
      <c r="V411" s="605">
        <v>45838</v>
      </c>
      <c r="X411" s="232" t="s">
        <v>432</v>
      </c>
      <c r="Y411" s="83">
        <f>SUM(Y408:Y409)</f>
        <v>26.005</v>
      </c>
      <c r="Z411" s="219"/>
      <c r="AA411" s="219">
        <f>SUM(AA408:AA410)</f>
        <v>148825.65</v>
      </c>
      <c r="AB411" s="219">
        <f>SUM(AB408:AB409)</f>
        <v>143425.65</v>
      </c>
      <c r="AC411" s="219"/>
      <c r="AD411" s="234"/>
      <c r="AE411" s="219"/>
      <c r="AF411" s="219"/>
      <c r="AG411" s="219"/>
      <c r="AH411" s="219"/>
      <c r="AI411" s="102"/>
      <c r="AJ411" s="84"/>
      <c r="AK411" s="83">
        <f>SUM(AK408:AK409)</f>
        <v>26.005</v>
      </c>
      <c r="AM411" s="219">
        <f>SUM(AM408:AM409)</f>
        <v>150707.05</v>
      </c>
      <c r="AN411" s="192">
        <f>N411</f>
        <v>150707.05</v>
      </c>
      <c r="AO411" s="219">
        <f>AM411-AN411</f>
        <v>0</v>
      </c>
      <c r="AP411" s="102"/>
      <c r="AQ411" s="463">
        <f>V411</f>
        <v>45838</v>
      </c>
      <c r="AR411" s="605"/>
      <c r="AS411" s="605"/>
      <c r="AT411" s="605"/>
      <c r="AU411" s="83" t="s">
        <v>432</v>
      </c>
      <c r="AW411" s="605"/>
      <c r="AX411" s="235">
        <f>SUM(AX408:AX409)</f>
        <v>26.005</v>
      </c>
      <c r="AY411" s="219"/>
      <c r="AZ411" s="236">
        <f>SUM(AZ408:AZ409)</f>
        <v>150707.05</v>
      </c>
      <c r="BA411" s="236"/>
      <c r="BB411" s="236"/>
      <c r="BC411" s="236"/>
      <c r="BI411" s="646" t="s">
        <v>85</v>
      </c>
      <c r="BJ411" s="102"/>
    </row>
    <row r="412" s="76" customFormat="1" ht="14.45" customHeight="1" outlineLevel="1" spans="1:62">
      <c r="C412" s="387"/>
      <c r="D412" s="76" t="s">
        <v>433</v>
      </c>
      <c r="E412" s="76" t="s">
        <v>434</v>
      </c>
      <c r="G412" s="586"/>
      <c r="H412" s="76" t="s">
        <v>93</v>
      </c>
      <c r="J412" s="129">
        <v>23.5</v>
      </c>
      <c r="K412" s="129"/>
      <c r="L412" s="129"/>
      <c r="M412" s="129"/>
      <c r="O412" s="114"/>
      <c r="P412" s="91"/>
      <c r="Q412" s="91"/>
      <c r="R412" s="76" t="s">
        <v>88</v>
      </c>
      <c r="T412" s="387"/>
      <c r="U412" s="387"/>
      <c r="V412" s="387"/>
      <c r="X412" s="133"/>
      <c r="Z412" s="114"/>
      <c r="AA412" s="114"/>
      <c r="AB412" s="114"/>
      <c r="AC412" s="114"/>
      <c r="AD412" s="140"/>
      <c r="AE412" s="114"/>
      <c r="AF412" s="114"/>
      <c r="AG412" s="114"/>
      <c r="AH412" s="114"/>
      <c r="AI412" s="91"/>
      <c r="AK412" s="76">
        <v>23.49</v>
      </c>
      <c r="AM412" s="114"/>
      <c r="AN412" s="114"/>
      <c r="AP412" s="91"/>
      <c r="AQ412" s="387"/>
      <c r="AR412" s="387"/>
      <c r="AS412" s="387"/>
      <c r="AT412" s="387"/>
      <c r="AW412" s="387"/>
      <c r="AX412" s="76">
        <v>23.49</v>
      </c>
      <c r="AY412" s="114">
        <v>6175</v>
      </c>
      <c r="AZ412" s="127">
        <f>AX412*AY412</f>
        <v>145050.75</v>
      </c>
      <c r="BA412" s="127"/>
      <c r="BB412" s="127"/>
      <c r="BC412" s="127"/>
      <c r="BJ412" s="91"/>
    </row>
    <row r="413" s="79" customFormat="1" ht="14.45" customHeight="1" spans="1:62">
      <c r="A413" s="79" t="s">
        <v>435</v>
      </c>
      <c r="C413" s="599" t="s">
        <v>69</v>
      </c>
      <c r="D413" s="79" t="s">
        <v>433</v>
      </c>
      <c r="E413" s="79" t="s">
        <v>434</v>
      </c>
      <c r="G413" s="486"/>
      <c r="J413" s="194">
        <f>J412</f>
        <v>23.5</v>
      </c>
      <c r="K413" s="194"/>
      <c r="L413" s="194"/>
      <c r="M413" s="194"/>
      <c r="P413" s="91"/>
      <c r="Q413" s="91"/>
      <c r="T413" s="463"/>
      <c r="U413" s="463"/>
      <c r="V413" s="463" t="s">
        <v>436</v>
      </c>
      <c r="X413" s="193" t="s">
        <v>90</v>
      </c>
      <c r="Z413" s="192"/>
      <c r="AA413" s="192"/>
      <c r="AB413" s="192"/>
      <c r="AC413" s="192"/>
      <c r="AD413" s="196"/>
      <c r="AE413" s="192"/>
      <c r="AF413" s="192"/>
      <c r="AG413" s="192"/>
      <c r="AH413" s="192"/>
      <c r="AM413" s="192"/>
      <c r="AN413" s="192">
        <f>N413</f>
        <v>0</v>
      </c>
      <c r="AQ413" s="463"/>
      <c r="AR413" s="463"/>
      <c r="AS413" s="463"/>
      <c r="AT413" s="463"/>
      <c r="AW413" s="463"/>
      <c r="AX413" s="194"/>
      <c r="AY413" s="192"/>
      <c r="AZ413" s="150"/>
      <c r="BA413" s="150"/>
      <c r="BB413" s="150"/>
      <c r="BC413" s="150"/>
      <c r="BI413" s="151" t="s">
        <v>60</v>
      </c>
    </row>
    <row r="414" s="76" customFormat="1" customHeight="1" outlineLevel="1" spans="1:62">
      <c r="A414" s="387">
        <v>45796</v>
      </c>
      <c r="B414" s="387"/>
      <c r="C414" s="387"/>
      <c r="D414" s="76" t="s">
        <v>437</v>
      </c>
      <c r="E414" s="76" t="s">
        <v>438</v>
      </c>
      <c r="G414" s="586"/>
      <c r="J414" s="264">
        <v>1960400</v>
      </c>
      <c r="K414" s="373">
        <v>0.0178</v>
      </c>
      <c r="L414" s="483">
        <f>K414*J414</f>
        <v>34895.12</v>
      </c>
      <c r="M414" s="114">
        <f>L414*0.2</f>
        <v>6979.024</v>
      </c>
      <c r="N414" s="76">
        <v>6960.52</v>
      </c>
      <c r="O414" s="76">
        <f>L414-N414</f>
        <v>27934.6</v>
      </c>
      <c r="P414" s="91"/>
      <c r="Q414" s="91"/>
      <c r="R414" s="76" t="s">
        <v>88</v>
      </c>
      <c r="S414" s="76" t="s">
        <v>439</v>
      </c>
      <c r="T414" s="387">
        <v>45800</v>
      </c>
      <c r="U414" s="387"/>
      <c r="V414" s="387"/>
      <c r="X414" s="133"/>
      <c r="Y414" s="76">
        <v>1960400</v>
      </c>
      <c r="Z414" s="140">
        <v>0.135</v>
      </c>
      <c r="AA414" s="114">
        <f>Z414*Y414</f>
        <v>264654</v>
      </c>
      <c r="AB414" s="114">
        <f>AA414</f>
        <v>264654</v>
      </c>
      <c r="AC414" s="114">
        <f>AB414-AA414</f>
        <v>0</v>
      </c>
      <c r="AD414" s="140"/>
      <c r="AE414" s="114"/>
      <c r="AF414" s="114"/>
      <c r="AG414" s="114"/>
      <c r="AH414" s="114"/>
      <c r="AI414" s="91"/>
      <c r="AK414" s="76">
        <v>1960400</v>
      </c>
      <c r="AL414" s="263">
        <v>0.0178</v>
      </c>
      <c r="AM414" s="114">
        <f>AL414*AK414</f>
        <v>34895.12</v>
      </c>
      <c r="AN414" s="114">
        <v>6960.52</v>
      </c>
      <c r="AO414" s="141">
        <f>AM414-AN414</f>
        <v>27934.6</v>
      </c>
      <c r="AP414" s="91"/>
      <c r="AQ414" s="387"/>
      <c r="AR414" s="387"/>
      <c r="AS414" s="387"/>
      <c r="AT414" s="387"/>
      <c r="AW414" s="387"/>
      <c r="AX414" s="76">
        <v>1960400</v>
      </c>
      <c r="AY414" s="263">
        <v>0.0178</v>
      </c>
      <c r="AZ414" s="127">
        <f>AX414*AY414</f>
        <v>34895.12</v>
      </c>
      <c r="BA414" s="127"/>
      <c r="BB414" s="127"/>
      <c r="BC414" s="127"/>
      <c r="BJ414" s="91"/>
    </row>
    <row r="415" s="76" customFormat="1" customHeight="1" outlineLevel="1" spans="1:62">
      <c r="A415" s="387"/>
      <c r="B415" s="387"/>
      <c r="C415" s="387"/>
      <c r="G415" s="586"/>
      <c r="J415" s="264"/>
      <c r="K415" s="373"/>
      <c r="L415" s="483"/>
      <c r="M415" s="114"/>
      <c r="P415" s="91"/>
      <c r="Q415" s="91"/>
      <c r="R415" s="578" t="s">
        <v>95</v>
      </c>
      <c r="T415" s="387"/>
      <c r="U415" s="387"/>
      <c r="V415" s="387"/>
      <c r="X415" s="133"/>
      <c r="Z415" s="140"/>
      <c r="AA415" s="114">
        <f>-(AM414*0.13/1.13)*7.17</f>
        <v>-28783.8419044248</v>
      </c>
      <c r="AB415" s="114"/>
      <c r="AC415" s="114"/>
      <c r="AD415" s="140"/>
      <c r="AE415" s="114"/>
      <c r="AF415" s="114"/>
      <c r="AG415" s="114"/>
      <c r="AH415" s="114"/>
      <c r="AI415" s="91"/>
      <c r="AK415" s="578"/>
      <c r="AL415" s="263"/>
      <c r="AM415" s="114"/>
      <c r="AN415" s="114"/>
      <c r="AO415" s="141"/>
      <c r="AP415" s="91"/>
      <c r="AQ415" s="387"/>
      <c r="AR415" s="387"/>
      <c r="AS415" s="387"/>
      <c r="AT415" s="387"/>
      <c r="AW415" s="387"/>
      <c r="AY415" s="263"/>
      <c r="AZ415" s="127"/>
      <c r="BA415" s="127"/>
      <c r="BB415" s="127"/>
      <c r="BC415" s="127"/>
      <c r="BJ415" s="91"/>
    </row>
    <row r="416" s="76" customFormat="1" customHeight="1" outlineLevel="1" spans="1:62">
      <c r="A416" s="387"/>
      <c r="B416" s="387"/>
      <c r="C416" s="387"/>
      <c r="G416" s="586"/>
      <c r="J416" s="264"/>
      <c r="K416" s="373"/>
      <c r="L416" s="483"/>
      <c r="M416" s="114"/>
      <c r="P416" s="91"/>
      <c r="Q416" s="91"/>
      <c r="R416" s="578"/>
      <c r="S416" s="578" t="s">
        <v>288</v>
      </c>
      <c r="T416" s="387"/>
      <c r="U416" s="387"/>
      <c r="V416" s="387"/>
      <c r="X416" s="133"/>
      <c r="Z416" s="140"/>
      <c r="AA416" s="114">
        <v>4551</v>
      </c>
      <c r="AB416" s="114"/>
      <c r="AC416" s="114"/>
      <c r="AD416" s="140"/>
      <c r="AE416" s="114"/>
      <c r="AF416" s="114"/>
      <c r="AG416" s="114"/>
      <c r="AH416" s="114"/>
      <c r="AI416" s="91"/>
      <c r="AK416" s="578"/>
      <c r="AL416" s="263"/>
      <c r="AM416" s="114"/>
      <c r="AN416" s="114"/>
      <c r="AO416" s="141"/>
      <c r="AP416" s="91"/>
      <c r="AQ416" s="387"/>
      <c r="AR416" s="387"/>
      <c r="AS416" s="387"/>
      <c r="AT416" s="387"/>
      <c r="AW416" s="387"/>
      <c r="AY416" s="263"/>
      <c r="AZ416" s="127"/>
      <c r="BA416" s="127"/>
      <c r="BB416" s="127"/>
      <c r="BC416" s="127"/>
      <c r="BJ416" s="91"/>
    </row>
    <row r="417" s="79" customFormat="1" ht="14.45" customHeight="1" spans="1:62">
      <c r="A417" s="79" t="s">
        <v>142</v>
      </c>
      <c r="B417" s="79" t="s">
        <v>440</v>
      </c>
      <c r="C417" s="599" t="s">
        <v>69</v>
      </c>
      <c r="D417" s="79" t="s">
        <v>437</v>
      </c>
      <c r="E417" s="79" t="s">
        <v>438</v>
      </c>
      <c r="G417" s="486"/>
      <c r="J417" s="579">
        <f>J414</f>
        <v>1960400</v>
      </c>
      <c r="K417" s="194"/>
      <c r="L417" s="194">
        <f>L414</f>
        <v>34895.12</v>
      </c>
      <c r="M417" s="194"/>
      <c r="O417" s="192">
        <f>O414</f>
        <v>27934.6</v>
      </c>
      <c r="P417" s="91"/>
      <c r="Q417" s="91"/>
      <c r="T417" s="463"/>
      <c r="U417" s="463">
        <f>A414+14</f>
        <v>45810</v>
      </c>
      <c r="V417" s="463" t="s">
        <v>436</v>
      </c>
      <c r="X417" s="193" t="s">
        <v>441</v>
      </c>
      <c r="Y417" s="79">
        <f>Y414</f>
        <v>1960400</v>
      </c>
      <c r="Z417" s="192"/>
      <c r="AA417" s="192">
        <f>SUM(AA414:AA416)</f>
        <v>240421.158095575</v>
      </c>
      <c r="AB417" s="192">
        <f>SUM(AB414:AB415)</f>
        <v>264654</v>
      </c>
      <c r="AC417" s="192"/>
      <c r="AD417" s="196"/>
      <c r="AE417" s="192"/>
      <c r="AF417" s="192"/>
      <c r="AG417" s="192"/>
      <c r="AH417" s="192"/>
      <c r="AM417" s="192">
        <f>SUM(AM414:AM415)</f>
        <v>34895.12</v>
      </c>
      <c r="AN417" s="192">
        <f>N417</f>
        <v>0</v>
      </c>
      <c r="AO417" s="79">
        <f>AO414</f>
        <v>27934.6</v>
      </c>
      <c r="AQ417" s="463" t="str">
        <f>V417</f>
        <v>ready</v>
      </c>
      <c r="AR417" s="463"/>
      <c r="AS417" s="463"/>
      <c r="AT417" s="463" t="s">
        <v>442</v>
      </c>
      <c r="AU417" s="79" t="s">
        <v>443</v>
      </c>
      <c r="AV417" s="79">
        <v>1</v>
      </c>
      <c r="AW417" s="463">
        <v>45821</v>
      </c>
      <c r="AX417" s="194"/>
      <c r="AY417" s="192"/>
      <c r="AZ417" s="150"/>
      <c r="BA417" s="150"/>
      <c r="BB417" s="150"/>
      <c r="BC417" s="150"/>
      <c r="BI417" s="494" t="s">
        <v>85</v>
      </c>
    </row>
    <row r="418" s="76" customFormat="1" ht="14.45" customHeight="1" outlineLevel="1" spans="1:62">
      <c r="A418" s="387">
        <v>45799</v>
      </c>
      <c r="B418" s="387"/>
      <c r="C418" s="387"/>
      <c r="D418" s="76" t="s">
        <v>444</v>
      </c>
      <c r="E418" s="76" t="s">
        <v>445</v>
      </c>
      <c r="G418" s="586">
        <f>888972.84+88897.28+9877.48+36981.2</f>
        <v>1024728.8</v>
      </c>
      <c r="H418" s="76" t="s">
        <v>93</v>
      </c>
      <c r="J418" s="129">
        <v>135</v>
      </c>
      <c r="K418" s="129">
        <v>6150</v>
      </c>
      <c r="L418" s="483">
        <f>K418*J418</f>
        <v>830250</v>
      </c>
      <c r="M418" s="114">
        <f>L418*0.3</f>
        <v>249075</v>
      </c>
      <c r="N418" s="76">
        <f>840483.6</f>
        <v>840483.6</v>
      </c>
      <c r="O418" s="76">
        <f>L418-N418</f>
        <v>-10233.6</v>
      </c>
      <c r="P418" s="91"/>
      <c r="Q418" s="91"/>
      <c r="R418" s="76" t="s">
        <v>88</v>
      </c>
      <c r="S418" s="76" t="s">
        <v>446</v>
      </c>
      <c r="T418" s="387">
        <v>45799</v>
      </c>
      <c r="U418" s="387"/>
      <c r="V418" s="387">
        <v>45867</v>
      </c>
      <c r="X418" s="133"/>
      <c r="Y418" s="76">
        <v>136.664</v>
      </c>
      <c r="Z418" s="114">
        <v>5900</v>
      </c>
      <c r="AA418" s="114">
        <f>Z418*Y418</f>
        <v>806317.6</v>
      </c>
      <c r="AB418" s="114">
        <v>796500</v>
      </c>
      <c r="AC418" s="114"/>
      <c r="AD418" s="140"/>
      <c r="AE418" s="114"/>
      <c r="AF418" s="114"/>
      <c r="AG418" s="114"/>
      <c r="AH418" s="114"/>
      <c r="AK418" s="76">
        <v>136.664</v>
      </c>
      <c r="AL418" s="76">
        <v>6150</v>
      </c>
      <c r="AM418" s="114">
        <f>AL418*AK418</f>
        <v>840483.6</v>
      </c>
      <c r="AN418" s="114">
        <v>840483.6</v>
      </c>
      <c r="AO418" s="141">
        <f>AM418-AN418</f>
        <v>0</v>
      </c>
      <c r="AQ418" s="387"/>
      <c r="AR418" s="387"/>
      <c r="AS418" s="387"/>
      <c r="AT418" s="387"/>
      <c r="AW418" s="387"/>
      <c r="AX418" s="76">
        <v>136.664</v>
      </c>
      <c r="AY418" s="76">
        <v>6150</v>
      </c>
      <c r="AZ418" s="114">
        <f>AY418*AX418</f>
        <v>840483.6</v>
      </c>
      <c r="BA418" s="114">
        <v>840483.6</v>
      </c>
      <c r="BB418" s="127"/>
      <c r="BC418" s="127">
        <f>AZ418-BA418-BB418</f>
        <v>0</v>
      </c>
      <c r="BJ418" s="91"/>
    </row>
    <row r="419" s="76" customFormat="1" ht="14.45" customHeight="1" outlineLevel="1" spans="1:62">
      <c r="C419" s="387"/>
      <c r="D419" s="76" t="s">
        <v>444</v>
      </c>
      <c r="E419" s="76" t="s">
        <v>447</v>
      </c>
      <c r="G419" s="586"/>
      <c r="H419" s="76" t="s">
        <v>93</v>
      </c>
      <c r="J419" s="129">
        <v>27</v>
      </c>
      <c r="K419" s="129">
        <v>6000</v>
      </c>
      <c r="L419" s="483">
        <f>K419*J419</f>
        <v>162000</v>
      </c>
      <c r="M419" s="114">
        <f>L419*0.3</f>
        <v>48600</v>
      </c>
      <c r="N419" s="76">
        <f>48489.24+88897.28+9877.48</f>
        <v>147264</v>
      </c>
      <c r="O419" s="76">
        <f>L419-N419</f>
        <v>14736</v>
      </c>
      <c r="P419" s="91"/>
      <c r="Q419" s="91"/>
      <c r="R419" s="76" t="s">
        <v>88</v>
      </c>
      <c r="S419" s="76" t="s">
        <v>446</v>
      </c>
      <c r="T419" s="387">
        <v>45799</v>
      </c>
      <c r="U419" s="387"/>
      <c r="V419" s="387">
        <v>45867</v>
      </c>
      <c r="X419" s="133"/>
      <c r="Y419" s="76">
        <v>24.544</v>
      </c>
      <c r="Z419" s="114">
        <v>5750</v>
      </c>
      <c r="AA419" s="114">
        <f>Z419*Y419</f>
        <v>141128</v>
      </c>
      <c r="AB419" s="114">
        <v>155250</v>
      </c>
      <c r="AC419" s="114"/>
      <c r="AD419" s="140"/>
      <c r="AE419" s="114"/>
      <c r="AF419" s="114"/>
      <c r="AG419" s="114"/>
      <c r="AH419" s="114"/>
      <c r="AK419" s="76">
        <v>24.544</v>
      </c>
      <c r="AL419" s="76">
        <v>6000</v>
      </c>
      <c r="AM419" s="114">
        <f>AL419*AK419</f>
        <v>147264</v>
      </c>
      <c r="AN419" s="114">
        <f>888972.84-AM418+88897.28+9877.48</f>
        <v>147264</v>
      </c>
      <c r="AO419" s="141">
        <f>AM419-AN419</f>
        <v>0</v>
      </c>
      <c r="AQ419" s="387"/>
      <c r="AR419" s="387"/>
      <c r="AS419" s="387"/>
      <c r="AT419" s="387"/>
      <c r="AW419" s="387"/>
      <c r="AX419" s="76">
        <v>24.544</v>
      </c>
      <c r="AY419" s="76">
        <v>6000</v>
      </c>
      <c r="AZ419" s="114">
        <f>AY419*AX419</f>
        <v>147264</v>
      </c>
      <c r="BA419" s="114">
        <f>888972.84-AZ418</f>
        <v>48489.24</v>
      </c>
      <c r="BB419" s="127"/>
      <c r="BC419" s="127">
        <f>AZ419-BA419-BB419</f>
        <v>98774.76</v>
      </c>
      <c r="BJ419" s="91"/>
    </row>
    <row r="420" s="76" customFormat="1" ht="14.45" customHeight="1" outlineLevel="1" spans="1:62">
      <c r="C420" s="387"/>
      <c r="G420" s="586"/>
      <c r="J420" s="129"/>
      <c r="K420" s="129"/>
      <c r="L420" s="483"/>
      <c r="M420" s="114"/>
      <c r="P420" s="91"/>
      <c r="Q420" s="91"/>
      <c r="S420" s="578" t="s">
        <v>288</v>
      </c>
      <c r="T420" s="387"/>
      <c r="U420" s="387"/>
      <c r="V420" s="387"/>
      <c r="X420" s="133"/>
      <c r="Y420" s="129"/>
      <c r="Z420" s="114"/>
      <c r="AA420" s="114">
        <v>23267</v>
      </c>
      <c r="AB420" s="114"/>
      <c r="AC420" s="114"/>
      <c r="AD420" s="140"/>
      <c r="AE420" s="114"/>
      <c r="AF420" s="114"/>
      <c r="AG420" s="114"/>
      <c r="AH420" s="114"/>
      <c r="AM420" s="114"/>
      <c r="AN420" s="114"/>
      <c r="AO420" s="141"/>
      <c r="AQ420" s="387"/>
      <c r="AR420" s="387"/>
      <c r="AS420" s="387"/>
      <c r="AT420" s="387"/>
      <c r="AW420" s="387"/>
      <c r="AZ420" s="114"/>
      <c r="BA420" s="114"/>
      <c r="BB420" s="127"/>
      <c r="BC420" s="127"/>
      <c r="BJ420" s="91"/>
    </row>
    <row r="421" s="76" customFormat="1" ht="14.45" customHeight="1" outlineLevel="1" spans="1:62">
      <c r="C421" s="387"/>
      <c r="D421" s="76" t="s">
        <v>448</v>
      </c>
      <c r="E421" s="76" t="s">
        <v>445</v>
      </c>
      <c r="G421" s="586"/>
      <c r="J421" s="129"/>
      <c r="K421" s="129"/>
      <c r="L421" s="483"/>
      <c r="M421" s="114"/>
      <c r="P421" s="91"/>
      <c r="Q421" s="91"/>
      <c r="S421" s="578"/>
      <c r="T421" s="387"/>
      <c r="U421" s="387"/>
      <c r="V421" s="387"/>
      <c r="X421" s="133"/>
      <c r="Y421" s="76">
        <v>6.268</v>
      </c>
      <c r="Z421" s="114">
        <v>5900</v>
      </c>
      <c r="AA421" s="114">
        <f>Z421*Y421</f>
        <v>36981.2</v>
      </c>
      <c r="AB421" s="114"/>
      <c r="AC421" s="114"/>
      <c r="AD421" s="140"/>
      <c r="AE421" s="114"/>
      <c r="AF421" s="114"/>
      <c r="AG421" s="114"/>
      <c r="AH421" s="114"/>
      <c r="AK421" s="76">
        <v>6.268</v>
      </c>
      <c r="AL421" s="76">
        <v>6150</v>
      </c>
      <c r="AM421" s="114">
        <f>AL421*AK421</f>
        <v>38548.2</v>
      </c>
      <c r="AN421" s="114"/>
      <c r="AO421" s="141"/>
      <c r="AQ421" s="387"/>
      <c r="AR421" s="387"/>
      <c r="AS421" s="387" t="s">
        <v>449</v>
      </c>
      <c r="AT421" s="387"/>
      <c r="AW421" s="387"/>
      <c r="AX421" s="76">
        <v>6.268</v>
      </c>
      <c r="AY421" s="76">
        <v>6150</v>
      </c>
      <c r="AZ421" s="114">
        <f>AY421*AX421</f>
        <v>38548.2</v>
      </c>
      <c r="BA421" s="114"/>
      <c r="BB421" s="127"/>
      <c r="BC421" s="127"/>
      <c r="BJ421" s="91"/>
    </row>
    <row r="422" s="76" customFormat="1" ht="14.45" customHeight="1" outlineLevel="1" spans="1:62">
      <c r="C422" s="387"/>
      <c r="D422" s="76" t="s">
        <v>450</v>
      </c>
      <c r="E422" s="76" t="s">
        <v>445</v>
      </c>
      <c r="G422" s="586"/>
      <c r="J422" s="129"/>
      <c r="K422" s="129"/>
      <c r="L422" s="483"/>
      <c r="M422" s="114"/>
      <c r="P422" s="91"/>
      <c r="Q422" s="91"/>
      <c r="S422" s="578"/>
      <c r="T422" s="387"/>
      <c r="U422" s="387"/>
      <c r="V422" s="387"/>
      <c r="X422" s="133"/>
      <c r="Y422" s="129">
        <v>3.406</v>
      </c>
      <c r="Z422" s="114">
        <v>5900</v>
      </c>
      <c r="AA422" s="114">
        <f>Z422*Y422</f>
        <v>20095.4</v>
      </c>
      <c r="AB422" s="114"/>
      <c r="AC422" s="114"/>
      <c r="AD422" s="140"/>
      <c r="AE422" s="114"/>
      <c r="AF422" s="114"/>
      <c r="AG422" s="114"/>
      <c r="AH422" s="114"/>
      <c r="AM422" s="114"/>
      <c r="AN422" s="114"/>
      <c r="AO422" s="141"/>
      <c r="AQ422" s="387"/>
      <c r="AR422" s="387"/>
      <c r="AS422" s="387"/>
      <c r="AT422" s="387"/>
      <c r="AW422" s="387"/>
      <c r="AZ422" s="114"/>
      <c r="BA422" s="114"/>
      <c r="BB422" s="127"/>
      <c r="BC422" s="127"/>
      <c r="BJ422" s="91"/>
    </row>
    <row r="423" s="79" customFormat="1" ht="28.9" customHeight="1" spans="1:62">
      <c r="A423" s="79" t="s">
        <v>451</v>
      </c>
      <c r="B423" s="79" t="s">
        <v>440</v>
      </c>
      <c r="C423" s="463" t="s">
        <v>69</v>
      </c>
      <c r="D423" s="79" t="s">
        <v>444</v>
      </c>
      <c r="E423" s="116" t="s">
        <v>452</v>
      </c>
      <c r="G423" s="486"/>
      <c r="J423" s="194">
        <f>SUM(J418:J419)</f>
        <v>162</v>
      </c>
      <c r="K423" s="194"/>
      <c r="L423" s="194">
        <f>SUM(L418:L419)</f>
        <v>992250</v>
      </c>
      <c r="M423" s="194"/>
      <c r="N423" s="79">
        <f>SUM(N418:N419)</f>
        <v>987747.6</v>
      </c>
      <c r="O423" s="192">
        <f>SUM(O418:O419)</f>
        <v>4502.40000000002</v>
      </c>
      <c r="P423" s="91"/>
      <c r="Q423" s="91"/>
      <c r="T423" s="463"/>
      <c r="U423" s="463">
        <f>A418+60</f>
        <v>45859</v>
      </c>
      <c r="V423" s="463">
        <v>45867</v>
      </c>
      <c r="X423" s="193" t="s">
        <v>432</v>
      </c>
      <c r="Y423" s="79">
        <f>SUM(Y418:Y419)</f>
        <v>161.208</v>
      </c>
      <c r="Z423" s="192"/>
      <c r="AA423" s="79">
        <f>SUM(AA418:AA420)</f>
        <v>970712.6</v>
      </c>
      <c r="AB423" s="79">
        <f>SUM(AB418:AB419)</f>
        <v>951750</v>
      </c>
      <c r="AC423" s="192"/>
      <c r="AD423" s="196"/>
      <c r="AE423" s="192"/>
      <c r="AF423" s="192"/>
      <c r="AG423" s="192"/>
      <c r="AH423" s="192"/>
      <c r="AK423" s="79">
        <f>SUM(AK418:AK419)</f>
        <v>161.208</v>
      </c>
      <c r="AM423" s="192">
        <f>SUM(AM418:AM419)</f>
        <v>987747.6</v>
      </c>
      <c r="AN423" s="192">
        <f>N423</f>
        <v>987747.6</v>
      </c>
      <c r="AO423" s="192">
        <f>AM423-AN423</f>
        <v>0</v>
      </c>
      <c r="AQ423" s="463">
        <f>V423</f>
        <v>45867</v>
      </c>
      <c r="AR423" s="463"/>
      <c r="AS423" s="463"/>
      <c r="AT423" s="463"/>
      <c r="AU423" s="79" t="s">
        <v>432</v>
      </c>
      <c r="AW423" s="463"/>
      <c r="AX423" s="194">
        <f>SUM(AX418:AX419)</f>
        <v>161.208</v>
      </c>
      <c r="AY423" s="192"/>
      <c r="AZ423" s="194">
        <f>SUM(AZ418:AZ419)</f>
        <v>987747.6</v>
      </c>
      <c r="BA423" s="194">
        <f>SUM(BA418:BA419)</f>
        <v>888972.84</v>
      </c>
      <c r="BB423" s="150"/>
      <c r="BC423" s="194">
        <f>SUM(BC418:BC419)</f>
        <v>98774.76</v>
      </c>
      <c r="BI423" s="494" t="s">
        <v>85</v>
      </c>
    </row>
    <row r="424" s="76" customFormat="1" ht="14.45" customHeight="1" outlineLevel="1" spans="1:62">
      <c r="A424" s="387">
        <v>45798</v>
      </c>
      <c r="B424" s="387"/>
      <c r="C424" s="387"/>
      <c r="D424" s="76" t="s">
        <v>453</v>
      </c>
      <c r="E424" s="76" t="s">
        <v>454</v>
      </c>
      <c r="G424" s="586">
        <f>144734.4+130260.96+207452.64</f>
        <v>482448</v>
      </c>
      <c r="H424" s="76" t="s">
        <v>93</v>
      </c>
      <c r="J424" s="264">
        <v>2097600</v>
      </c>
      <c r="K424" s="129">
        <v>0.23</v>
      </c>
      <c r="L424" s="483">
        <f>K424*J424</f>
        <v>482448</v>
      </c>
      <c r="M424" s="114">
        <f>L424*0.3</f>
        <v>144734.4</v>
      </c>
      <c r="N424" s="76">
        <f>144734.4+130260.96+207452.64</f>
        <v>482448</v>
      </c>
      <c r="O424" s="76">
        <f>L424-N424</f>
        <v>0</v>
      </c>
      <c r="P424" s="91"/>
      <c r="Q424" s="91"/>
      <c r="R424" s="113" t="s">
        <v>148</v>
      </c>
      <c r="S424" s="76" t="s">
        <v>455</v>
      </c>
      <c r="T424" s="387">
        <v>45801</v>
      </c>
      <c r="U424" s="387"/>
      <c r="V424" s="387"/>
      <c r="X424" s="133"/>
      <c r="Y424" s="76">
        <v>2097600</v>
      </c>
      <c r="Z424" s="140">
        <v>0.245</v>
      </c>
      <c r="AA424" s="114">
        <f>Z424*Y424</f>
        <v>513912</v>
      </c>
      <c r="AB424" s="114">
        <f>145000+120000</f>
        <v>265000</v>
      </c>
      <c r="AC424" s="114">
        <v>248912</v>
      </c>
      <c r="AD424" s="140"/>
      <c r="AE424" s="114"/>
      <c r="AF424" s="114"/>
      <c r="AG424" s="114"/>
      <c r="AH424" s="114"/>
      <c r="AI424" s="91"/>
      <c r="AK424" s="264">
        <v>2097600</v>
      </c>
      <c r="AL424" s="129">
        <v>0.23</v>
      </c>
      <c r="AM424" s="483">
        <f>AL424*AK424</f>
        <v>482448</v>
      </c>
      <c r="AN424" s="114">
        <f>N424</f>
        <v>482448</v>
      </c>
      <c r="AP424" s="91"/>
      <c r="AQ424" s="387"/>
      <c r="AR424" s="387"/>
      <c r="AS424" s="387"/>
      <c r="AT424" s="387"/>
      <c r="AW424" s="387"/>
      <c r="AX424" s="264">
        <v>2097600</v>
      </c>
      <c r="AY424" s="129">
        <v>0.23</v>
      </c>
      <c r="AZ424" s="483">
        <f>AY424*AX424</f>
        <v>482448</v>
      </c>
      <c r="BA424" s="127">
        <v>482448</v>
      </c>
      <c r="BB424" s="127"/>
      <c r="BC424" s="127"/>
      <c r="BJ424" s="91"/>
    </row>
    <row r="425" s="76" customFormat="1" ht="14.45" customHeight="1" outlineLevel="1" spans="1:62">
      <c r="A425" s="387"/>
      <c r="B425" s="387"/>
      <c r="C425" s="387"/>
      <c r="G425" s="586"/>
      <c r="J425" s="264"/>
      <c r="K425" s="129"/>
      <c r="L425" s="483"/>
      <c r="M425" s="114"/>
      <c r="P425" s="91"/>
      <c r="Q425" s="91"/>
      <c r="R425" s="578" t="s">
        <v>95</v>
      </c>
      <c r="T425" s="387"/>
      <c r="U425" s="387"/>
      <c r="V425" s="387"/>
      <c r="X425" s="133"/>
      <c r="Z425" s="140"/>
      <c r="AA425" s="114">
        <f>-(AM424*0.13/1.13)</f>
        <v>-55502.8672566372</v>
      </c>
      <c r="AB425" s="114"/>
      <c r="AC425" s="114"/>
      <c r="AD425" s="140"/>
      <c r="AE425" s="114"/>
      <c r="AF425" s="114"/>
      <c r="AG425" s="114"/>
      <c r="AH425" s="114"/>
      <c r="AI425" s="91"/>
      <c r="AK425" s="578"/>
      <c r="AL425" s="129"/>
      <c r="AM425" s="114"/>
      <c r="AN425" s="114"/>
      <c r="AP425" s="91"/>
      <c r="AQ425" s="387"/>
      <c r="AR425" s="387"/>
      <c r="AS425" s="387"/>
      <c r="AT425" s="387"/>
      <c r="AW425" s="387"/>
      <c r="AX425" s="129"/>
      <c r="AY425" s="114"/>
      <c r="AZ425" s="127"/>
      <c r="BA425" s="127"/>
      <c r="BB425" s="127"/>
      <c r="BC425" s="127"/>
      <c r="BJ425" s="91"/>
    </row>
    <row r="426" s="76" customFormat="1" ht="14.45" customHeight="1" outlineLevel="1" spans="1:62">
      <c r="A426" s="387"/>
      <c r="B426" s="387"/>
      <c r="C426" s="387"/>
      <c r="G426" s="586"/>
      <c r="J426" s="264"/>
      <c r="K426" s="129"/>
      <c r="L426" s="483"/>
      <c r="M426" s="114"/>
      <c r="P426" s="91"/>
      <c r="Q426" s="91"/>
      <c r="R426" s="578"/>
      <c r="S426" s="578" t="s">
        <v>288</v>
      </c>
      <c r="T426" s="387"/>
      <c r="U426" s="387"/>
      <c r="V426" s="387"/>
      <c r="X426" s="133"/>
      <c r="Z426" s="140"/>
      <c r="AA426" s="114">
        <v>10344</v>
      </c>
      <c r="AB426" s="114"/>
      <c r="AC426" s="114"/>
      <c r="AD426" s="140"/>
      <c r="AE426" s="114"/>
      <c r="AF426" s="114"/>
      <c r="AG426" s="114"/>
      <c r="AH426" s="114"/>
      <c r="AI426" s="91"/>
      <c r="AK426" s="578"/>
      <c r="AL426" s="129"/>
      <c r="AM426" s="114"/>
      <c r="AN426" s="114"/>
      <c r="AP426" s="91"/>
      <c r="AQ426" s="387"/>
      <c r="AR426" s="387"/>
      <c r="AS426" s="387"/>
      <c r="AT426" s="387"/>
      <c r="AW426" s="387"/>
      <c r="AX426" s="129"/>
      <c r="AY426" s="114"/>
      <c r="AZ426" s="127"/>
      <c r="BA426" s="127"/>
      <c r="BB426" s="127"/>
      <c r="BC426" s="127"/>
      <c r="BJ426" s="91"/>
    </row>
    <row r="427" s="79" customFormat="1" ht="14.45" customHeight="1" spans="1:62">
      <c r="A427" s="79" t="s">
        <v>338</v>
      </c>
      <c r="B427" s="79" t="s">
        <v>456</v>
      </c>
      <c r="C427" s="463">
        <v>45798</v>
      </c>
      <c r="D427" s="79" t="s">
        <v>453</v>
      </c>
      <c r="G427" s="486"/>
      <c r="J427" s="579">
        <f>J424</f>
        <v>2097600</v>
      </c>
      <c r="K427" s="194"/>
      <c r="L427" s="194">
        <f>L424</f>
        <v>482448</v>
      </c>
      <c r="M427" s="194"/>
      <c r="N427" s="79">
        <f>N424</f>
        <v>482448</v>
      </c>
      <c r="O427" s="192">
        <f>O424</f>
        <v>0</v>
      </c>
      <c r="P427" s="91"/>
      <c r="Q427" s="91"/>
      <c r="T427" s="463"/>
      <c r="U427" s="463">
        <f>A424+45</f>
        <v>45843</v>
      </c>
      <c r="V427" s="463" t="s">
        <v>436</v>
      </c>
      <c r="X427" s="193" t="s">
        <v>355</v>
      </c>
      <c r="Y427" s="79">
        <f>Y424</f>
        <v>2097600</v>
      </c>
      <c r="Z427" s="192"/>
      <c r="AA427" s="192">
        <f>SUM(AA424:AA426)</f>
        <v>468753.132743363</v>
      </c>
      <c r="AB427" s="192">
        <f>AB424</f>
        <v>265000</v>
      </c>
      <c r="AC427" s="192">
        <f>AC424</f>
        <v>248912</v>
      </c>
      <c r="AD427" s="196"/>
      <c r="AE427" s="192"/>
      <c r="AF427" s="192"/>
      <c r="AG427" s="192"/>
      <c r="AH427" s="192"/>
      <c r="AK427" s="579">
        <f>AK424</f>
        <v>2097600</v>
      </c>
      <c r="AM427" s="192">
        <f>SUM(AM424:AM425)</f>
        <v>482448</v>
      </c>
      <c r="AN427" s="192">
        <f>SUM(AN424:AN425)</f>
        <v>482448</v>
      </c>
      <c r="AO427" s="192">
        <f>SUM(AO424:AO425)</f>
        <v>0</v>
      </c>
      <c r="AQ427" s="463" t="str">
        <f>V427</f>
        <v>ready</v>
      </c>
      <c r="AR427" s="463"/>
      <c r="AS427" s="463"/>
      <c r="AT427" s="463" t="s">
        <v>349</v>
      </c>
      <c r="AU427" s="79">
        <v>1067932046</v>
      </c>
      <c r="AV427" s="79">
        <v>2</v>
      </c>
      <c r="AW427" s="463">
        <v>45860</v>
      </c>
      <c r="AX427" s="192">
        <f>SUM(AX424:AX425)</f>
        <v>2097600</v>
      </c>
      <c r="AY427" s="192"/>
      <c r="AZ427" s="192">
        <f>SUM(AZ424:AZ425)</f>
        <v>482448</v>
      </c>
      <c r="BA427" s="192">
        <f>SUM(BA424:BA425)</f>
        <v>482448</v>
      </c>
      <c r="BB427" s="150"/>
      <c r="BC427" s="493">
        <f>AZ427-BA427-BB427</f>
        <v>0</v>
      </c>
      <c r="BI427" s="494" t="s">
        <v>85</v>
      </c>
    </row>
    <row r="428" s="76" customFormat="1" ht="14.45" customHeight="1" outlineLevel="1" spans="1:62">
      <c r="C428" s="387">
        <v>45588</v>
      </c>
      <c r="D428" s="76" t="s">
        <v>457</v>
      </c>
      <c r="E428" s="76" t="s">
        <v>458</v>
      </c>
      <c r="F428" s="79"/>
      <c r="G428" s="586"/>
      <c r="H428" s="76" t="s">
        <v>75</v>
      </c>
      <c r="I428" s="80"/>
      <c r="J428" s="264">
        <v>1</v>
      </c>
      <c r="K428" s="129">
        <v>74530</v>
      </c>
      <c r="L428" s="129">
        <f>K428*J428</f>
        <v>74530</v>
      </c>
      <c r="M428" s="129"/>
      <c r="N428" s="76">
        <f>37265+37265</f>
        <v>74530</v>
      </c>
      <c r="O428" s="76">
        <f>L428-N428</f>
        <v>0</v>
      </c>
      <c r="R428" s="76" t="s">
        <v>459</v>
      </c>
      <c r="S428" s="76" t="s">
        <v>460</v>
      </c>
      <c r="T428" s="387">
        <v>45607</v>
      </c>
      <c r="U428" s="387"/>
      <c r="V428" s="387"/>
      <c r="X428" s="133"/>
      <c r="Y428" s="76">
        <v>1</v>
      </c>
      <c r="Z428" s="114">
        <v>72360</v>
      </c>
      <c r="AA428" s="114">
        <f>Z428*Y428</f>
        <v>72360</v>
      </c>
      <c r="AB428" s="114">
        <f>36000+36360</f>
        <v>72360</v>
      </c>
      <c r="AC428" s="114"/>
      <c r="AD428" s="140"/>
      <c r="AE428" s="114"/>
      <c r="AF428" s="114"/>
      <c r="AG428" s="114"/>
      <c r="AH428" s="141"/>
      <c r="AJ428" s="225"/>
      <c r="AK428" s="76">
        <v>1</v>
      </c>
      <c r="AL428" s="76">
        <v>74530</v>
      </c>
      <c r="AM428" s="114">
        <v>74530</v>
      </c>
      <c r="AN428" s="114">
        <f>N428</f>
        <v>74530</v>
      </c>
      <c r="AO428" s="144"/>
      <c r="AQ428" s="387"/>
      <c r="AR428" s="482"/>
      <c r="AS428" s="482"/>
      <c r="AT428" s="482"/>
      <c r="AU428" s="137"/>
      <c r="AV428" s="137"/>
      <c r="AW428" s="482"/>
      <c r="AX428" s="76">
        <v>1</v>
      </c>
      <c r="AY428" s="76">
        <v>74530</v>
      </c>
      <c r="AZ428" s="114">
        <v>74530</v>
      </c>
      <c r="BA428" s="127">
        <f>AN428</f>
        <v>74530</v>
      </c>
      <c r="BB428" s="127"/>
      <c r="BC428" s="483">
        <f>AZ428-BA428-BB428</f>
        <v>0</v>
      </c>
    </row>
    <row r="429" s="76" customFormat="1" ht="14.45" customHeight="1" outlineLevel="1" spans="1:62">
      <c r="C429" s="387"/>
      <c r="F429" s="79"/>
      <c r="G429" s="586"/>
      <c r="I429" s="80"/>
      <c r="J429" s="264"/>
      <c r="K429" s="129"/>
      <c r="L429" s="129"/>
      <c r="M429" s="129"/>
      <c r="R429" s="578" t="s">
        <v>95</v>
      </c>
      <c r="T429" s="387"/>
      <c r="U429" s="387"/>
      <c r="V429" s="387"/>
      <c r="X429" s="133"/>
      <c r="Z429" s="140"/>
      <c r="AA429" s="114">
        <f>-(AM428*0.13/1.13)</f>
        <v>-8574.24778761062</v>
      </c>
      <c r="AB429" s="114"/>
      <c r="AC429" s="114"/>
      <c r="AD429" s="140"/>
      <c r="AE429" s="114"/>
      <c r="AF429" s="114"/>
      <c r="AG429" s="114"/>
      <c r="AH429" s="141"/>
      <c r="AJ429" s="225"/>
      <c r="AK429" s="578"/>
      <c r="AM429" s="114"/>
      <c r="AN429" s="114"/>
      <c r="AO429" s="144"/>
      <c r="AQ429" s="387"/>
      <c r="AR429" s="482"/>
      <c r="AS429" s="482"/>
      <c r="AT429" s="482"/>
      <c r="AU429" s="137"/>
      <c r="AV429" s="137"/>
      <c r="AW429" s="482"/>
      <c r="AX429" s="137"/>
      <c r="AZ429" s="114"/>
      <c r="BA429" s="127"/>
      <c r="BB429" s="127"/>
      <c r="BC429" s="483"/>
    </row>
    <row r="430" s="79" customFormat="1" ht="14.45" customHeight="1" spans="1:62">
      <c r="C430" s="463"/>
      <c r="D430" s="79" t="s">
        <v>457</v>
      </c>
      <c r="G430" s="486"/>
      <c r="I430" s="80"/>
      <c r="J430" s="579"/>
      <c r="K430" s="194"/>
      <c r="L430" s="194"/>
      <c r="M430" s="194"/>
      <c r="N430" s="79">
        <f>N428</f>
        <v>74530</v>
      </c>
      <c r="O430" s="79">
        <f>O428</f>
        <v>0</v>
      </c>
      <c r="P430" s="91"/>
      <c r="Q430" s="91"/>
      <c r="T430" s="463"/>
      <c r="U430" s="463"/>
      <c r="V430" s="463"/>
      <c r="X430" s="193" t="s">
        <v>432</v>
      </c>
      <c r="Z430" s="192"/>
      <c r="AA430" s="192">
        <f>SUM(AA428:AA429)</f>
        <v>63785.7522123894</v>
      </c>
      <c r="AB430" s="192"/>
      <c r="AC430" s="192"/>
      <c r="AD430" s="196"/>
      <c r="AE430" s="192"/>
      <c r="AF430" s="192"/>
      <c r="AG430" s="192"/>
      <c r="AH430" s="227"/>
      <c r="AJ430" s="225"/>
      <c r="AK430" s="79">
        <v>1</v>
      </c>
      <c r="AM430" s="192">
        <f>SUM(AM428:AM429)</f>
        <v>74530</v>
      </c>
      <c r="AN430" s="192">
        <f>N430</f>
        <v>74530</v>
      </c>
      <c r="AO430" s="490">
        <f>AM430-AN430</f>
        <v>0</v>
      </c>
      <c r="AQ430" s="463" t="s">
        <v>436</v>
      </c>
      <c r="AR430" s="491"/>
      <c r="AS430" s="491"/>
      <c r="AT430" s="491"/>
      <c r="AU430" s="647" t="s">
        <v>461</v>
      </c>
      <c r="AV430" s="225">
        <v>1</v>
      </c>
      <c r="AW430" s="491">
        <v>45846</v>
      </c>
      <c r="AX430" s="492"/>
      <c r="AY430" s="192"/>
      <c r="AZ430" s="150">
        <f>AZ428</f>
        <v>74530</v>
      </c>
      <c r="BA430" s="150">
        <f>BA428</f>
        <v>74530</v>
      </c>
      <c r="BB430" s="150"/>
      <c r="BC430" s="493">
        <f>AZ430-BA430-BB430</f>
        <v>0</v>
      </c>
      <c r="BI430" s="648" t="s">
        <v>60</v>
      </c>
    </row>
    <row r="431" s="75" customFormat="1" ht="14.45" customHeight="1" outlineLevel="1" spans="1:62">
      <c r="C431" s="387"/>
      <c r="D431" s="76" t="s">
        <v>462</v>
      </c>
      <c r="E431" s="76" t="s">
        <v>458</v>
      </c>
      <c r="F431" s="76"/>
      <c r="G431" s="586"/>
      <c r="H431" s="76" t="s">
        <v>75</v>
      </c>
      <c r="I431" s="84"/>
      <c r="J431" s="264">
        <v>1</v>
      </c>
      <c r="K431" s="131">
        <v>103000</v>
      </c>
      <c r="L431" s="131">
        <f>K431*J431</f>
        <v>103000</v>
      </c>
      <c r="M431" s="131"/>
      <c r="N431" s="76">
        <f>51500+51500</f>
        <v>103000</v>
      </c>
      <c r="O431" s="76">
        <f>L431-N431</f>
        <v>0</v>
      </c>
      <c r="P431" s="91"/>
      <c r="Q431" s="91"/>
      <c r="R431" s="76" t="s">
        <v>459</v>
      </c>
      <c r="S431" s="76" t="s">
        <v>463</v>
      </c>
      <c r="T431" s="387">
        <v>45714</v>
      </c>
      <c r="U431" s="387"/>
      <c r="V431" s="387"/>
      <c r="W431" s="76"/>
      <c r="X431" s="133"/>
      <c r="Y431" s="76">
        <v>1</v>
      </c>
      <c r="Z431" s="134">
        <v>100000</v>
      </c>
      <c r="AA431" s="131">
        <f>Z431*Y431</f>
        <v>100000</v>
      </c>
      <c r="AB431" s="114">
        <f>50000+50000</f>
        <v>100000</v>
      </c>
      <c r="AC431" s="134"/>
      <c r="AD431" s="140"/>
      <c r="AE431" s="134"/>
      <c r="AF431" s="114"/>
      <c r="AG431" s="114"/>
      <c r="AH431" s="141"/>
      <c r="AI431" s="74"/>
      <c r="AJ431" s="122"/>
      <c r="AK431" s="76"/>
      <c r="AL431" s="115"/>
      <c r="AM431" s="119"/>
      <c r="AN431" s="119"/>
      <c r="AO431" s="126"/>
      <c r="AP431" s="74"/>
      <c r="AQ431" s="387"/>
      <c r="AR431" s="482"/>
      <c r="AS431" s="482" t="s">
        <v>413</v>
      </c>
      <c r="AT431" s="482"/>
      <c r="AU431" s="649"/>
      <c r="AV431" s="137">
        <v>1</v>
      </c>
      <c r="AW431" s="482"/>
      <c r="AX431" s="650"/>
      <c r="AY431" s="119"/>
      <c r="AZ431" s="522"/>
      <c r="BA431" s="522"/>
      <c r="BB431" s="522"/>
      <c r="BC431" s="522"/>
      <c r="BD431" s="115"/>
      <c r="BE431" s="115"/>
      <c r="BF431" s="115"/>
      <c r="BG431" s="115"/>
      <c r="BJ431" s="74"/>
    </row>
    <row r="432" s="151" customFormat="1" ht="28.9" customHeight="1" spans="1:62">
      <c r="C432" s="463" t="s">
        <v>69</v>
      </c>
      <c r="D432" s="116" t="s">
        <v>462</v>
      </c>
      <c r="E432" s="464" t="s">
        <v>458</v>
      </c>
      <c r="F432" s="116"/>
      <c r="G432" s="465"/>
      <c r="H432" s="464" t="s">
        <v>75</v>
      </c>
      <c r="I432" s="651"/>
      <c r="J432" s="466">
        <v>1</v>
      </c>
      <c r="K432" s="466"/>
      <c r="L432" s="466">
        <f>L431</f>
        <v>103000</v>
      </c>
      <c r="M432" s="466"/>
      <c r="N432" s="464"/>
      <c r="O432" s="464"/>
      <c r="P432" s="74"/>
      <c r="Q432" s="74"/>
      <c r="R432" s="464"/>
      <c r="S432" s="464"/>
      <c r="T432" s="467"/>
      <c r="U432" s="467"/>
      <c r="V432" s="467"/>
      <c r="W432" s="116"/>
      <c r="X432" s="635" t="s">
        <v>432</v>
      </c>
      <c r="Y432" s="464"/>
      <c r="Z432" s="469"/>
      <c r="AA432" s="469"/>
      <c r="AB432" s="469"/>
      <c r="AC432" s="469"/>
      <c r="AD432" s="470"/>
      <c r="AE432" s="469"/>
      <c r="AF432" s="469"/>
      <c r="AG432" s="469"/>
      <c r="AH432" s="471"/>
      <c r="AI432" s="74"/>
      <c r="AJ432" s="472"/>
      <c r="AK432" s="473"/>
      <c r="AL432" s="464"/>
      <c r="AM432" s="469"/>
      <c r="AN432" s="192">
        <f>N432</f>
        <v>0</v>
      </c>
      <c r="AO432" s="474"/>
      <c r="AP432" s="74"/>
      <c r="AQ432" s="467"/>
      <c r="AR432" s="475"/>
      <c r="AS432" s="475"/>
      <c r="AT432" s="475"/>
      <c r="AU432" s="473"/>
      <c r="AV432" s="473"/>
      <c r="AW432" s="475"/>
      <c r="AX432" s="476"/>
      <c r="AY432" s="469"/>
      <c r="AZ432" s="477"/>
      <c r="BA432" s="477"/>
      <c r="BB432" s="477"/>
      <c r="BC432" s="493">
        <f>AZ432-BA432-BB432</f>
        <v>0</v>
      </c>
      <c r="BD432" s="464"/>
      <c r="BE432" s="464"/>
      <c r="BF432" s="464"/>
      <c r="BG432" s="464"/>
      <c r="BI432" s="494" t="s">
        <v>85</v>
      </c>
      <c r="BJ432" s="74"/>
    </row>
    <row r="433" s="75" customFormat="1" ht="28.9" customHeight="1" outlineLevel="1" spans="1:70">
      <c r="C433" s="387"/>
      <c r="D433" s="76" t="s">
        <v>464</v>
      </c>
      <c r="E433" s="113" t="s">
        <v>465</v>
      </c>
      <c r="F433" s="76"/>
      <c r="G433" s="586"/>
      <c r="H433" s="113" t="s">
        <v>75</v>
      </c>
      <c r="I433" s="630"/>
      <c r="J433" s="75">
        <v>20</v>
      </c>
      <c r="K433" s="75">
        <v>7000</v>
      </c>
      <c r="L433" s="117">
        <f>K433*J433</f>
        <v>140000</v>
      </c>
      <c r="N433" s="115">
        <v>134566.5</v>
      </c>
      <c r="O433" s="76">
        <f>L433-N433</f>
        <v>5433.5</v>
      </c>
      <c r="P433" s="74"/>
      <c r="Q433" s="74"/>
      <c r="R433" s="115" t="s">
        <v>88</v>
      </c>
      <c r="S433" s="115" t="s">
        <v>466</v>
      </c>
      <c r="T433" s="496">
        <v>45832</v>
      </c>
      <c r="U433" s="496">
        <f>T433+60</f>
        <v>45892</v>
      </c>
      <c r="V433" s="496"/>
      <c r="W433" s="115"/>
      <c r="X433" s="118" t="s">
        <v>90</v>
      </c>
      <c r="Y433" s="115"/>
      <c r="Z433" s="652"/>
      <c r="AA433" s="119"/>
      <c r="AB433" s="119"/>
      <c r="AC433" s="119"/>
      <c r="AD433" s="120"/>
      <c r="AE433" s="119"/>
      <c r="AF433" s="119"/>
      <c r="AG433" s="119"/>
      <c r="AH433" s="121"/>
      <c r="AI433" s="74"/>
      <c r="AJ433" s="122"/>
      <c r="AK433" s="128">
        <v>18.29</v>
      </c>
      <c r="AL433" s="120">
        <v>7000</v>
      </c>
      <c r="AM433" s="119">
        <f>AK433*AL433</f>
        <v>128030</v>
      </c>
      <c r="AN433" s="119"/>
      <c r="AO433" s="126"/>
      <c r="AP433" s="74"/>
      <c r="AQ433" s="496"/>
      <c r="AR433" s="497"/>
      <c r="AS433" s="497"/>
      <c r="AT433" s="497"/>
      <c r="AU433" s="128"/>
      <c r="AV433" s="128"/>
      <c r="AW433" s="497"/>
      <c r="AX433" s="128">
        <v>18.29</v>
      </c>
      <c r="AY433" s="120">
        <v>7000</v>
      </c>
      <c r="AZ433" s="119">
        <f>AX433*AY433</f>
        <v>128030</v>
      </c>
      <c r="BA433" s="483"/>
      <c r="BB433" s="483">
        <v>128030</v>
      </c>
      <c r="BC433" s="483">
        <f>AZ433-BA433-BB433</f>
        <v>0</v>
      </c>
      <c r="BD433" s="115"/>
      <c r="BE433" s="115"/>
      <c r="BF433" s="115"/>
      <c r="BG433" s="115"/>
      <c r="BJ433" s="74"/>
    </row>
    <row r="434" s="75" customFormat="1" ht="28.9" customHeight="1" outlineLevel="1" spans="1:70">
      <c r="C434" s="387"/>
      <c r="D434" s="76"/>
      <c r="E434" s="113" t="s">
        <v>467</v>
      </c>
      <c r="F434" s="76"/>
      <c r="G434" s="586"/>
      <c r="H434" s="113" t="s">
        <v>75</v>
      </c>
      <c r="I434" s="630"/>
      <c r="L434" s="117"/>
      <c r="N434" s="115"/>
      <c r="O434" s="76">
        <f>L434-N434</f>
        <v>0</v>
      </c>
      <c r="P434" s="74"/>
      <c r="Q434" s="74"/>
      <c r="R434" s="115" t="s">
        <v>88</v>
      </c>
      <c r="S434" s="115" t="s">
        <v>468</v>
      </c>
      <c r="T434" s="496">
        <v>45646</v>
      </c>
      <c r="U434" s="496"/>
      <c r="V434" s="496"/>
      <c r="W434" s="115"/>
      <c r="X434" s="118"/>
      <c r="Y434" s="115">
        <v>0.769</v>
      </c>
      <c r="Z434" s="652">
        <v>8500</v>
      </c>
      <c r="AA434" s="114">
        <f>Z434*Y434</f>
        <v>6536.5</v>
      </c>
      <c r="AB434" s="119"/>
      <c r="AC434" s="119"/>
      <c r="AD434" s="120"/>
      <c r="AE434" s="119"/>
      <c r="AF434" s="119"/>
      <c r="AG434" s="119"/>
      <c r="AH434" s="121"/>
      <c r="AI434" s="74"/>
      <c r="AJ434" s="122"/>
      <c r="AK434" s="128">
        <v>0.769</v>
      </c>
      <c r="AL434" s="120">
        <v>8500</v>
      </c>
      <c r="AM434" s="119">
        <f>AK434*AL434</f>
        <v>6536.5</v>
      </c>
      <c r="AN434" s="119"/>
      <c r="AO434" s="126"/>
      <c r="AP434" s="74"/>
      <c r="AQ434" s="496"/>
      <c r="AR434" s="497"/>
      <c r="AS434" s="497"/>
      <c r="AT434" s="497"/>
      <c r="AU434" s="128"/>
      <c r="AV434" s="128"/>
      <c r="AW434" s="497"/>
      <c r="AX434" s="128">
        <v>0.769</v>
      </c>
      <c r="AY434" s="483">
        <v>8500</v>
      </c>
      <c r="AZ434" s="119">
        <f>AX434*AY434</f>
        <v>6536.5</v>
      </c>
      <c r="BA434" s="483"/>
      <c r="BB434" s="483">
        <v>6536.5</v>
      </c>
      <c r="BC434" s="483">
        <f>AZ434-BA434-BB434</f>
        <v>0</v>
      </c>
      <c r="BD434" s="115"/>
      <c r="BE434" s="115"/>
      <c r="BF434" s="115"/>
      <c r="BG434" s="115"/>
      <c r="BJ434" s="74"/>
    </row>
    <row r="435" s="151" customFormat="1" ht="28.9" customHeight="1" spans="1:70">
      <c r="C435" s="463" t="s">
        <v>69</v>
      </c>
      <c r="D435" s="79" t="s">
        <v>464</v>
      </c>
      <c r="E435" s="116" t="s">
        <v>469</v>
      </c>
      <c r="F435" s="79"/>
      <c r="G435" s="486"/>
      <c r="H435" s="116" t="s">
        <v>75</v>
      </c>
      <c r="I435" s="630"/>
      <c r="J435" s="151">
        <v>20</v>
      </c>
      <c r="L435" s="498">
        <f>L433</f>
        <v>140000</v>
      </c>
      <c r="N435" s="464"/>
      <c r="O435" s="464"/>
      <c r="P435" s="74"/>
      <c r="Q435" s="74"/>
      <c r="R435" s="464"/>
      <c r="S435" s="464"/>
      <c r="T435" s="467"/>
      <c r="U435" s="467"/>
      <c r="V435" s="467"/>
      <c r="W435" s="116"/>
      <c r="X435" s="635" t="s">
        <v>90</v>
      </c>
      <c r="Y435" s="470">
        <f>SUM(Y433:Y434)</f>
        <v>0.769</v>
      </c>
      <c r="Z435" s="653"/>
      <c r="AA435" s="469">
        <f>SUM(AA433:AA434)</f>
        <v>6536.5</v>
      </c>
      <c r="AB435" s="469"/>
      <c r="AC435" s="469"/>
      <c r="AD435" s="470"/>
      <c r="AE435" s="469"/>
      <c r="AF435" s="469"/>
      <c r="AG435" s="469"/>
      <c r="AH435" s="471"/>
      <c r="AI435" s="74"/>
      <c r="AJ435" s="472"/>
      <c r="AK435" s="469">
        <f>SUM(AK433:AK434)</f>
        <v>19.059</v>
      </c>
      <c r="AL435" s="470"/>
      <c r="AM435" s="469">
        <f>SUM(AM433:AM434)</f>
        <v>134566.5</v>
      </c>
      <c r="AN435" s="192">
        <f>N435</f>
        <v>0</v>
      </c>
      <c r="AO435" s="474"/>
      <c r="AP435" s="74"/>
      <c r="AQ435" s="467"/>
      <c r="AR435" s="475"/>
      <c r="AS435" s="475"/>
      <c r="AT435" s="475"/>
      <c r="AU435" s="473"/>
      <c r="AV435" s="473"/>
      <c r="AW435" s="475"/>
      <c r="AX435" s="499">
        <f>SUM(AX433:AX434)</f>
        <v>19.059</v>
      </c>
      <c r="AY435" s="500"/>
      <c r="AZ435" s="500">
        <f>SUM(AZ433:AZ434)</f>
        <v>134566.5</v>
      </c>
      <c r="BA435" s="500"/>
      <c r="BB435" s="500">
        <f>SUM(BB433:BB434)</f>
        <v>134566.5</v>
      </c>
      <c r="BC435" s="493">
        <f>AZ435-BA435-BB435</f>
        <v>0</v>
      </c>
      <c r="BD435" s="464"/>
      <c r="BE435" s="464"/>
      <c r="BF435" s="464"/>
      <c r="BG435" s="464"/>
      <c r="BI435" s="478" t="s">
        <v>60</v>
      </c>
      <c r="BJ435" s="74"/>
    </row>
    <row r="436" s="75" customFormat="1" ht="14.45" customHeight="1" outlineLevel="1" spans="1:70">
      <c r="A436" s="75" t="s">
        <v>71</v>
      </c>
      <c r="C436" s="387">
        <v>45697</v>
      </c>
      <c r="D436" s="76" t="s">
        <v>470</v>
      </c>
      <c r="E436" s="113" t="s">
        <v>471</v>
      </c>
      <c r="F436" s="76"/>
      <c r="G436" s="586"/>
      <c r="H436" s="113" t="s">
        <v>71</v>
      </c>
      <c r="I436" s="113"/>
      <c r="J436" s="75">
        <v>60000000</v>
      </c>
      <c r="K436" s="75">
        <v>0.123</v>
      </c>
      <c r="L436" s="495">
        <f>J436*K436</f>
        <v>7380000</v>
      </c>
      <c r="M436" s="75">
        <f>L436*0.3</f>
        <v>2214000</v>
      </c>
      <c r="N436" s="115"/>
      <c r="O436" s="115"/>
      <c r="P436" s="74"/>
      <c r="Q436" s="74"/>
      <c r="R436" s="115" t="s">
        <v>88</v>
      </c>
      <c r="S436" s="115" t="s">
        <v>472</v>
      </c>
      <c r="T436" s="496">
        <v>45698</v>
      </c>
      <c r="U436" s="496">
        <f>T436+60</f>
        <v>45758</v>
      </c>
      <c r="V436" s="496"/>
      <c r="W436" s="115"/>
      <c r="X436" s="118"/>
      <c r="Y436" s="115">
        <v>60000000</v>
      </c>
      <c r="Z436" s="652">
        <v>0.1322</v>
      </c>
      <c r="AA436" s="119">
        <f>Y436*Z436</f>
        <v>7932000</v>
      </c>
      <c r="AB436" s="119"/>
      <c r="AC436" s="119"/>
      <c r="AD436" s="120"/>
      <c r="AE436" s="119"/>
      <c r="AF436" s="119"/>
      <c r="AG436" s="119"/>
      <c r="AH436" s="121"/>
      <c r="AI436" s="74"/>
      <c r="AJ436" s="122"/>
      <c r="AK436" s="128"/>
      <c r="AL436" s="120"/>
      <c r="AM436" s="119"/>
      <c r="AN436" s="119"/>
      <c r="AO436" s="126"/>
      <c r="AP436" s="74"/>
      <c r="AQ436" s="496"/>
      <c r="AR436" s="497"/>
      <c r="AS436" s="497"/>
      <c r="AT436" s="497"/>
      <c r="AU436" s="128"/>
      <c r="AV436" s="128"/>
      <c r="AW436" s="497"/>
      <c r="AX436" s="123"/>
      <c r="AY436" s="483"/>
      <c r="AZ436" s="483"/>
      <c r="BA436" s="483"/>
      <c r="BB436" s="483"/>
      <c r="BC436" s="483"/>
      <c r="BD436" s="115"/>
      <c r="BE436" s="115"/>
      <c r="BF436" s="115"/>
      <c r="BG436" s="115"/>
      <c r="BJ436" s="74"/>
      <c r="BL436" s="76" t="str">
        <f t="shared" ref="BL436:BL457" si="28">D436</f>
        <v>INTW-6</v>
      </c>
      <c r="BM436" s="76" t="str">
        <f t="shared" ref="BM436:BM457" si="29">A436</f>
        <v>INDEX</v>
      </c>
      <c r="BN436" s="387">
        <f t="shared" ref="BN436:BN457" si="30">C436</f>
        <v>45697</v>
      </c>
      <c r="BO436" s="75" t="str">
        <f t="shared" ref="BO436:BO457" si="31">E436</f>
        <v>72.9mm #300</v>
      </c>
      <c r="BP436" s="75">
        <f t="shared" ref="BP436:BP457" si="32">Y436</f>
        <v>60000000</v>
      </c>
      <c r="BQ436" s="387">
        <f t="shared" ref="BQ436:BQ457" si="33">U436</f>
        <v>45758</v>
      </c>
      <c r="BR436" s="93">
        <f t="shared" ref="BR436:BR449" si="34">M436</f>
        <v>2214000</v>
      </c>
    </row>
    <row r="437" s="75" customFormat="1" ht="14.45" customHeight="1" outlineLevel="1" spans="1:70">
      <c r="A437" s="75" t="s">
        <v>71</v>
      </c>
      <c r="C437" s="387">
        <v>45697</v>
      </c>
      <c r="D437" s="76" t="s">
        <v>473</v>
      </c>
      <c r="E437" s="113" t="s">
        <v>471</v>
      </c>
      <c r="F437" s="76"/>
      <c r="G437" s="586"/>
      <c r="H437" s="113" t="s">
        <v>71</v>
      </c>
      <c r="I437" s="113"/>
      <c r="J437" s="75">
        <f>1960400*2</f>
        <v>3920800</v>
      </c>
      <c r="K437" s="75">
        <v>0.123</v>
      </c>
      <c r="L437" s="495">
        <f>J437*K437</f>
        <v>482258.4</v>
      </c>
      <c r="M437" s="75">
        <f>L437*0.3</f>
        <v>144677.52</v>
      </c>
      <c r="N437" s="115">
        <f>145000+337258.4</f>
        <v>482258.4</v>
      </c>
      <c r="O437" s="115">
        <f>L437-N437</f>
        <v>0</v>
      </c>
      <c r="P437" s="74"/>
      <c r="Q437" s="74"/>
      <c r="R437" s="115" t="s">
        <v>88</v>
      </c>
      <c r="S437" s="115"/>
      <c r="T437" s="496"/>
      <c r="U437" s="496">
        <v>45744</v>
      </c>
      <c r="V437" s="496"/>
      <c r="W437" s="115"/>
      <c r="X437" s="118"/>
      <c r="Y437" s="75">
        <f>1960400*2</f>
        <v>3920800</v>
      </c>
      <c r="Z437" s="652">
        <v>0.1322</v>
      </c>
      <c r="AA437" s="495">
        <f>Y437*Z437</f>
        <v>518329.76</v>
      </c>
      <c r="AB437" s="119">
        <f>145000+373329.76</f>
        <v>518329.76</v>
      </c>
      <c r="AC437" s="119">
        <f>AA437-AB437</f>
        <v>0</v>
      </c>
      <c r="AD437" s="120"/>
      <c r="AE437" s="119"/>
      <c r="AF437" s="119"/>
      <c r="AG437" s="119"/>
      <c r="AH437" s="121"/>
      <c r="AI437" s="654"/>
      <c r="AJ437" s="655"/>
      <c r="AK437" s="75">
        <f>1960400*2</f>
        <v>3920800</v>
      </c>
      <c r="AL437" s="75">
        <v>0.123</v>
      </c>
      <c r="AM437" s="119">
        <f>AK437*AL437</f>
        <v>482258.4</v>
      </c>
      <c r="AN437" s="119">
        <f>N437</f>
        <v>482258.4</v>
      </c>
      <c r="AO437" s="121">
        <f>AM437-AN437</f>
        <v>0</v>
      </c>
      <c r="AP437" s="654"/>
      <c r="AQ437" s="496"/>
      <c r="AR437" s="496"/>
      <c r="AS437" s="496"/>
      <c r="AT437" s="496"/>
      <c r="AU437" s="115"/>
      <c r="AV437" s="115"/>
      <c r="AW437" s="496"/>
      <c r="AX437" s="75">
        <f>1960400*2</f>
        <v>3920800</v>
      </c>
      <c r="AY437" s="75">
        <v>0.123</v>
      </c>
      <c r="AZ437" s="495">
        <f>AX437*AY437</f>
        <v>482258.4</v>
      </c>
      <c r="BA437" s="483">
        <v>145000</v>
      </c>
      <c r="BB437" s="483">
        <v>337258.4</v>
      </c>
      <c r="BC437" s="483">
        <f>BB437+BA437-AZ437</f>
        <v>0</v>
      </c>
      <c r="BD437" s="115"/>
      <c r="BE437" s="115"/>
      <c r="BF437" s="115"/>
      <c r="BG437" s="115"/>
      <c r="BJ437" s="74"/>
      <c r="BL437" s="76" t="str">
        <f t="shared" si="28"/>
        <v>INTW-6-1</v>
      </c>
      <c r="BM437" s="76" t="str">
        <f t="shared" si="29"/>
        <v>INDEX</v>
      </c>
      <c r="BN437" s="387">
        <f t="shared" si="30"/>
        <v>45697</v>
      </c>
      <c r="BO437" s="75" t="str">
        <f t="shared" si="31"/>
        <v>72.9mm #300</v>
      </c>
      <c r="BP437" s="75">
        <f t="shared" si="32"/>
        <v>3920800</v>
      </c>
      <c r="BQ437" s="387">
        <f t="shared" si="33"/>
        <v>45744</v>
      </c>
      <c r="BR437" s="93">
        <f t="shared" si="34"/>
        <v>144677.52</v>
      </c>
    </row>
    <row r="438" s="75" customFormat="1" ht="14.45" customHeight="1" outlineLevel="1" spans="1:70">
      <c r="A438" s="75" t="s">
        <v>71</v>
      </c>
      <c r="C438" s="387">
        <v>45697</v>
      </c>
      <c r="D438" s="76"/>
      <c r="E438" s="113"/>
      <c r="F438" s="76"/>
      <c r="G438" s="586"/>
      <c r="H438" s="113"/>
      <c r="I438" s="113"/>
      <c r="L438" s="495"/>
      <c r="N438" s="115"/>
      <c r="O438" s="115"/>
      <c r="P438" s="74"/>
      <c r="Q438" s="74"/>
      <c r="R438" s="578" t="s">
        <v>95</v>
      </c>
      <c r="S438" s="76"/>
      <c r="T438" s="387"/>
      <c r="U438" s="387"/>
      <c r="V438" s="387"/>
      <c r="W438" s="76"/>
      <c r="X438" s="133"/>
      <c r="Y438" s="76"/>
      <c r="Z438" s="140"/>
      <c r="AA438" s="114">
        <f>-(AM437*0.13/1.13)</f>
        <v>-55481.0548672566</v>
      </c>
      <c r="AB438" s="119"/>
      <c r="AC438" s="119"/>
      <c r="AD438" s="120"/>
      <c r="AE438" s="119"/>
      <c r="AF438" s="119"/>
      <c r="AG438" s="119"/>
      <c r="AH438" s="121"/>
      <c r="AI438" s="655"/>
      <c r="AJ438" s="655"/>
      <c r="AK438" s="578"/>
      <c r="AL438" s="76"/>
      <c r="AM438" s="114"/>
      <c r="AN438" s="119"/>
      <c r="AO438" s="121"/>
      <c r="AP438" s="655"/>
      <c r="AQ438" s="496"/>
      <c r="AR438" s="496"/>
      <c r="AS438" s="496"/>
      <c r="AT438" s="496"/>
      <c r="AU438" s="115"/>
      <c r="AV438" s="115"/>
      <c r="AW438" s="496"/>
      <c r="AZ438" s="495"/>
      <c r="BA438" s="483"/>
      <c r="BB438" s="483"/>
      <c r="BC438" s="483"/>
      <c r="BD438" s="115"/>
      <c r="BE438" s="115"/>
      <c r="BF438" s="115"/>
      <c r="BG438" s="115"/>
      <c r="BJ438" s="74"/>
      <c r="BL438" s="76">
        <f t="shared" si="28"/>
        <v>0</v>
      </c>
      <c r="BM438" s="76" t="str">
        <f t="shared" si="29"/>
        <v>INDEX</v>
      </c>
      <c r="BN438" s="387">
        <f t="shared" si="30"/>
        <v>45697</v>
      </c>
      <c r="BO438" s="75">
        <f t="shared" si="31"/>
        <v>0</v>
      </c>
      <c r="BP438" s="75">
        <f t="shared" si="32"/>
        <v>0</v>
      </c>
      <c r="BQ438" s="387">
        <f t="shared" si="33"/>
        <v>0</v>
      </c>
      <c r="BR438" s="93">
        <f t="shared" si="34"/>
        <v>0</v>
      </c>
    </row>
    <row r="439" s="75" customFormat="1" ht="14.45" customHeight="1" outlineLevel="1" spans="1:70">
      <c r="A439" s="75" t="s">
        <v>71</v>
      </c>
      <c r="C439" s="387">
        <v>45697</v>
      </c>
      <c r="D439" s="76" t="s">
        <v>474</v>
      </c>
      <c r="E439" s="113" t="s">
        <v>471</v>
      </c>
      <c r="F439" s="76"/>
      <c r="G439" s="586"/>
      <c r="H439" s="113" t="s">
        <v>71</v>
      </c>
      <c r="I439" s="113"/>
      <c r="J439" s="75">
        <f>1960400*2</f>
        <v>3920800</v>
      </c>
      <c r="K439" s="75">
        <v>0.123</v>
      </c>
      <c r="L439" s="495">
        <f>J439*K439</f>
        <v>482258.4</v>
      </c>
      <c r="M439" s="75">
        <f>L439*0.3</f>
        <v>144677.52</v>
      </c>
      <c r="N439" s="115">
        <f>144677.52+337580.88</f>
        <v>482258.4</v>
      </c>
      <c r="O439" s="115">
        <f>L439-N439</f>
        <v>0</v>
      </c>
      <c r="P439" s="74"/>
      <c r="Q439" s="74"/>
      <c r="R439" s="115" t="s">
        <v>88</v>
      </c>
      <c r="S439" s="115"/>
      <c r="T439" s="496"/>
      <c r="U439" s="496">
        <v>45756</v>
      </c>
      <c r="V439" s="496"/>
      <c r="W439" s="115"/>
      <c r="X439" s="118"/>
      <c r="Y439" s="75">
        <f>1960400*2</f>
        <v>3920800</v>
      </c>
      <c r="Z439" s="652">
        <v>0.1322</v>
      </c>
      <c r="AA439" s="495">
        <f>Y439*Z439</f>
        <v>518329.76</v>
      </c>
      <c r="AB439" s="119">
        <f>145000+373329.76</f>
        <v>518329.76</v>
      </c>
      <c r="AC439" s="119">
        <f>AA439-AB439</f>
        <v>0</v>
      </c>
      <c r="AD439" s="120"/>
      <c r="AE439" s="119"/>
      <c r="AF439" s="119"/>
      <c r="AG439" s="119"/>
      <c r="AH439" s="121"/>
      <c r="AI439" s="74"/>
      <c r="AK439" s="75">
        <f>1960400*2</f>
        <v>3920800</v>
      </c>
      <c r="AL439" s="75">
        <v>0.123</v>
      </c>
      <c r="AM439" s="119">
        <f>AK439*AL439</f>
        <v>482258.4</v>
      </c>
      <c r="AN439" s="119">
        <f>N439</f>
        <v>482258.4</v>
      </c>
      <c r="AO439" s="121">
        <f>AM439-AN439</f>
        <v>0</v>
      </c>
      <c r="AP439" s="74"/>
      <c r="AQ439" s="496"/>
      <c r="AR439" s="496"/>
      <c r="AS439" s="496"/>
      <c r="AT439" s="496"/>
      <c r="AU439" s="115"/>
      <c r="AV439" s="115"/>
      <c r="AW439" s="496"/>
      <c r="AX439" s="75">
        <f>1960400*2</f>
        <v>3920800</v>
      </c>
      <c r="AY439" s="75">
        <v>0.123</v>
      </c>
      <c r="AZ439" s="495">
        <f>AX439*AY439</f>
        <v>482258.4</v>
      </c>
      <c r="BA439" s="483">
        <f>N439</f>
        <v>482258.4</v>
      </c>
      <c r="BB439" s="483">
        <v>337580.88</v>
      </c>
      <c r="BC439" s="483">
        <f>BB439+BA439-AZ439</f>
        <v>337580.88</v>
      </c>
      <c r="BD439" s="115"/>
      <c r="BE439" s="115"/>
      <c r="BF439" s="115"/>
      <c r="BG439" s="115"/>
      <c r="BJ439" s="74"/>
      <c r="BL439" s="76" t="str">
        <f t="shared" si="28"/>
        <v>INTW-6-2</v>
      </c>
      <c r="BM439" s="76" t="str">
        <f t="shared" si="29"/>
        <v>INDEX</v>
      </c>
      <c r="BN439" s="387">
        <f t="shared" si="30"/>
        <v>45697</v>
      </c>
      <c r="BO439" s="75" t="str">
        <f t="shared" si="31"/>
        <v>72.9mm #300</v>
      </c>
      <c r="BP439" s="75">
        <f t="shared" si="32"/>
        <v>3920800</v>
      </c>
      <c r="BQ439" s="387">
        <f t="shared" si="33"/>
        <v>45756</v>
      </c>
      <c r="BR439" s="93">
        <f t="shared" si="34"/>
        <v>144677.52</v>
      </c>
    </row>
    <row r="440" s="75" customFormat="1" ht="14.45" customHeight="1" outlineLevel="1" spans="1:70">
      <c r="A440" s="75" t="s">
        <v>71</v>
      </c>
      <c r="C440" s="387">
        <v>45697</v>
      </c>
      <c r="D440" s="76"/>
      <c r="E440" s="113"/>
      <c r="F440" s="76"/>
      <c r="G440" s="586"/>
      <c r="H440" s="113"/>
      <c r="I440" s="113"/>
      <c r="L440" s="495"/>
      <c r="N440" s="115"/>
      <c r="O440" s="115"/>
      <c r="P440" s="74"/>
      <c r="Q440" s="74"/>
      <c r="R440" s="578" t="s">
        <v>95</v>
      </c>
      <c r="S440" s="76"/>
      <c r="T440" s="387"/>
      <c r="U440" s="387"/>
      <c r="V440" s="387"/>
      <c r="W440" s="76"/>
      <c r="X440" s="133"/>
      <c r="Y440" s="76"/>
      <c r="Z440" s="140"/>
      <c r="AA440" s="114">
        <f>-(AM439*0.13/1.13)</f>
        <v>-55481.0548672566</v>
      </c>
      <c r="AB440" s="119"/>
      <c r="AC440" s="119"/>
      <c r="AD440" s="120"/>
      <c r="AE440" s="119"/>
      <c r="AF440" s="119"/>
      <c r="AG440" s="119"/>
      <c r="AH440" s="121"/>
      <c r="AI440" s="74"/>
      <c r="AJ440" s="122"/>
      <c r="AK440" s="578"/>
      <c r="AL440" s="76"/>
      <c r="AM440" s="114"/>
      <c r="AN440" s="119"/>
      <c r="AO440" s="121"/>
      <c r="AP440" s="74"/>
      <c r="AQ440" s="496"/>
      <c r="AR440" s="496"/>
      <c r="AS440" s="496"/>
      <c r="AT440" s="496"/>
      <c r="AU440" s="115"/>
      <c r="AV440" s="115"/>
      <c r="AW440" s="496"/>
      <c r="AZ440" s="495"/>
      <c r="BA440" s="483"/>
      <c r="BB440" s="483"/>
      <c r="BC440" s="483"/>
      <c r="BD440" s="115"/>
      <c r="BE440" s="115"/>
      <c r="BF440" s="115"/>
      <c r="BG440" s="115"/>
      <c r="BJ440" s="74"/>
      <c r="BL440" s="76">
        <f t="shared" si="28"/>
        <v>0</v>
      </c>
      <c r="BM440" s="76" t="str">
        <f t="shared" si="29"/>
        <v>INDEX</v>
      </c>
      <c r="BN440" s="387">
        <f t="shared" si="30"/>
        <v>45697</v>
      </c>
      <c r="BO440" s="75">
        <f t="shared" si="31"/>
        <v>0</v>
      </c>
      <c r="BP440" s="75">
        <f t="shared" si="32"/>
        <v>0</v>
      </c>
      <c r="BQ440" s="387">
        <f t="shared" si="33"/>
        <v>0</v>
      </c>
      <c r="BR440" s="93">
        <f t="shared" si="34"/>
        <v>0</v>
      </c>
    </row>
    <row r="441" s="75" customFormat="1" ht="14.45" customHeight="1" outlineLevel="1" spans="1:70">
      <c r="A441" s="75" t="s">
        <v>71</v>
      </c>
      <c r="C441" s="387">
        <v>45697</v>
      </c>
      <c r="D441" s="76" t="s">
        <v>475</v>
      </c>
      <c r="E441" s="113" t="s">
        <v>471</v>
      </c>
      <c r="F441" s="76"/>
      <c r="G441" s="586"/>
      <c r="H441" s="113" t="s">
        <v>71</v>
      </c>
      <c r="I441" s="113"/>
      <c r="J441" s="75">
        <f>1960400*2</f>
        <v>3920800</v>
      </c>
      <c r="K441" s="75">
        <v>0.123</v>
      </c>
      <c r="L441" s="495">
        <f>J441*K441</f>
        <v>482258.4</v>
      </c>
      <c r="M441" s="75">
        <f>L441*0.3</f>
        <v>144677.52</v>
      </c>
      <c r="N441" s="115">
        <v>482258.4</v>
      </c>
      <c r="O441" s="115">
        <f>L441-N441</f>
        <v>0</v>
      </c>
      <c r="R441" s="115" t="s">
        <v>88</v>
      </c>
      <c r="S441" s="115"/>
      <c r="T441" s="496"/>
      <c r="U441" s="496">
        <v>45787</v>
      </c>
      <c r="V441" s="496"/>
      <c r="W441" s="115"/>
      <c r="X441" s="118"/>
      <c r="Y441" s="75">
        <f>1960400*2</f>
        <v>3920800</v>
      </c>
      <c r="Z441" s="652">
        <v>0.1322</v>
      </c>
      <c r="AA441" s="495">
        <f>Y441*Z441</f>
        <v>518329.76</v>
      </c>
      <c r="AB441" s="119">
        <f>300000+200000+18329.76</f>
        <v>518329.76</v>
      </c>
      <c r="AC441" s="119">
        <f>AA441-AB441</f>
        <v>0</v>
      </c>
      <c r="AD441" s="120"/>
      <c r="AE441" s="119"/>
      <c r="AF441" s="119"/>
      <c r="AG441" s="119"/>
      <c r="AH441" s="121"/>
      <c r="AJ441" s="122"/>
      <c r="AK441" s="75">
        <f>1960400*2</f>
        <v>3920800</v>
      </c>
      <c r="AL441" s="75">
        <v>0.123</v>
      </c>
      <c r="AM441" s="119">
        <f>AK441*AL441</f>
        <v>482258.4</v>
      </c>
      <c r="AN441" s="119">
        <f>N441</f>
        <v>482258.4</v>
      </c>
      <c r="AO441" s="121">
        <f>AM441-AN441</f>
        <v>0</v>
      </c>
      <c r="AQ441" s="496"/>
      <c r="AR441" s="496"/>
      <c r="AS441" s="496"/>
      <c r="AT441" s="496"/>
      <c r="AU441" s="115"/>
      <c r="AV441" s="115"/>
      <c r="AW441" s="496"/>
      <c r="AX441" s="75">
        <f>1960400*2</f>
        <v>3920800</v>
      </c>
      <c r="AY441" s="75">
        <v>0.123</v>
      </c>
      <c r="AZ441" s="495">
        <f>AX441*AY441</f>
        <v>482258.4</v>
      </c>
      <c r="BA441" s="483"/>
      <c r="BB441" s="483">
        <v>482258.4</v>
      </c>
      <c r="BC441" s="483">
        <f>BB441+BA441-AZ441</f>
        <v>0</v>
      </c>
      <c r="BD441" s="115"/>
      <c r="BE441" s="115"/>
      <c r="BF441" s="115"/>
      <c r="BG441" s="115"/>
      <c r="BI441" s="149"/>
      <c r="BL441" s="76" t="str">
        <f t="shared" si="28"/>
        <v>INTW-6-3</v>
      </c>
      <c r="BM441" s="76" t="str">
        <f t="shared" si="29"/>
        <v>INDEX</v>
      </c>
      <c r="BN441" s="387">
        <f t="shared" si="30"/>
        <v>45697</v>
      </c>
      <c r="BO441" s="75" t="str">
        <f t="shared" si="31"/>
        <v>72.9mm #300</v>
      </c>
      <c r="BP441" s="75">
        <f t="shared" si="32"/>
        <v>3920800</v>
      </c>
      <c r="BQ441" s="387">
        <f t="shared" si="33"/>
        <v>45787</v>
      </c>
      <c r="BR441" s="93">
        <f t="shared" si="34"/>
        <v>144677.52</v>
      </c>
    </row>
    <row r="442" s="75" customFormat="1" ht="14.45" customHeight="1" outlineLevel="1" spans="1:70">
      <c r="A442" s="75" t="s">
        <v>71</v>
      </c>
      <c r="C442" s="387">
        <v>45697</v>
      </c>
      <c r="D442" s="76"/>
      <c r="E442" s="113"/>
      <c r="F442" s="76"/>
      <c r="G442" s="586"/>
      <c r="H442" s="113"/>
      <c r="I442" s="113"/>
      <c r="L442" s="495"/>
      <c r="N442" s="115"/>
      <c r="O442" s="115"/>
      <c r="R442" s="578" t="s">
        <v>95</v>
      </c>
      <c r="S442" s="76"/>
      <c r="T442" s="387"/>
      <c r="U442" s="387"/>
      <c r="V442" s="387"/>
      <c r="W442" s="76"/>
      <c r="X442" s="133"/>
      <c r="Y442" s="76"/>
      <c r="Z442" s="140"/>
      <c r="AA442" s="114">
        <f>-(AM441*0.13/1.13)</f>
        <v>-55481.0548672566</v>
      </c>
      <c r="AB442" s="119"/>
      <c r="AC442" s="119"/>
      <c r="AD442" s="120"/>
      <c r="AE442" s="119"/>
      <c r="AF442" s="119"/>
      <c r="AG442" s="119"/>
      <c r="AH442" s="121"/>
      <c r="AJ442" s="122"/>
      <c r="AK442" s="578"/>
      <c r="AL442" s="76"/>
      <c r="AM442" s="114"/>
      <c r="AN442" s="119"/>
      <c r="AO442" s="126"/>
      <c r="AQ442" s="496"/>
      <c r="AR442" s="497"/>
      <c r="AS442" s="497"/>
      <c r="AT442" s="497"/>
      <c r="AU442" s="128"/>
      <c r="AV442" s="128"/>
      <c r="AW442" s="497"/>
      <c r="AX442" s="122"/>
      <c r="AZ442" s="495"/>
      <c r="BA442" s="483"/>
      <c r="BB442" s="483"/>
      <c r="BC442" s="483"/>
      <c r="BD442" s="115"/>
      <c r="BE442" s="115"/>
      <c r="BF442" s="115"/>
      <c r="BG442" s="115"/>
      <c r="BI442" s="149"/>
      <c r="BL442" s="76">
        <f t="shared" si="28"/>
        <v>0</v>
      </c>
      <c r="BM442" s="76" t="str">
        <f t="shared" si="29"/>
        <v>INDEX</v>
      </c>
      <c r="BN442" s="387">
        <f t="shared" si="30"/>
        <v>45697</v>
      </c>
      <c r="BO442" s="75">
        <f t="shared" si="31"/>
        <v>0</v>
      </c>
      <c r="BP442" s="75">
        <f t="shared" si="32"/>
        <v>0</v>
      </c>
      <c r="BQ442" s="387">
        <f t="shared" si="33"/>
        <v>0</v>
      </c>
      <c r="BR442" s="93">
        <f t="shared" si="34"/>
        <v>0</v>
      </c>
    </row>
    <row r="443" s="75" customFormat="1" ht="14.45" customHeight="1" outlineLevel="1" spans="1:70">
      <c r="A443" s="75" t="s">
        <v>71</v>
      </c>
      <c r="C443" s="387">
        <v>45697</v>
      </c>
      <c r="D443" s="76" t="s">
        <v>476</v>
      </c>
      <c r="E443" s="113" t="s">
        <v>471</v>
      </c>
      <c r="F443" s="76"/>
      <c r="G443" s="586"/>
      <c r="H443" s="113" t="s">
        <v>71</v>
      </c>
      <c r="I443" s="113"/>
      <c r="J443" s="75">
        <f t="shared" ref="J443:J457" si="35">1960400*2</f>
        <v>3920800</v>
      </c>
      <c r="K443" s="75">
        <v>0.123</v>
      </c>
      <c r="L443" s="495">
        <f>J443*K443</f>
        <v>482258.4</v>
      </c>
      <c r="M443" s="75">
        <f>L443*0.3</f>
        <v>144677.52</v>
      </c>
      <c r="N443" s="119">
        <f>144677.52+337580.88</f>
        <v>482258.4</v>
      </c>
      <c r="O443" s="115">
        <f>N443-L443</f>
        <v>0</v>
      </c>
      <c r="R443" s="115" t="s">
        <v>88</v>
      </c>
      <c r="S443" s="656"/>
      <c r="T443" s="496"/>
      <c r="U443" s="496">
        <v>45818</v>
      </c>
      <c r="V443" s="496">
        <v>45818</v>
      </c>
      <c r="W443" s="115"/>
      <c r="X443" s="118"/>
      <c r="Y443" s="75">
        <f t="shared" ref="Y443:Y457" si="36">1960400*2</f>
        <v>3920800</v>
      </c>
      <c r="Z443" s="652">
        <v>0.1322</v>
      </c>
      <c r="AA443" s="495">
        <f>Y443*Z443</f>
        <v>518329.76</v>
      </c>
      <c r="AB443" s="119">
        <v>518329.76</v>
      </c>
      <c r="AC443" s="119">
        <f>AA443-AB443</f>
        <v>0</v>
      </c>
      <c r="AD443" s="120"/>
      <c r="AE443" s="119"/>
      <c r="AF443" s="119"/>
      <c r="AG443" s="119"/>
      <c r="AH443" s="121"/>
      <c r="AJ443" s="122"/>
      <c r="AK443" s="75">
        <f>1960400*2</f>
        <v>3920800</v>
      </c>
      <c r="AL443" s="75">
        <v>0.123</v>
      </c>
      <c r="AM443" s="119">
        <f>AK443*AL443</f>
        <v>482258.4</v>
      </c>
      <c r="AN443" s="119">
        <f>N443</f>
        <v>482258.4</v>
      </c>
      <c r="AO443" s="121">
        <f>AM443-AN443</f>
        <v>0</v>
      </c>
      <c r="AQ443" s="496" t="s">
        <v>348</v>
      </c>
      <c r="AR443" s="497"/>
      <c r="AS443" s="497"/>
      <c r="AT443" s="75" t="s">
        <v>477</v>
      </c>
      <c r="AU443" s="497" t="s">
        <v>478</v>
      </c>
      <c r="AV443" s="128">
        <v>2</v>
      </c>
      <c r="AW443" s="497">
        <v>45823</v>
      </c>
      <c r="AX443" s="75">
        <f>1960400*2</f>
        <v>3920800</v>
      </c>
      <c r="AY443" s="75">
        <v>0.123</v>
      </c>
      <c r="AZ443" s="495">
        <f>AX443*AY443</f>
        <v>482258.4</v>
      </c>
      <c r="BA443" s="483">
        <v>144677.52</v>
      </c>
      <c r="BB443" s="483">
        <v>337580.88</v>
      </c>
      <c r="BC443" s="483">
        <f>BB443+BA443-AZ443</f>
        <v>0</v>
      </c>
      <c r="BD443" s="115"/>
      <c r="BE443" s="115"/>
      <c r="BF443" s="115"/>
      <c r="BG443" s="115"/>
      <c r="BI443" s="149"/>
      <c r="BL443" s="76" t="str">
        <f t="shared" si="28"/>
        <v>INTW-6-4</v>
      </c>
      <c r="BM443" s="76" t="str">
        <f t="shared" si="29"/>
        <v>INDEX</v>
      </c>
      <c r="BN443" s="387">
        <f t="shared" si="30"/>
        <v>45697</v>
      </c>
      <c r="BO443" s="75" t="str">
        <f t="shared" si="31"/>
        <v>72.9mm #300</v>
      </c>
      <c r="BP443" s="75">
        <f t="shared" si="32"/>
        <v>3920800</v>
      </c>
      <c r="BQ443" s="387">
        <f t="shared" si="33"/>
        <v>45818</v>
      </c>
      <c r="BR443" s="93">
        <f t="shared" si="34"/>
        <v>144677.52</v>
      </c>
    </row>
    <row r="444" s="75" customFormat="1" ht="14.4" outlineLevel="1" spans="1:70">
      <c r="A444" s="75" t="s">
        <v>71</v>
      </c>
      <c r="C444" s="387">
        <v>45697</v>
      </c>
      <c r="D444" s="76"/>
      <c r="E444" s="113"/>
      <c r="F444" s="76"/>
      <c r="G444" s="586"/>
      <c r="H444" s="113"/>
      <c r="I444" s="113"/>
      <c r="L444" s="495"/>
      <c r="N444" s="119"/>
      <c r="O444" s="115"/>
      <c r="R444" s="578" t="s">
        <v>95</v>
      </c>
      <c r="S444" s="76"/>
      <c r="T444" s="387"/>
      <c r="U444" s="387"/>
      <c r="V444" s="387"/>
      <c r="W444" s="76"/>
      <c r="X444" s="133"/>
      <c r="Y444" s="76"/>
      <c r="Z444" s="140"/>
      <c r="AA444" s="114">
        <f>-(AM443*0.13/1.13)</f>
        <v>-55481.0548672566</v>
      </c>
      <c r="AB444" s="119"/>
      <c r="AC444" s="119"/>
      <c r="AD444" s="120"/>
      <c r="AE444" s="119"/>
      <c r="AF444" s="119"/>
      <c r="AG444" s="119"/>
      <c r="AH444" s="121"/>
      <c r="AJ444" s="122"/>
      <c r="AK444" s="578"/>
      <c r="AL444" s="76"/>
      <c r="AM444" s="114"/>
      <c r="AN444" s="119"/>
      <c r="AO444" s="121"/>
      <c r="AQ444" s="496"/>
      <c r="AR444" s="497"/>
      <c r="AS444" s="497"/>
      <c r="AT444" s="122"/>
      <c r="AU444" s="497"/>
      <c r="AV444" s="128"/>
      <c r="AW444" s="497"/>
      <c r="AX444" s="122"/>
      <c r="AZ444" s="495"/>
      <c r="BA444" s="483"/>
      <c r="BB444" s="483"/>
      <c r="BC444" s="483"/>
      <c r="BD444" s="115"/>
      <c r="BE444" s="115"/>
      <c r="BF444" s="115"/>
      <c r="BG444" s="115"/>
      <c r="BI444" s="149"/>
      <c r="BL444" s="76">
        <f t="shared" si="28"/>
        <v>0</v>
      </c>
      <c r="BM444" s="76" t="str">
        <f t="shared" si="29"/>
        <v>INDEX</v>
      </c>
      <c r="BN444" s="387">
        <f t="shared" si="30"/>
        <v>45697</v>
      </c>
      <c r="BO444" s="75">
        <f t="shared" si="31"/>
        <v>0</v>
      </c>
      <c r="BP444" s="75">
        <f t="shared" si="32"/>
        <v>0</v>
      </c>
      <c r="BQ444" s="387">
        <f t="shared" si="33"/>
        <v>0</v>
      </c>
      <c r="BR444" s="93">
        <f t="shared" si="34"/>
        <v>0</v>
      </c>
    </row>
    <row r="445" s="75" customFormat="1" ht="28.8" outlineLevel="1" spans="1:70">
      <c r="A445" s="75" t="s">
        <v>71</v>
      </c>
      <c r="C445" s="387">
        <v>45697</v>
      </c>
      <c r="D445" s="76" t="s">
        <v>479</v>
      </c>
      <c r="E445" s="113" t="s">
        <v>471</v>
      </c>
      <c r="F445" s="76"/>
      <c r="G445" s="586"/>
      <c r="H445" s="113" t="s">
        <v>71</v>
      </c>
      <c r="I445" s="113"/>
      <c r="J445" s="75">
        <f t="shared" si="35"/>
        <v>3920800</v>
      </c>
      <c r="K445" s="75">
        <v>0.123</v>
      </c>
      <c r="L445" s="495">
        <f>J445*K445</f>
        <v>482258.4</v>
      </c>
      <c r="M445" s="75">
        <f>L445*0.3</f>
        <v>144677.52</v>
      </c>
      <c r="N445" s="115">
        <v>482258.4</v>
      </c>
      <c r="O445" s="76">
        <f>L445-N445</f>
        <v>0</v>
      </c>
      <c r="R445" s="115" t="s">
        <v>88</v>
      </c>
      <c r="S445" s="656"/>
      <c r="T445" s="496"/>
      <c r="U445" s="496">
        <f>U443+20</f>
        <v>45838</v>
      </c>
      <c r="V445" s="496">
        <f>V443+20</f>
        <v>45838</v>
      </c>
      <c r="W445" s="115"/>
      <c r="X445" s="118"/>
      <c r="Y445" s="75">
        <f>1960400</f>
        <v>1960400</v>
      </c>
      <c r="Z445" s="652">
        <v>0.1322</v>
      </c>
      <c r="AA445" s="495">
        <f t="shared" ref="AA445:AA457" si="37">Y445*Z445</f>
        <v>259164.88</v>
      </c>
      <c r="AB445" s="119">
        <f>AA445</f>
        <v>259164.88</v>
      </c>
      <c r="AC445" s="119">
        <f>AA445-AB445</f>
        <v>0</v>
      </c>
      <c r="AD445" s="120"/>
      <c r="AE445" s="119"/>
      <c r="AF445" s="119"/>
      <c r="AG445" s="119"/>
      <c r="AH445" s="121"/>
      <c r="AJ445" s="122"/>
      <c r="AK445" s="75">
        <f>1960400</f>
        <v>1960400</v>
      </c>
      <c r="AL445" s="75">
        <v>0.123</v>
      </c>
      <c r="AM445" s="119">
        <f>AK445*AL445</f>
        <v>241129.2</v>
      </c>
      <c r="AN445" s="119">
        <v>482258.4</v>
      </c>
      <c r="AO445" s="121">
        <f>AM445-AN445</f>
        <v>-241129.2</v>
      </c>
      <c r="AQ445" s="496"/>
      <c r="AR445" s="497"/>
      <c r="AS445" s="497"/>
      <c r="AT445" s="497" t="s">
        <v>480</v>
      </c>
      <c r="AU445" s="128" t="s">
        <v>481</v>
      </c>
      <c r="AV445" s="128">
        <v>1</v>
      </c>
      <c r="AW445" s="497">
        <v>45913</v>
      </c>
      <c r="AX445" s="75">
        <f>1960400</f>
        <v>1960400</v>
      </c>
      <c r="AY445" s="75">
        <v>0.123</v>
      </c>
      <c r="AZ445" s="119">
        <f>AX445*AY445</f>
        <v>241129.2</v>
      </c>
      <c r="BA445" s="119">
        <f>482258.4/2</f>
        <v>241129.2</v>
      </c>
      <c r="BB445" s="483"/>
      <c r="BC445" s="483">
        <f>BB445+BA445-AZ445</f>
        <v>0</v>
      </c>
      <c r="BD445" s="115"/>
      <c r="BE445" s="115"/>
      <c r="BF445" s="115"/>
      <c r="BG445" s="115"/>
      <c r="BI445" s="149"/>
      <c r="BL445" s="76" t="str">
        <f t="shared" si="28"/>
        <v>INTW-6-5</v>
      </c>
      <c r="BM445" s="76" t="str">
        <f t="shared" si="29"/>
        <v>INDEX</v>
      </c>
      <c r="BN445" s="387">
        <f t="shared" si="30"/>
        <v>45697</v>
      </c>
      <c r="BO445" s="75" t="str">
        <f t="shared" si="31"/>
        <v>72.9mm #300</v>
      </c>
      <c r="BP445" s="75">
        <f t="shared" si="32"/>
        <v>1960400</v>
      </c>
      <c r="BQ445" s="387">
        <f t="shared" si="33"/>
        <v>45838</v>
      </c>
      <c r="BR445" s="93">
        <f t="shared" si="34"/>
        <v>144677.52</v>
      </c>
    </row>
    <row r="446" s="75" customFormat="1" ht="14.4" outlineLevel="1" spans="1:70">
      <c r="A446" s="75" t="s">
        <v>71</v>
      </c>
      <c r="C446" s="387">
        <v>45697</v>
      </c>
      <c r="D446" s="76" t="s">
        <v>482</v>
      </c>
      <c r="E446" s="113"/>
      <c r="F446" s="76"/>
      <c r="G446" s="586"/>
      <c r="H446" s="113"/>
      <c r="I446" s="113"/>
      <c r="L446" s="495"/>
      <c r="N446" s="115"/>
      <c r="O446" s="76"/>
      <c r="R446" s="115"/>
      <c r="S446" s="656"/>
      <c r="T446" s="496"/>
      <c r="U446" s="496"/>
      <c r="V446" s="496"/>
      <c r="W446" s="115"/>
      <c r="X446" s="118" t="s">
        <v>355</v>
      </c>
      <c r="Z446" s="652"/>
      <c r="AA446" s="495"/>
      <c r="AB446" s="119"/>
      <c r="AC446" s="119"/>
      <c r="AD446" s="120"/>
      <c r="AE446" s="119"/>
      <c r="AF446" s="119"/>
      <c r="AG446" s="119"/>
      <c r="AH446" s="121"/>
      <c r="AJ446" s="122"/>
      <c r="AK446" s="75">
        <f>1960400</f>
        <v>1960400</v>
      </c>
      <c r="AL446" s="75">
        <v>0.123</v>
      </c>
      <c r="AM446" s="119">
        <f>AK446*AL446</f>
        <v>241129.2</v>
      </c>
      <c r="AN446" s="119"/>
      <c r="AO446" s="121"/>
      <c r="AQ446" s="496" t="s">
        <v>436</v>
      </c>
      <c r="AR446" s="497"/>
      <c r="AS446" s="497"/>
      <c r="AT446" s="497" t="s">
        <v>480</v>
      </c>
      <c r="AU446" s="128" t="s">
        <v>483</v>
      </c>
      <c r="AV446" s="128">
        <v>1</v>
      </c>
      <c r="AW446" s="497">
        <v>45930</v>
      </c>
      <c r="AX446" s="75">
        <f>1960400</f>
        <v>1960400</v>
      </c>
      <c r="AY446" s="75">
        <v>0.123</v>
      </c>
      <c r="AZ446" s="119">
        <f>AX446*AY446</f>
        <v>241129.2</v>
      </c>
      <c r="BA446" s="119">
        <f>482258.4/2</f>
        <v>241129.2</v>
      </c>
      <c r="BB446" s="483"/>
      <c r="BC446" s="483">
        <f>BB446+BA446-AZ446</f>
        <v>0</v>
      </c>
      <c r="BD446" s="115"/>
      <c r="BE446" s="115"/>
      <c r="BF446" s="115"/>
      <c r="BG446" s="115"/>
      <c r="BI446" s="149"/>
      <c r="BL446" s="76" t="str">
        <f t="shared" si="28"/>
        <v>INTW-6-5-2</v>
      </c>
      <c r="BM446" s="76" t="str">
        <f t="shared" si="29"/>
        <v>INDEX</v>
      </c>
      <c r="BN446" s="387">
        <f t="shared" si="30"/>
        <v>45697</v>
      </c>
      <c r="BO446" s="75">
        <f t="shared" si="31"/>
        <v>0</v>
      </c>
      <c r="BP446" s="75">
        <f t="shared" si="32"/>
        <v>0</v>
      </c>
      <c r="BQ446" s="387">
        <f t="shared" si="33"/>
        <v>0</v>
      </c>
      <c r="BR446" s="93">
        <f t="shared" si="34"/>
        <v>0</v>
      </c>
    </row>
    <row r="447" s="75" customFormat="1" ht="14.4" outlineLevel="1" spans="1:70">
      <c r="A447" s="75" t="s">
        <v>71</v>
      </c>
      <c r="C447" s="387">
        <v>45697</v>
      </c>
      <c r="D447" s="76" t="s">
        <v>484</v>
      </c>
      <c r="E447" s="113" t="s">
        <v>471</v>
      </c>
      <c r="F447" s="76"/>
      <c r="G447" s="586"/>
      <c r="H447" s="113" t="s">
        <v>71</v>
      </c>
      <c r="I447" s="113"/>
      <c r="J447" s="75">
        <f t="shared" si="35"/>
        <v>3920800</v>
      </c>
      <c r="K447" s="75">
        <v>0.123</v>
      </c>
      <c r="L447" s="495">
        <f t="shared" ref="L447:L457" si="38">J447*K447</f>
        <v>482258.4</v>
      </c>
      <c r="M447" s="75">
        <f t="shared" ref="M447:M452" si="39">L447*0.3</f>
        <v>144677.52</v>
      </c>
      <c r="N447" s="115"/>
      <c r="O447" s="76">
        <f>L447-N447</f>
        <v>482258.4</v>
      </c>
      <c r="R447" s="115" t="s">
        <v>88</v>
      </c>
      <c r="S447" s="656"/>
      <c r="T447" s="496"/>
      <c r="U447" s="496">
        <f>U445+20</f>
        <v>45858</v>
      </c>
      <c r="V447" s="496">
        <v>45941</v>
      </c>
      <c r="W447" s="115"/>
      <c r="X447" s="118" t="s">
        <v>355</v>
      </c>
      <c r="Y447" s="75">
        <f t="shared" si="36"/>
        <v>3920800</v>
      </c>
      <c r="Z447" s="652">
        <v>0.1322</v>
      </c>
      <c r="AA447" s="495">
        <f t="shared" si="37"/>
        <v>518329.76</v>
      </c>
      <c r="AB447" s="119">
        <v>518329.76</v>
      </c>
      <c r="AC447" s="119">
        <f>AA447-AB447</f>
        <v>0</v>
      </c>
      <c r="AD447" s="120"/>
      <c r="AE447" s="119"/>
      <c r="AF447" s="119"/>
      <c r="AG447" s="119"/>
      <c r="AH447" s="121"/>
      <c r="AJ447" s="122"/>
      <c r="AK447" s="75">
        <f>1960400*2</f>
        <v>3920800</v>
      </c>
      <c r="AL447" s="652">
        <v>0.123</v>
      </c>
      <c r="AM447" s="495">
        <f>AK447*AL447</f>
        <v>482258.4</v>
      </c>
      <c r="AN447" s="119">
        <v>482258.4</v>
      </c>
      <c r="AO447" s="126">
        <f>AM447-AN447</f>
        <v>0</v>
      </c>
      <c r="AQ447" s="496">
        <v>45931</v>
      </c>
      <c r="AR447" s="497"/>
      <c r="AS447" s="497"/>
      <c r="AT447" s="497"/>
      <c r="AU447" s="128" t="s">
        <v>485</v>
      </c>
      <c r="AV447" s="128">
        <v>2</v>
      </c>
      <c r="AW447" s="497">
        <v>45944</v>
      </c>
      <c r="AX447" s="75">
        <f>1960400*2</f>
        <v>3920800</v>
      </c>
      <c r="AY447" s="652">
        <v>0.1322</v>
      </c>
      <c r="AZ447" s="495">
        <f>AX447*AY447</f>
        <v>518329.76</v>
      </c>
      <c r="BA447" s="119">
        <v>518329.76</v>
      </c>
      <c r="BB447" s="483"/>
      <c r="BC447" s="483"/>
      <c r="BD447" s="115"/>
      <c r="BE447" s="115"/>
      <c r="BF447" s="115"/>
      <c r="BG447" s="115"/>
      <c r="BI447" s="149"/>
      <c r="BL447" s="76" t="str">
        <f t="shared" si="28"/>
        <v>INTW-6-6</v>
      </c>
      <c r="BM447" s="76" t="str">
        <f t="shared" si="29"/>
        <v>INDEX</v>
      </c>
      <c r="BN447" s="387">
        <f t="shared" si="30"/>
        <v>45697</v>
      </c>
      <c r="BO447" s="75" t="str">
        <f t="shared" si="31"/>
        <v>72.9mm #300</v>
      </c>
      <c r="BP447" s="75">
        <f t="shared" si="32"/>
        <v>3920800</v>
      </c>
      <c r="BQ447" s="387">
        <f t="shared" si="33"/>
        <v>45858</v>
      </c>
      <c r="BR447" s="93">
        <f t="shared" si="34"/>
        <v>144677.52</v>
      </c>
    </row>
    <row r="448" s="75" customFormat="1" ht="14.4" outlineLevel="1" spans="1:70">
      <c r="A448" s="75" t="s">
        <v>71</v>
      </c>
      <c r="C448" s="387">
        <v>45697</v>
      </c>
      <c r="D448" s="76" t="s">
        <v>486</v>
      </c>
      <c r="E448" s="113" t="s">
        <v>471</v>
      </c>
      <c r="F448" s="76"/>
      <c r="G448" s="586"/>
      <c r="H448" s="113" t="s">
        <v>71</v>
      </c>
      <c r="I448" s="113"/>
      <c r="J448" s="75">
        <f t="shared" si="35"/>
        <v>3920800</v>
      </c>
      <c r="K448" s="75">
        <v>0.123</v>
      </c>
      <c r="L448" s="495">
        <f t="shared" si="38"/>
        <v>482258.4</v>
      </c>
      <c r="M448" s="75">
        <f t="shared" si="39"/>
        <v>144677.52</v>
      </c>
      <c r="N448" s="115">
        <v>482258.4</v>
      </c>
      <c r="O448" s="76">
        <f>L448-N448</f>
        <v>0</v>
      </c>
      <c r="R448" s="115" t="s">
        <v>88</v>
      </c>
      <c r="S448" s="656"/>
      <c r="T448" s="496"/>
      <c r="U448" s="496"/>
      <c r="V448" s="496">
        <v>45955</v>
      </c>
      <c r="W448" s="115"/>
      <c r="X448" s="118"/>
      <c r="Y448" s="75">
        <f t="shared" si="36"/>
        <v>3920800</v>
      </c>
      <c r="Z448" s="652">
        <v>0.1322</v>
      </c>
      <c r="AA448" s="495">
        <f t="shared" si="37"/>
        <v>518329.76</v>
      </c>
      <c r="AB448" s="119"/>
      <c r="AC448" s="119"/>
      <c r="AD448" s="120"/>
      <c r="AE448" s="119"/>
      <c r="AF448" s="119"/>
      <c r="AG448" s="119"/>
      <c r="AH448" s="121"/>
      <c r="AJ448" s="122"/>
      <c r="AK448" s="122"/>
      <c r="AM448" s="495">
        <v>482258.4</v>
      </c>
      <c r="AN448" s="115">
        <v>482258.4</v>
      </c>
      <c r="AO448" s="126">
        <f>AM448-AN448</f>
        <v>0</v>
      </c>
      <c r="AQ448" s="496" t="s">
        <v>436</v>
      </c>
      <c r="AR448" s="497"/>
      <c r="AS448" s="497"/>
      <c r="AT448" s="497"/>
      <c r="AU448" s="763" t="s">
        <v>487</v>
      </c>
      <c r="AV448" s="128">
        <v>2</v>
      </c>
      <c r="AW448" s="497">
        <v>45986</v>
      </c>
      <c r="AX448" s="122"/>
      <c r="AZ448" s="495"/>
      <c r="BA448" s="483"/>
      <c r="BB448" s="483"/>
      <c r="BC448" s="483"/>
      <c r="BD448" s="115"/>
      <c r="BE448" s="115"/>
      <c r="BF448" s="115"/>
      <c r="BG448" s="115"/>
      <c r="BI448" s="149"/>
      <c r="BL448" s="76" t="str">
        <f t="shared" si="28"/>
        <v>INTW-6-7</v>
      </c>
      <c r="BM448" s="76" t="str">
        <f t="shared" si="29"/>
        <v>INDEX</v>
      </c>
      <c r="BN448" s="387">
        <f t="shared" si="30"/>
        <v>45697</v>
      </c>
      <c r="BO448" s="75" t="str">
        <f t="shared" si="31"/>
        <v>72.9mm #300</v>
      </c>
      <c r="BP448" s="75">
        <f t="shared" si="32"/>
        <v>3920800</v>
      </c>
      <c r="BQ448" s="387">
        <f t="shared" si="33"/>
        <v>0</v>
      </c>
      <c r="BR448" s="93">
        <f t="shared" si="34"/>
        <v>144677.52</v>
      </c>
    </row>
    <row r="449" s="75" customFormat="1" ht="14.4" outlineLevel="1" spans="1:70">
      <c r="A449" s="75" t="s">
        <v>71</v>
      </c>
      <c r="C449" s="387">
        <v>45697</v>
      </c>
      <c r="D449" s="76" t="s">
        <v>488</v>
      </c>
      <c r="E449" s="113" t="s">
        <v>471</v>
      </c>
      <c r="F449" s="76"/>
      <c r="G449" s="586"/>
      <c r="H449" s="113" t="s">
        <v>71</v>
      </c>
      <c r="I449" s="113"/>
      <c r="J449" s="75">
        <f t="shared" si="35"/>
        <v>3920800</v>
      </c>
      <c r="K449" s="75">
        <v>0.123</v>
      </c>
      <c r="L449" s="495">
        <f t="shared" si="38"/>
        <v>482258.4</v>
      </c>
      <c r="M449" s="75">
        <f t="shared" si="39"/>
        <v>144677.52</v>
      </c>
      <c r="N449" s="115">
        <v>218458.94</v>
      </c>
      <c r="O449" s="76">
        <f>L449-N449</f>
        <v>263799.46</v>
      </c>
      <c r="R449" s="115" t="s">
        <v>88</v>
      </c>
      <c r="S449" s="656"/>
      <c r="T449" s="496"/>
      <c r="U449" s="496"/>
      <c r="V449" s="496">
        <v>45966</v>
      </c>
      <c r="W449" s="115"/>
      <c r="X449" s="118"/>
      <c r="Y449" s="75">
        <f t="shared" si="36"/>
        <v>3920800</v>
      </c>
      <c r="Z449" s="652">
        <v>0.1322</v>
      </c>
      <c r="AA449" s="495">
        <f t="shared" si="37"/>
        <v>518329.76</v>
      </c>
      <c r="AB449" s="119"/>
      <c r="AC449" s="119"/>
      <c r="AD449" s="120"/>
      <c r="AE449" s="119"/>
      <c r="AF449" s="119"/>
      <c r="AG449" s="119"/>
      <c r="AH449" s="121"/>
      <c r="AJ449" s="122"/>
      <c r="AK449" s="122"/>
      <c r="AM449" s="495">
        <v>482258.4</v>
      </c>
      <c r="AN449" s="253">
        <f>218458.94+263799.46</f>
        <v>482258.4</v>
      </c>
      <c r="AO449" s="126">
        <f>AM449-AN449</f>
        <v>0</v>
      </c>
      <c r="AQ449" s="496"/>
      <c r="AR449" s="497"/>
      <c r="AS449" s="497"/>
      <c r="AT449" s="497"/>
      <c r="AU449" s="128"/>
      <c r="AV449" s="128"/>
      <c r="AW449" s="497"/>
      <c r="AX449" s="122"/>
      <c r="AZ449" s="495"/>
      <c r="BA449" s="483"/>
      <c r="BB449" s="483"/>
      <c r="BC449" s="483"/>
      <c r="BD449" s="115"/>
      <c r="BE449" s="115"/>
      <c r="BF449" s="115"/>
      <c r="BG449" s="115"/>
      <c r="BI449" s="149"/>
      <c r="BL449" s="76" t="str">
        <f t="shared" si="28"/>
        <v>INTW-6-8</v>
      </c>
      <c r="BM449" s="76" t="str">
        <f t="shared" si="29"/>
        <v>INDEX</v>
      </c>
      <c r="BN449" s="387">
        <f t="shared" si="30"/>
        <v>45697</v>
      </c>
      <c r="BO449" s="75" t="str">
        <f t="shared" si="31"/>
        <v>72.9mm #300</v>
      </c>
      <c r="BP449" s="75">
        <f t="shared" si="32"/>
        <v>3920800</v>
      </c>
      <c r="BQ449" s="387">
        <f t="shared" si="33"/>
        <v>0</v>
      </c>
      <c r="BR449" s="93">
        <f t="shared" si="34"/>
        <v>144677.52</v>
      </c>
    </row>
    <row r="450" s="75" customFormat="1" ht="14.4" outlineLevel="1" spans="1:70">
      <c r="A450" s="75" t="s">
        <v>71</v>
      </c>
      <c r="C450" s="387">
        <v>45930</v>
      </c>
      <c r="D450" s="76" t="s">
        <v>489</v>
      </c>
      <c r="E450" s="113" t="s">
        <v>471</v>
      </c>
      <c r="F450" s="76"/>
      <c r="G450" s="586"/>
      <c r="H450" s="113" t="s">
        <v>71</v>
      </c>
      <c r="I450" s="113"/>
      <c r="J450" s="75">
        <f t="shared" si="35"/>
        <v>3920800</v>
      </c>
      <c r="K450" s="75">
        <v>0.123</v>
      </c>
      <c r="L450" s="495">
        <f t="shared" si="38"/>
        <v>482258.4</v>
      </c>
      <c r="M450" s="75">
        <f t="shared" si="39"/>
        <v>144677.52</v>
      </c>
      <c r="N450" s="115">
        <v>482258.4</v>
      </c>
      <c r="O450" s="76">
        <f>L450-N450</f>
        <v>0</v>
      </c>
      <c r="R450" s="115" t="s">
        <v>88</v>
      </c>
      <c r="S450" s="656"/>
      <c r="T450" s="496"/>
      <c r="U450" s="496"/>
      <c r="V450" s="496"/>
      <c r="W450" s="115"/>
      <c r="X450" s="118"/>
      <c r="Y450" s="75">
        <f t="shared" si="36"/>
        <v>3920800</v>
      </c>
      <c r="Z450" s="652">
        <v>0.1322</v>
      </c>
      <c r="AA450" s="495">
        <f t="shared" si="37"/>
        <v>518329.76</v>
      </c>
      <c r="AB450" s="119"/>
      <c r="AC450" s="119"/>
      <c r="AD450" s="120"/>
      <c r="AE450" s="119"/>
      <c r="AF450" s="119"/>
      <c r="AG450" s="119"/>
      <c r="AH450" s="121"/>
      <c r="AJ450" s="122"/>
      <c r="AK450" s="122"/>
      <c r="AM450" s="119"/>
      <c r="AN450" s="119">
        <v>482258.4</v>
      </c>
      <c r="AO450" s="126"/>
      <c r="AQ450" s="496"/>
      <c r="AR450" s="497"/>
      <c r="AS450" s="497"/>
      <c r="AT450" s="497"/>
      <c r="AU450" s="128"/>
      <c r="AV450" s="128"/>
      <c r="AW450" s="497"/>
      <c r="AX450" s="122"/>
      <c r="AZ450" s="495"/>
      <c r="BA450" s="483"/>
      <c r="BB450" s="483"/>
      <c r="BC450" s="483"/>
      <c r="BD450" s="115"/>
      <c r="BE450" s="115"/>
      <c r="BF450" s="115"/>
      <c r="BG450" s="115"/>
      <c r="BI450" s="149"/>
      <c r="BL450" s="76" t="str">
        <f t="shared" si="28"/>
        <v>INTW-6-9</v>
      </c>
      <c r="BM450" s="76" t="str">
        <f t="shared" si="29"/>
        <v>INDEX</v>
      </c>
      <c r="BN450" s="387">
        <f t="shared" si="30"/>
        <v>45930</v>
      </c>
      <c r="BO450" s="75" t="str">
        <f t="shared" si="31"/>
        <v>72.9mm #300</v>
      </c>
      <c r="BP450" s="75">
        <f t="shared" si="32"/>
        <v>3920800</v>
      </c>
      <c r="BQ450" s="387">
        <f t="shared" si="33"/>
        <v>0</v>
      </c>
      <c r="BR450" s="93"/>
    </row>
    <row r="451" s="75" customFormat="1" ht="14.4" outlineLevel="1" spans="1:70">
      <c r="A451" s="75" t="s">
        <v>71</v>
      </c>
      <c r="C451" s="387">
        <v>45930</v>
      </c>
      <c r="D451" s="76" t="s">
        <v>490</v>
      </c>
      <c r="E451" s="113" t="s">
        <v>471</v>
      </c>
      <c r="F451" s="76"/>
      <c r="G451" s="586"/>
      <c r="H451" s="113" t="s">
        <v>71</v>
      </c>
      <c r="I451" s="113"/>
      <c r="J451" s="75">
        <f t="shared" si="35"/>
        <v>3920800</v>
      </c>
      <c r="K451" s="75">
        <v>0.123</v>
      </c>
      <c r="L451" s="495">
        <f t="shared" si="38"/>
        <v>482258.4</v>
      </c>
      <c r="M451" s="75">
        <f t="shared" si="39"/>
        <v>144677.52</v>
      </c>
      <c r="N451" s="115">
        <v>482258.4</v>
      </c>
      <c r="O451" s="76"/>
      <c r="R451" s="115" t="s">
        <v>88</v>
      </c>
      <c r="S451" s="656"/>
      <c r="T451" s="496"/>
      <c r="U451" s="496" t="s">
        <v>491</v>
      </c>
      <c r="V451" s="496"/>
      <c r="W451" s="115"/>
      <c r="X451" s="118"/>
      <c r="Y451" s="75">
        <f t="shared" si="36"/>
        <v>3920800</v>
      </c>
      <c r="Z451" s="652">
        <v>0.1322</v>
      </c>
      <c r="AA451" s="495">
        <f t="shared" si="37"/>
        <v>518329.76</v>
      </c>
      <c r="AB451" s="119"/>
      <c r="AC451" s="119"/>
      <c r="AD451" s="120"/>
      <c r="AE451" s="119"/>
      <c r="AF451" s="119"/>
      <c r="AG451" s="119"/>
      <c r="AH451" s="121"/>
      <c r="AJ451" s="122"/>
      <c r="AK451" s="122"/>
      <c r="AM451" s="119"/>
      <c r="AN451" s="119">
        <v>482258.4</v>
      </c>
      <c r="AO451" s="126"/>
      <c r="AQ451" s="496"/>
      <c r="AR451" s="497"/>
      <c r="AS451" s="497"/>
      <c r="AT451" s="497"/>
      <c r="AU451" s="128"/>
      <c r="AV451" s="128"/>
      <c r="AW451" s="497"/>
      <c r="AX451" s="122"/>
      <c r="AZ451" s="495"/>
      <c r="BA451" s="483"/>
      <c r="BB451" s="483"/>
      <c r="BC451" s="483"/>
      <c r="BD451" s="115"/>
      <c r="BE451" s="115"/>
      <c r="BF451" s="115"/>
      <c r="BG451" s="115"/>
      <c r="BI451" s="149"/>
      <c r="BL451" s="76" t="str">
        <f t="shared" si="28"/>
        <v>INTW-6-10</v>
      </c>
      <c r="BM451" s="76" t="str">
        <f t="shared" si="29"/>
        <v>INDEX</v>
      </c>
      <c r="BN451" s="387">
        <f t="shared" si="30"/>
        <v>45930</v>
      </c>
      <c r="BO451" s="75" t="str">
        <f t="shared" si="31"/>
        <v>72.9mm #300</v>
      </c>
      <c r="BP451" s="75">
        <f t="shared" si="32"/>
        <v>3920800</v>
      </c>
      <c r="BQ451" s="387" t="str">
        <f t="shared" si="33"/>
        <v>28/02/2025</v>
      </c>
      <c r="BR451" s="93"/>
    </row>
    <row r="452" s="75" customFormat="1" ht="14.4" outlineLevel="1" spans="1:70">
      <c r="A452" s="75" t="s">
        <v>71</v>
      </c>
      <c r="C452" s="387">
        <v>45930</v>
      </c>
      <c r="D452" s="76" t="s">
        <v>492</v>
      </c>
      <c r="E452" s="113" t="s">
        <v>471</v>
      </c>
      <c r="F452" s="76"/>
      <c r="G452" s="586"/>
      <c r="H452" s="113" t="s">
        <v>71</v>
      </c>
      <c r="I452" s="113"/>
      <c r="J452" s="75">
        <f t="shared" si="35"/>
        <v>3920800</v>
      </c>
      <c r="K452" s="75">
        <v>0.123</v>
      </c>
      <c r="L452" s="495">
        <f t="shared" si="38"/>
        <v>482258.4</v>
      </c>
      <c r="M452" s="75">
        <f t="shared" si="39"/>
        <v>144677.52</v>
      </c>
      <c r="N452" s="115">
        <v>482258.4</v>
      </c>
      <c r="O452" s="76"/>
      <c r="R452" s="115" t="s">
        <v>88</v>
      </c>
      <c r="S452" s="656"/>
      <c r="T452" s="496"/>
      <c r="U452" s="496" t="s">
        <v>493</v>
      </c>
      <c r="V452" s="496"/>
      <c r="W452" s="115"/>
      <c r="X452" s="118"/>
      <c r="Y452" s="75">
        <f t="shared" si="36"/>
        <v>3920800</v>
      </c>
      <c r="Z452" s="652">
        <v>0.1322</v>
      </c>
      <c r="AA452" s="495">
        <f t="shared" si="37"/>
        <v>518329.76</v>
      </c>
      <c r="AB452" s="119"/>
      <c r="AC452" s="119"/>
      <c r="AD452" s="120"/>
      <c r="AE452" s="119"/>
      <c r="AF452" s="119"/>
      <c r="AG452" s="119"/>
      <c r="AH452" s="121"/>
      <c r="AJ452" s="122"/>
      <c r="AK452" s="122"/>
      <c r="AM452" s="119"/>
      <c r="AN452" s="119">
        <v>482258.4</v>
      </c>
      <c r="AO452" s="126"/>
      <c r="AQ452" s="496"/>
      <c r="AR452" s="497"/>
      <c r="AS452" s="497"/>
      <c r="AT452" s="497"/>
      <c r="AU452" s="128"/>
      <c r="AV452" s="128"/>
      <c r="AW452" s="497"/>
      <c r="AX452" s="122"/>
      <c r="AZ452" s="495"/>
      <c r="BA452" s="483"/>
      <c r="BB452" s="483"/>
      <c r="BC452" s="483"/>
      <c r="BD452" s="115"/>
      <c r="BE452" s="115"/>
      <c r="BF452" s="115"/>
      <c r="BG452" s="115"/>
      <c r="BI452" s="149"/>
      <c r="BL452" s="76" t="str">
        <f t="shared" si="28"/>
        <v>INTW-6-11</v>
      </c>
      <c r="BM452" s="76" t="str">
        <f t="shared" si="29"/>
        <v>INDEX</v>
      </c>
      <c r="BN452" s="387">
        <f t="shared" si="30"/>
        <v>45930</v>
      </c>
      <c r="BO452" s="75" t="str">
        <f t="shared" si="31"/>
        <v>72.9mm #300</v>
      </c>
      <c r="BP452" s="75">
        <f t="shared" si="32"/>
        <v>3920800</v>
      </c>
      <c r="BQ452" s="387" t="str">
        <f t="shared" si="33"/>
        <v>28/03/2025</v>
      </c>
      <c r="BR452" s="93"/>
    </row>
    <row r="453" s="75" customFormat="1" ht="14.4" outlineLevel="1" spans="1:70">
      <c r="A453" s="75" t="s">
        <v>71</v>
      </c>
      <c r="C453" s="387">
        <v>45930</v>
      </c>
      <c r="D453" s="76" t="s">
        <v>494</v>
      </c>
      <c r="E453" s="113" t="s">
        <v>471</v>
      </c>
      <c r="F453" s="76"/>
      <c r="G453" s="586"/>
      <c r="H453" s="113" t="s">
        <v>71</v>
      </c>
      <c r="I453" s="113"/>
      <c r="J453" s="75">
        <f>1960400*3</f>
        <v>5881200</v>
      </c>
      <c r="K453" s="75">
        <v>0.123</v>
      </c>
      <c r="L453" s="495">
        <f t="shared" si="38"/>
        <v>723387.6</v>
      </c>
      <c r="M453" s="75">
        <f>L453</f>
        <v>723387.6</v>
      </c>
      <c r="N453" s="115">
        <v>723387.6</v>
      </c>
      <c r="O453" s="76"/>
      <c r="R453" s="115" t="s">
        <v>88</v>
      </c>
      <c r="S453" s="656"/>
      <c r="T453" s="496"/>
      <c r="U453" s="496" t="s">
        <v>495</v>
      </c>
      <c r="V453" s="496"/>
      <c r="W453" s="115"/>
      <c r="X453" s="118"/>
      <c r="Y453" s="75">
        <f t="shared" si="36"/>
        <v>3920800</v>
      </c>
      <c r="Z453" s="652">
        <v>0.1322</v>
      </c>
      <c r="AA453" s="495">
        <f t="shared" si="37"/>
        <v>518329.76</v>
      </c>
      <c r="AB453" s="119"/>
      <c r="AC453" s="119"/>
      <c r="AD453" s="120"/>
      <c r="AE453" s="119"/>
      <c r="AF453" s="119"/>
      <c r="AG453" s="119"/>
      <c r="AH453" s="121"/>
      <c r="AJ453" s="122"/>
      <c r="AK453" s="122"/>
      <c r="AM453" s="119"/>
      <c r="AN453" s="119">
        <v>723387.6</v>
      </c>
      <c r="AO453" s="126"/>
      <c r="AQ453" s="496"/>
      <c r="AR453" s="497"/>
      <c r="AS453" s="497"/>
      <c r="AT453" s="497"/>
      <c r="AU453" s="128"/>
      <c r="AV453" s="128"/>
      <c r="AW453" s="497"/>
      <c r="AX453" s="122"/>
      <c r="AZ453" s="495"/>
      <c r="BA453" s="483"/>
      <c r="BB453" s="483"/>
      <c r="BC453" s="483"/>
      <c r="BD453" s="115"/>
      <c r="BE453" s="115"/>
      <c r="BF453" s="115"/>
      <c r="BG453" s="115"/>
      <c r="BI453" s="149"/>
      <c r="BL453" s="76" t="str">
        <f t="shared" si="28"/>
        <v>INTW-6-12</v>
      </c>
      <c r="BM453" s="76" t="str">
        <f t="shared" si="29"/>
        <v>INDEX</v>
      </c>
      <c r="BN453" s="387">
        <f t="shared" si="30"/>
        <v>45930</v>
      </c>
      <c r="BO453" s="75" t="str">
        <f t="shared" si="31"/>
        <v>72.9mm #300</v>
      </c>
      <c r="BP453" s="75">
        <f t="shared" si="32"/>
        <v>3920800</v>
      </c>
      <c r="BQ453" s="387" t="str">
        <f t="shared" si="33"/>
        <v>28/04/2025</v>
      </c>
      <c r="BR453" s="93"/>
    </row>
    <row r="454" s="75" customFormat="1" ht="14.4" outlineLevel="1" spans="1:70">
      <c r="A454" s="75" t="s">
        <v>71</v>
      </c>
      <c r="C454" s="387">
        <v>45930</v>
      </c>
      <c r="D454" s="76" t="s">
        <v>496</v>
      </c>
      <c r="E454" s="113" t="s">
        <v>471</v>
      </c>
      <c r="F454" s="76"/>
      <c r="G454" s="586"/>
      <c r="H454" s="113" t="s">
        <v>71</v>
      </c>
      <c r="I454" s="113"/>
      <c r="J454" s="75">
        <f t="shared" si="35"/>
        <v>3920800</v>
      </c>
      <c r="K454" s="75">
        <v>0.123</v>
      </c>
      <c r="L454" s="495">
        <f t="shared" si="38"/>
        <v>482258.4</v>
      </c>
      <c r="M454" s="75">
        <f>L454</f>
        <v>482258.4</v>
      </c>
      <c r="N454" s="115"/>
      <c r="O454" s="76"/>
      <c r="R454" s="115" t="s">
        <v>88</v>
      </c>
      <c r="S454" s="656"/>
      <c r="T454" s="496"/>
      <c r="U454" s="496" t="s">
        <v>497</v>
      </c>
      <c r="V454" s="496"/>
      <c r="W454" s="115"/>
      <c r="X454" s="118"/>
      <c r="Y454" s="75">
        <f t="shared" si="36"/>
        <v>3920800</v>
      </c>
      <c r="Z454" s="652">
        <v>0.1322</v>
      </c>
      <c r="AA454" s="495">
        <f t="shared" si="37"/>
        <v>518329.76</v>
      </c>
      <c r="AB454" s="119"/>
      <c r="AC454" s="119"/>
      <c r="AD454" s="120"/>
      <c r="AE454" s="119"/>
      <c r="AF454" s="119"/>
      <c r="AG454" s="119"/>
      <c r="AH454" s="121"/>
      <c r="AJ454" s="122"/>
      <c r="AK454" s="122"/>
      <c r="AM454" s="119"/>
      <c r="AN454" s="119"/>
      <c r="AO454" s="126"/>
      <c r="AQ454" s="496"/>
      <c r="AR454" s="497"/>
      <c r="AS454" s="497"/>
      <c r="AT454" s="497"/>
      <c r="AU454" s="128"/>
      <c r="AV454" s="128"/>
      <c r="AW454" s="497"/>
      <c r="AX454" s="122"/>
      <c r="AZ454" s="495"/>
      <c r="BA454" s="483"/>
      <c r="BB454" s="483"/>
      <c r="BC454" s="483"/>
      <c r="BD454" s="115"/>
      <c r="BE454" s="115"/>
      <c r="BF454" s="115"/>
      <c r="BG454" s="115"/>
      <c r="BI454" s="149"/>
      <c r="BL454" s="76" t="str">
        <f t="shared" si="28"/>
        <v>INTW-6-13</v>
      </c>
      <c r="BM454" s="76" t="str">
        <f t="shared" si="29"/>
        <v>INDEX</v>
      </c>
      <c r="BN454" s="387">
        <f t="shared" si="30"/>
        <v>45930</v>
      </c>
      <c r="BO454" s="75" t="str">
        <f t="shared" si="31"/>
        <v>72.9mm #300</v>
      </c>
      <c r="BP454" s="75">
        <f t="shared" si="32"/>
        <v>3920800</v>
      </c>
      <c r="BQ454" s="387" t="str">
        <f t="shared" si="33"/>
        <v>28/05/2025</v>
      </c>
      <c r="BR454" s="93"/>
    </row>
    <row r="455" s="75" customFormat="1" ht="14.4" outlineLevel="1" spans="1:70">
      <c r="A455" s="75" t="s">
        <v>71</v>
      </c>
      <c r="C455" s="387">
        <v>45930</v>
      </c>
      <c r="D455" s="76" t="s">
        <v>498</v>
      </c>
      <c r="E455" s="113" t="s">
        <v>471</v>
      </c>
      <c r="F455" s="76"/>
      <c r="G455" s="586"/>
      <c r="H455" s="113" t="s">
        <v>71</v>
      </c>
      <c r="I455" s="113"/>
      <c r="J455" s="75">
        <f t="shared" si="35"/>
        <v>3920800</v>
      </c>
      <c r="K455" s="75">
        <v>0.123</v>
      </c>
      <c r="L455" s="495">
        <f t="shared" si="38"/>
        <v>482258.4</v>
      </c>
      <c r="M455" s="75">
        <f>L455</f>
        <v>482258.4</v>
      </c>
      <c r="N455" s="115"/>
      <c r="O455" s="76"/>
      <c r="R455" s="115" t="s">
        <v>88</v>
      </c>
      <c r="S455" s="656"/>
      <c r="T455" s="496"/>
      <c r="U455" s="496" t="s">
        <v>499</v>
      </c>
      <c r="V455" s="496"/>
      <c r="W455" s="115"/>
      <c r="X455" s="118"/>
      <c r="Y455" s="75">
        <f t="shared" si="36"/>
        <v>3920800</v>
      </c>
      <c r="Z455" s="652">
        <v>0.1322</v>
      </c>
      <c r="AA455" s="495">
        <f t="shared" si="37"/>
        <v>518329.76</v>
      </c>
      <c r="AB455" s="119"/>
      <c r="AC455" s="119"/>
      <c r="AD455" s="120"/>
      <c r="AE455" s="119"/>
      <c r="AF455" s="119"/>
      <c r="AG455" s="119"/>
      <c r="AH455" s="121"/>
      <c r="AJ455" s="122"/>
      <c r="AK455" s="122"/>
      <c r="AM455" s="119"/>
      <c r="AN455" s="119"/>
      <c r="AO455" s="126"/>
      <c r="AQ455" s="496"/>
      <c r="AR455" s="497"/>
      <c r="AS455" s="497"/>
      <c r="AT455" s="497"/>
      <c r="AU455" s="128"/>
      <c r="AV455" s="128"/>
      <c r="AW455" s="497"/>
      <c r="AX455" s="122"/>
      <c r="AZ455" s="495"/>
      <c r="BA455" s="483"/>
      <c r="BB455" s="483"/>
      <c r="BC455" s="483"/>
      <c r="BD455" s="115"/>
      <c r="BE455" s="115"/>
      <c r="BF455" s="115"/>
      <c r="BG455" s="115"/>
      <c r="BI455" s="149"/>
      <c r="BL455" s="76" t="str">
        <f t="shared" si="28"/>
        <v>INTW-6-14</v>
      </c>
      <c r="BM455" s="76" t="str">
        <f t="shared" si="29"/>
        <v>INDEX</v>
      </c>
      <c r="BN455" s="387">
        <f t="shared" si="30"/>
        <v>45930</v>
      </c>
      <c r="BO455" s="75" t="str">
        <f t="shared" si="31"/>
        <v>72.9mm #300</v>
      </c>
      <c r="BP455" s="75">
        <f t="shared" si="32"/>
        <v>3920800</v>
      </c>
      <c r="BQ455" s="387" t="str">
        <f t="shared" si="33"/>
        <v>28/06/2025</v>
      </c>
      <c r="BR455" s="93"/>
    </row>
    <row r="456" s="75" customFormat="1" ht="14.4" outlineLevel="1" spans="1:70">
      <c r="A456" s="75" t="s">
        <v>71</v>
      </c>
      <c r="C456" s="387">
        <v>45930</v>
      </c>
      <c r="D456" s="76" t="s">
        <v>500</v>
      </c>
      <c r="E456" s="113" t="s">
        <v>471</v>
      </c>
      <c r="F456" s="76"/>
      <c r="G456" s="586"/>
      <c r="H456" s="113" t="s">
        <v>71</v>
      </c>
      <c r="I456" s="113"/>
      <c r="J456" s="75">
        <f t="shared" si="35"/>
        <v>3920800</v>
      </c>
      <c r="K456" s="75">
        <v>0.123</v>
      </c>
      <c r="L456" s="495">
        <f t="shared" si="38"/>
        <v>482258.4</v>
      </c>
      <c r="M456" s="75">
        <f>L456</f>
        <v>482258.4</v>
      </c>
      <c r="N456" s="115"/>
      <c r="O456" s="76"/>
      <c r="R456" s="115" t="s">
        <v>88</v>
      </c>
      <c r="S456" s="656"/>
      <c r="T456" s="496"/>
      <c r="U456" s="496" t="s">
        <v>501</v>
      </c>
      <c r="V456" s="496"/>
      <c r="W456" s="115"/>
      <c r="X456" s="118"/>
      <c r="Y456" s="75">
        <f t="shared" si="36"/>
        <v>3920800</v>
      </c>
      <c r="Z456" s="652">
        <v>0.1322</v>
      </c>
      <c r="AA456" s="495">
        <f t="shared" si="37"/>
        <v>518329.76</v>
      </c>
      <c r="AB456" s="119"/>
      <c r="AC456" s="119"/>
      <c r="AD456" s="120"/>
      <c r="AE456" s="119"/>
      <c r="AF456" s="119"/>
      <c r="AG456" s="119"/>
      <c r="AH456" s="121"/>
      <c r="AJ456" s="122"/>
      <c r="AK456" s="122"/>
      <c r="AM456" s="119"/>
      <c r="AN456" s="119"/>
      <c r="AO456" s="126"/>
      <c r="AQ456" s="496"/>
      <c r="AR456" s="497"/>
      <c r="AS456" s="497"/>
      <c r="AT456" s="497"/>
      <c r="AU456" s="128"/>
      <c r="AV456" s="128"/>
      <c r="AW456" s="497"/>
      <c r="AX456" s="122"/>
      <c r="AZ456" s="495"/>
      <c r="BA456" s="483"/>
      <c r="BB456" s="483"/>
      <c r="BC456" s="483"/>
      <c r="BD456" s="115"/>
      <c r="BE456" s="115"/>
      <c r="BF456" s="115"/>
      <c r="BG456" s="115"/>
      <c r="BI456" s="149"/>
      <c r="BL456" s="76" t="str">
        <f t="shared" si="28"/>
        <v>INTW-6-15</v>
      </c>
      <c r="BM456" s="76" t="str">
        <f t="shared" si="29"/>
        <v>INDEX</v>
      </c>
      <c r="BN456" s="387">
        <f t="shared" si="30"/>
        <v>45930</v>
      </c>
      <c r="BO456" s="75" t="str">
        <f t="shared" si="31"/>
        <v>72.9mm #300</v>
      </c>
      <c r="BP456" s="75">
        <f t="shared" si="32"/>
        <v>3920800</v>
      </c>
      <c r="BQ456" s="387" t="str">
        <f t="shared" si="33"/>
        <v>28/07/2025</v>
      </c>
      <c r="BR456" s="93"/>
    </row>
    <row r="457" s="75" customFormat="1" ht="14.4" outlineLevel="1" spans="1:70">
      <c r="A457" s="75" t="s">
        <v>71</v>
      </c>
      <c r="C457" s="387">
        <v>45930</v>
      </c>
      <c r="D457" s="76" t="s">
        <v>502</v>
      </c>
      <c r="E457" s="113" t="s">
        <v>471</v>
      </c>
      <c r="F457" s="76"/>
      <c r="G457" s="586"/>
      <c r="H457" s="113" t="s">
        <v>71</v>
      </c>
      <c r="I457" s="113"/>
      <c r="J457" s="75">
        <f t="shared" si="35"/>
        <v>3920800</v>
      </c>
      <c r="K457" s="75">
        <v>0.123</v>
      </c>
      <c r="L457" s="495">
        <f t="shared" si="38"/>
        <v>482258.4</v>
      </c>
      <c r="M457" s="75">
        <f>L457</f>
        <v>482258.4</v>
      </c>
      <c r="N457" s="115"/>
      <c r="O457" s="76"/>
      <c r="R457" s="115" t="s">
        <v>88</v>
      </c>
      <c r="S457" s="656"/>
      <c r="T457" s="496"/>
      <c r="U457" s="496" t="s">
        <v>503</v>
      </c>
      <c r="V457" s="496"/>
      <c r="W457" s="115"/>
      <c r="X457" s="118"/>
      <c r="Y457" s="75">
        <f t="shared" si="36"/>
        <v>3920800</v>
      </c>
      <c r="Z457" s="652">
        <v>0.1322</v>
      </c>
      <c r="AA457" s="495">
        <f t="shared" si="37"/>
        <v>518329.76</v>
      </c>
      <c r="AB457" s="119"/>
      <c r="AC457" s="119"/>
      <c r="AD457" s="120"/>
      <c r="AE457" s="119"/>
      <c r="AF457" s="119"/>
      <c r="AG457" s="119"/>
      <c r="AH457" s="121"/>
      <c r="AJ457" s="122"/>
      <c r="AK457" s="122"/>
      <c r="AM457" s="119"/>
      <c r="AN457" s="119"/>
      <c r="AO457" s="126"/>
      <c r="AQ457" s="496"/>
      <c r="AR457" s="497"/>
      <c r="AS457" s="497"/>
      <c r="AT457" s="497"/>
      <c r="AU457" s="128"/>
      <c r="AV457" s="128"/>
      <c r="AW457" s="497"/>
      <c r="AX457" s="122"/>
      <c r="AZ457" s="495"/>
      <c r="BA457" s="483"/>
      <c r="BB457" s="483"/>
      <c r="BC457" s="483"/>
      <c r="BD457" s="115"/>
      <c r="BE457" s="115"/>
      <c r="BF457" s="115"/>
      <c r="BG457" s="115"/>
      <c r="BI457" s="149"/>
      <c r="BL457" s="76" t="str">
        <f t="shared" si="28"/>
        <v>INTW-6-16</v>
      </c>
      <c r="BM457" s="76" t="str">
        <f t="shared" si="29"/>
        <v>INDEX</v>
      </c>
      <c r="BN457" s="387">
        <f t="shared" si="30"/>
        <v>45930</v>
      </c>
      <c r="BO457" s="75" t="str">
        <f t="shared" si="31"/>
        <v>72.9mm #300</v>
      </c>
      <c r="BP457" s="75">
        <f t="shared" si="32"/>
        <v>3920800</v>
      </c>
      <c r="BQ457" s="387" t="str">
        <f t="shared" si="33"/>
        <v>28/08/2025</v>
      </c>
      <c r="BR457" s="93"/>
    </row>
    <row r="458" s="151" customFormat="1" ht="14.4" spans="1:70">
      <c r="A458" s="151" t="s">
        <v>71</v>
      </c>
      <c r="C458" s="463" t="s">
        <v>69</v>
      </c>
      <c r="D458" s="79" t="s">
        <v>470</v>
      </c>
      <c r="E458" s="116" t="s">
        <v>471</v>
      </c>
      <c r="F458" s="79"/>
      <c r="G458" s="486"/>
      <c r="H458" s="116" t="s">
        <v>71</v>
      </c>
      <c r="I458" s="116"/>
      <c r="J458" s="151">
        <v>60000000</v>
      </c>
      <c r="L458" s="498"/>
      <c r="N458" s="464"/>
      <c r="O458" s="464"/>
      <c r="P458" s="74"/>
      <c r="Q458" s="74"/>
      <c r="R458" s="464"/>
      <c r="S458" s="464"/>
      <c r="T458" s="467"/>
      <c r="U458" s="467"/>
      <c r="V458" s="467"/>
      <c r="W458" s="464"/>
      <c r="X458" s="468"/>
      <c r="Y458" s="464"/>
      <c r="Z458" s="470"/>
      <c r="AA458" s="469">
        <f>SUM(AA437:AA447)</f>
        <v>2628889.46053097</v>
      </c>
      <c r="AB458" s="469">
        <f>AB439</f>
        <v>518329.76</v>
      </c>
      <c r="AC458" s="469">
        <f>SUM(AC436:AC441)</f>
        <v>0</v>
      </c>
      <c r="AD458" s="470"/>
      <c r="AE458" s="469"/>
      <c r="AF458" s="469"/>
      <c r="AG458" s="469"/>
      <c r="AH458" s="471"/>
      <c r="AI458" s="74"/>
      <c r="AJ458" s="472"/>
      <c r="AK458" s="473"/>
      <c r="AL458" s="470"/>
      <c r="AM458" s="192">
        <f>SUM(AM437:AM447)</f>
        <v>2893550.4</v>
      </c>
      <c r="AN458" s="192">
        <f>SUM(AN437:AN447)</f>
        <v>2893550.4</v>
      </c>
      <c r="AO458" s="474">
        <f>SUM(AO436:AO447)</f>
        <v>-241129.2</v>
      </c>
      <c r="AP458" s="74"/>
      <c r="AQ458" s="467"/>
      <c r="AR458" s="475"/>
      <c r="AS458" s="475"/>
      <c r="AT458" s="475"/>
      <c r="AU458" s="473"/>
      <c r="AV458" s="473"/>
      <c r="AW458" s="475"/>
      <c r="AX458" s="499"/>
      <c r="AY458" s="500"/>
      <c r="AZ458" s="500"/>
      <c r="BA458" s="500"/>
      <c r="BB458" s="500"/>
      <c r="BC458" s="493">
        <f>SUM(BC437:BC447)</f>
        <v>337580.88</v>
      </c>
      <c r="BD458" s="464"/>
      <c r="BE458" s="464"/>
      <c r="BF458" s="464"/>
      <c r="BG458" s="464"/>
      <c r="BI458" s="494" t="s">
        <v>85</v>
      </c>
      <c r="BJ458" s="74"/>
    </row>
    <row r="459" s="76" customFormat="1" ht="14.4" outlineLevel="1" spans="1:70">
      <c r="A459" s="76" t="s">
        <v>365</v>
      </c>
      <c r="C459" s="387"/>
      <c r="D459" s="76" t="s">
        <v>504</v>
      </c>
      <c r="E459" s="76" t="s">
        <v>505</v>
      </c>
      <c r="F459" s="84"/>
      <c r="G459" s="586">
        <f>445797.04</f>
        <v>445797.04</v>
      </c>
      <c r="H459" s="76" t="s">
        <v>93</v>
      </c>
      <c r="I459" s="84"/>
      <c r="J459" s="129">
        <v>75</v>
      </c>
      <c r="K459" s="368">
        <v>5700</v>
      </c>
      <c r="L459" s="129">
        <f>K459*J459</f>
        <v>427500</v>
      </c>
      <c r="M459" s="129">
        <f>L459*0.3</f>
        <v>128250</v>
      </c>
      <c r="N459" s="76">
        <v>445797.04</v>
      </c>
      <c r="O459" s="76">
        <f>L459-N459</f>
        <v>-18297.04</v>
      </c>
      <c r="P459" s="91"/>
      <c r="Q459" s="91"/>
      <c r="R459" s="75" t="s">
        <v>88</v>
      </c>
      <c r="S459" s="76" t="s">
        <v>506</v>
      </c>
      <c r="T459" s="387">
        <v>45814</v>
      </c>
      <c r="U459" s="387"/>
      <c r="V459" s="387"/>
      <c r="X459" s="133"/>
      <c r="Y459" s="76">
        <v>74.548</v>
      </c>
      <c r="Z459" s="114">
        <v>5700</v>
      </c>
      <c r="AA459" s="114">
        <f>Z459*Y459</f>
        <v>424923.6</v>
      </c>
      <c r="AB459" s="114">
        <v>424923.6</v>
      </c>
      <c r="AC459" s="114"/>
      <c r="AD459" s="140"/>
      <c r="AE459" s="114"/>
      <c r="AF459" s="114"/>
      <c r="AG459" s="114"/>
      <c r="AH459" s="114"/>
      <c r="AI459" s="91"/>
      <c r="AJ459" s="84"/>
      <c r="AK459" s="76">
        <v>74.548</v>
      </c>
      <c r="AL459" s="76">
        <v>5980</v>
      </c>
      <c r="AM459" s="114">
        <f>AL459*AK459</f>
        <v>445797.04</v>
      </c>
      <c r="AN459" s="114">
        <f>N459</f>
        <v>445797.04</v>
      </c>
      <c r="AO459" s="76">
        <f>AM459-AN459</f>
        <v>0</v>
      </c>
      <c r="AQ459" s="387"/>
      <c r="AR459" s="387"/>
      <c r="AS459" s="387"/>
      <c r="AT459" s="387"/>
      <c r="AW459" s="387"/>
      <c r="AX459" s="76">
        <v>74.548</v>
      </c>
      <c r="AY459" s="76">
        <v>5980</v>
      </c>
      <c r="AZ459" s="114">
        <f>AY459*AX459</f>
        <v>445797.04</v>
      </c>
      <c r="BA459" s="114">
        <f>AA459</f>
        <v>424923.6</v>
      </c>
      <c r="BB459" s="127"/>
      <c r="BC459" s="483">
        <f>BB459+BA459-AZ459</f>
        <v>-20873.44</v>
      </c>
      <c r="BJ459" s="91"/>
    </row>
    <row r="460" s="76" customFormat="1" ht="14.4" outlineLevel="1" spans="1:70">
      <c r="A460" s="76" t="s">
        <v>365</v>
      </c>
      <c r="C460" s="387"/>
      <c r="F460" s="84"/>
      <c r="G460" s="586"/>
      <c r="I460" s="84"/>
      <c r="J460" s="129"/>
      <c r="K460" s="368"/>
      <c r="L460" s="129"/>
      <c r="M460" s="129"/>
      <c r="P460" s="91"/>
      <c r="Q460" s="91"/>
      <c r="R460" s="75"/>
      <c r="S460" s="578" t="s">
        <v>288</v>
      </c>
      <c r="T460" s="387"/>
      <c r="U460" s="387"/>
      <c r="V460" s="387"/>
      <c r="X460" s="133"/>
      <c r="Z460" s="114"/>
      <c r="AA460" s="114">
        <v>11609.949551958</v>
      </c>
      <c r="AB460" s="114"/>
      <c r="AC460" s="114"/>
      <c r="AD460" s="140"/>
      <c r="AE460" s="114"/>
      <c r="AF460" s="114"/>
      <c r="AG460" s="114"/>
      <c r="AH460" s="114"/>
      <c r="AI460" s="91"/>
      <c r="AJ460" s="84"/>
      <c r="AM460" s="114"/>
      <c r="AN460" s="114"/>
      <c r="AQ460" s="387"/>
      <c r="AR460" s="387"/>
      <c r="AS460" s="387"/>
      <c r="AT460" s="387"/>
      <c r="AW460" s="387"/>
      <c r="AZ460" s="114"/>
      <c r="BA460" s="114"/>
      <c r="BB460" s="127"/>
      <c r="BC460" s="483"/>
      <c r="BJ460" s="91"/>
    </row>
    <row r="461" s="79" customFormat="1" ht="14.4" spans="1:70">
      <c r="A461" s="79" t="s">
        <v>365</v>
      </c>
      <c r="B461" s="79" t="s">
        <v>440</v>
      </c>
      <c r="C461" s="463">
        <v>45812</v>
      </c>
      <c r="D461" s="79" t="s">
        <v>504</v>
      </c>
      <c r="E461" s="79" t="s">
        <v>505</v>
      </c>
      <c r="F461" s="84"/>
      <c r="G461" s="486"/>
      <c r="H461" s="79" t="s">
        <v>93</v>
      </c>
      <c r="I461" s="84"/>
      <c r="J461" s="194">
        <v>75</v>
      </c>
      <c r="K461" s="194"/>
      <c r="L461" s="194">
        <f>L459</f>
        <v>427500</v>
      </c>
      <c r="M461" s="194"/>
      <c r="N461" s="79">
        <f>N459</f>
        <v>445797.04</v>
      </c>
      <c r="O461" s="79">
        <f>O459</f>
        <v>-18297.04</v>
      </c>
      <c r="P461" s="91"/>
      <c r="Q461" s="91"/>
      <c r="T461" s="463"/>
      <c r="U461" s="463">
        <f>C461+45+7</f>
        <v>45864</v>
      </c>
      <c r="V461" s="463">
        <v>45863</v>
      </c>
      <c r="X461" s="193" t="s">
        <v>355</v>
      </c>
      <c r="Y461" s="79">
        <f>Y459</f>
        <v>74.548</v>
      </c>
      <c r="Z461" s="192"/>
      <c r="AA461" s="192">
        <f>AA459+AA460</f>
        <v>436533.549551958</v>
      </c>
      <c r="AB461" s="192">
        <f>AB459</f>
        <v>424923.6</v>
      </c>
      <c r="AC461" s="192"/>
      <c r="AD461" s="196"/>
      <c r="AE461" s="192"/>
      <c r="AF461" s="192"/>
      <c r="AG461" s="192"/>
      <c r="AH461" s="192"/>
      <c r="AJ461" s="84"/>
      <c r="AK461" s="79">
        <f>AK459</f>
        <v>74.548</v>
      </c>
      <c r="AM461" s="192">
        <f>AM459</f>
        <v>445797.04</v>
      </c>
      <c r="AN461" s="192">
        <f>N461</f>
        <v>445797.04</v>
      </c>
      <c r="AO461" s="79">
        <f>AM461-AN461</f>
        <v>0</v>
      </c>
      <c r="AQ461" s="463">
        <f>V461</f>
        <v>45863</v>
      </c>
      <c r="AR461" s="463"/>
      <c r="AS461" s="463"/>
      <c r="AT461" s="463" t="s">
        <v>298</v>
      </c>
      <c r="AU461" s="79">
        <v>1067866814</v>
      </c>
      <c r="AV461" s="79">
        <v>3</v>
      </c>
      <c r="AW461" s="463">
        <v>45866</v>
      </c>
      <c r="AX461" s="79">
        <f>AX459</f>
        <v>74.548</v>
      </c>
      <c r="AY461" s="79">
        <f>AY459</f>
        <v>5980</v>
      </c>
      <c r="AZ461" s="79">
        <f>AZ459</f>
        <v>445797.04</v>
      </c>
      <c r="BA461" s="79">
        <f>BA459</f>
        <v>424923.6</v>
      </c>
      <c r="BB461" s="150"/>
      <c r="BC461" s="493">
        <f>SUM(BC459)</f>
        <v>-20873.44</v>
      </c>
      <c r="BI461" s="494" t="s">
        <v>85</v>
      </c>
    </row>
    <row r="462" s="76" customFormat="1" ht="15.6" outlineLevel="1" spans="1:70">
      <c r="C462" s="387"/>
      <c r="D462" s="76" t="s">
        <v>507</v>
      </c>
      <c r="E462" s="657" t="s">
        <v>508</v>
      </c>
      <c r="F462" s="84"/>
      <c r="G462" s="479">
        <f>126922.58</f>
        <v>126922.58</v>
      </c>
      <c r="H462" s="76" t="s">
        <v>93</v>
      </c>
      <c r="I462" s="84"/>
      <c r="J462" s="129">
        <v>2.812</v>
      </c>
      <c r="K462" s="129">
        <v>6820</v>
      </c>
      <c r="L462" s="129">
        <f t="shared" ref="L462:L473" si="40">K462*J462</f>
        <v>19177.84</v>
      </c>
      <c r="M462" s="129"/>
      <c r="N462" s="76">
        <v>126922.58</v>
      </c>
      <c r="O462" s="115">
        <f t="shared" ref="O462:O473" si="41">L462-N462</f>
        <v>-107744.74</v>
      </c>
      <c r="P462" s="91"/>
      <c r="Q462" s="91"/>
      <c r="R462" s="75" t="s">
        <v>88</v>
      </c>
      <c r="S462" s="76" t="s">
        <v>509</v>
      </c>
      <c r="T462" s="387">
        <v>45828</v>
      </c>
      <c r="U462" s="387"/>
      <c r="V462" s="387"/>
      <c r="X462" s="133"/>
      <c r="Y462" s="129">
        <v>2.812</v>
      </c>
      <c r="Z462" s="114">
        <v>4700</v>
      </c>
      <c r="AA462" s="114">
        <f t="shared" ref="AA462:AA473" si="42">Z462*Y462</f>
        <v>13216.4</v>
      </c>
      <c r="AB462" s="114">
        <v>13216.4</v>
      </c>
      <c r="AC462" s="114"/>
      <c r="AD462" s="140"/>
      <c r="AE462" s="114"/>
      <c r="AF462" s="114"/>
      <c r="AG462" s="114"/>
      <c r="AH462" s="114"/>
      <c r="AI462" s="91"/>
      <c r="AJ462" s="84"/>
      <c r="AK462" s="129">
        <v>2.812</v>
      </c>
      <c r="AL462" s="129">
        <v>6820</v>
      </c>
      <c r="AM462" s="114">
        <f t="shared" ref="AM462:AM473" si="43">AL462*AK462</f>
        <v>19177.84</v>
      </c>
      <c r="AN462" s="114"/>
      <c r="AP462" s="91"/>
      <c r="AQ462" s="387"/>
      <c r="AR462" s="387"/>
      <c r="AS462" s="387"/>
      <c r="AT462" s="387"/>
      <c r="AW462" s="387"/>
      <c r="AX462" s="129">
        <v>2.812</v>
      </c>
      <c r="AY462" s="129">
        <v>6820</v>
      </c>
      <c r="AZ462" s="114">
        <f t="shared" ref="AZ462:AZ473" si="44">AY462*AX462</f>
        <v>19177.84</v>
      </c>
      <c r="BA462" s="127"/>
      <c r="BB462" s="127"/>
      <c r="BC462" s="127"/>
      <c r="BJ462" s="91"/>
    </row>
    <row r="463" s="76" customFormat="1" ht="15.6" outlineLevel="1" spans="1:70">
      <c r="C463" s="387"/>
      <c r="E463" s="657" t="s">
        <v>510</v>
      </c>
      <c r="F463" s="84"/>
      <c r="G463" s="479"/>
      <c r="H463" s="76" t="s">
        <v>93</v>
      </c>
      <c r="I463" s="84"/>
      <c r="J463" s="129">
        <v>1.475</v>
      </c>
      <c r="K463" s="129">
        <v>5620</v>
      </c>
      <c r="L463" s="129">
        <f t="shared" si="40"/>
        <v>8289.5</v>
      </c>
      <c r="M463" s="129"/>
      <c r="O463" s="115">
        <f t="shared" si="41"/>
        <v>8289.5</v>
      </c>
      <c r="P463" s="91"/>
      <c r="Q463" s="91"/>
      <c r="R463" s="75" t="s">
        <v>88</v>
      </c>
      <c r="S463" s="76" t="s">
        <v>509</v>
      </c>
      <c r="T463" s="387"/>
      <c r="U463" s="387"/>
      <c r="V463" s="387"/>
      <c r="X463" s="133"/>
      <c r="Y463" s="129">
        <v>1.475</v>
      </c>
      <c r="Z463" s="114">
        <v>5140</v>
      </c>
      <c r="AA463" s="114">
        <f t="shared" si="42"/>
        <v>7581.5</v>
      </c>
      <c r="AB463" s="114">
        <v>7581.5</v>
      </c>
      <c r="AC463" s="114"/>
      <c r="AD463" s="140"/>
      <c r="AE463" s="114"/>
      <c r="AF463" s="114"/>
      <c r="AG463" s="114"/>
      <c r="AH463" s="114"/>
      <c r="AI463" s="91"/>
      <c r="AJ463" s="84"/>
      <c r="AK463" s="129">
        <v>1.475</v>
      </c>
      <c r="AL463" s="129">
        <v>5620</v>
      </c>
      <c r="AM463" s="114">
        <f t="shared" si="43"/>
        <v>8289.5</v>
      </c>
      <c r="AN463" s="114"/>
      <c r="AP463" s="91"/>
      <c r="AQ463" s="387"/>
      <c r="AR463" s="387"/>
      <c r="AS463" s="387"/>
      <c r="AT463" s="387"/>
      <c r="AW463" s="387"/>
      <c r="AX463" s="129">
        <v>1.475</v>
      </c>
      <c r="AY463" s="129">
        <v>5620</v>
      </c>
      <c r="AZ463" s="114">
        <f t="shared" si="44"/>
        <v>8289.5</v>
      </c>
      <c r="BA463" s="127"/>
      <c r="BB463" s="127"/>
      <c r="BC463" s="127" t="s">
        <v>511</v>
      </c>
      <c r="BJ463" s="91"/>
    </row>
    <row r="464" s="76" customFormat="1" ht="15.6" outlineLevel="1" spans="1:70">
      <c r="C464" s="387"/>
      <c r="E464" s="657" t="s">
        <v>512</v>
      </c>
      <c r="F464" s="84"/>
      <c r="G464" s="479"/>
      <c r="H464" s="76" t="s">
        <v>93</v>
      </c>
      <c r="I464" s="84"/>
      <c r="J464" s="129">
        <v>2.872</v>
      </c>
      <c r="K464" s="129">
        <v>5280</v>
      </c>
      <c r="L464" s="129">
        <f t="shared" si="40"/>
        <v>15164.16</v>
      </c>
      <c r="M464" s="129"/>
      <c r="O464" s="115">
        <f t="shared" si="41"/>
        <v>15164.16</v>
      </c>
      <c r="P464" s="91"/>
      <c r="Q464" s="91"/>
      <c r="R464" s="75" t="s">
        <v>88</v>
      </c>
      <c r="S464" s="76" t="s">
        <v>509</v>
      </c>
      <c r="T464" s="387"/>
      <c r="U464" s="387"/>
      <c r="V464" s="387"/>
      <c r="X464" s="133"/>
      <c r="Y464" s="129">
        <v>2.872</v>
      </c>
      <c r="Z464" s="114">
        <v>4800</v>
      </c>
      <c r="AA464" s="114">
        <f t="shared" si="42"/>
        <v>13785.6</v>
      </c>
      <c r="AB464" s="114">
        <v>13785.6</v>
      </c>
      <c r="AC464" s="114"/>
      <c r="AD464" s="140"/>
      <c r="AE464" s="114"/>
      <c r="AF464" s="114"/>
      <c r="AG464" s="114"/>
      <c r="AH464" s="114"/>
      <c r="AI464" s="91"/>
      <c r="AJ464" s="84"/>
      <c r="AK464" s="129">
        <v>2.872</v>
      </c>
      <c r="AL464" s="129">
        <v>5280</v>
      </c>
      <c r="AM464" s="114">
        <f t="shared" si="43"/>
        <v>15164.16</v>
      </c>
      <c r="AN464" s="114"/>
      <c r="AP464" s="91"/>
      <c r="AQ464" s="387"/>
      <c r="AR464" s="387"/>
      <c r="AS464" s="387"/>
      <c r="AT464" s="387"/>
      <c r="AW464" s="387"/>
      <c r="AX464" s="129">
        <v>2.872</v>
      </c>
      <c r="AY464" s="129">
        <v>5280</v>
      </c>
      <c r="AZ464" s="114">
        <f t="shared" si="44"/>
        <v>15164.16</v>
      </c>
      <c r="BA464" s="127"/>
      <c r="BB464" s="127"/>
      <c r="BC464" s="127"/>
      <c r="BJ464" s="91"/>
    </row>
    <row r="465" s="76" customFormat="1" ht="15.6" outlineLevel="1" spans="1:62">
      <c r="C465" s="387"/>
      <c r="E465" s="657" t="s">
        <v>513</v>
      </c>
      <c r="F465" s="84"/>
      <c r="G465" s="479"/>
      <c r="H465" s="76" t="s">
        <v>93</v>
      </c>
      <c r="I465" s="84"/>
      <c r="J465" s="129">
        <v>1.197</v>
      </c>
      <c r="K465" s="129">
        <v>5080</v>
      </c>
      <c r="L465" s="129">
        <f t="shared" si="40"/>
        <v>6080.76</v>
      </c>
      <c r="M465" s="129"/>
      <c r="O465" s="115">
        <f t="shared" si="41"/>
        <v>6080.76</v>
      </c>
      <c r="P465" s="91"/>
      <c r="Q465" s="91"/>
      <c r="R465" s="75" t="s">
        <v>88</v>
      </c>
      <c r="S465" s="76" t="s">
        <v>509</v>
      </c>
      <c r="T465" s="387"/>
      <c r="U465" s="387"/>
      <c r="V465" s="387"/>
      <c r="X465" s="133"/>
      <c r="Y465" s="129">
        <v>1.197</v>
      </c>
      <c r="Z465" s="114">
        <v>4600</v>
      </c>
      <c r="AA465" s="114">
        <f t="shared" si="42"/>
        <v>5506.2</v>
      </c>
      <c r="AB465" s="114">
        <v>5506.2</v>
      </c>
      <c r="AC465" s="114"/>
      <c r="AD465" s="140"/>
      <c r="AE465" s="114"/>
      <c r="AF465" s="114"/>
      <c r="AG465" s="114"/>
      <c r="AH465" s="114"/>
      <c r="AI465" s="91"/>
      <c r="AJ465" s="84"/>
      <c r="AK465" s="129">
        <v>1.197</v>
      </c>
      <c r="AL465" s="129">
        <v>5080</v>
      </c>
      <c r="AM465" s="114">
        <f t="shared" si="43"/>
        <v>6080.76</v>
      </c>
      <c r="AN465" s="114"/>
      <c r="AP465" s="91"/>
      <c r="AQ465" s="387"/>
      <c r="AR465" s="387"/>
      <c r="AS465" s="387"/>
      <c r="AT465" s="387"/>
      <c r="AW465" s="387"/>
      <c r="AX465" s="129">
        <v>1.197</v>
      </c>
      <c r="AY465" s="129">
        <v>5080</v>
      </c>
      <c r="AZ465" s="114">
        <f t="shared" si="44"/>
        <v>6080.76</v>
      </c>
      <c r="BA465" s="127"/>
      <c r="BB465" s="127"/>
      <c r="BC465" s="127"/>
      <c r="BJ465" s="91"/>
    </row>
    <row r="466" s="76" customFormat="1" ht="15.6" outlineLevel="1" spans="1:62">
      <c r="C466" s="387"/>
      <c r="E466" s="657" t="s">
        <v>514</v>
      </c>
      <c r="F466" s="84"/>
      <c r="G466" s="479"/>
      <c r="H466" s="76" t="s">
        <v>93</v>
      </c>
      <c r="I466" s="84"/>
      <c r="J466" s="129">
        <v>1.501</v>
      </c>
      <c r="K466" s="129">
        <v>6270</v>
      </c>
      <c r="L466" s="129">
        <f t="shared" si="40"/>
        <v>9411.27</v>
      </c>
      <c r="M466" s="129"/>
      <c r="O466" s="115">
        <f t="shared" si="41"/>
        <v>9411.27</v>
      </c>
      <c r="P466" s="91"/>
      <c r="Q466" s="91"/>
      <c r="R466" s="75" t="s">
        <v>88</v>
      </c>
      <c r="S466" s="76" t="s">
        <v>509</v>
      </c>
      <c r="U466" s="387"/>
      <c r="V466" s="387"/>
      <c r="X466" s="133"/>
      <c r="Y466" s="129">
        <v>1.501</v>
      </c>
      <c r="Z466" s="114">
        <v>4800</v>
      </c>
      <c r="AA466" s="114">
        <f t="shared" si="42"/>
        <v>7204.8</v>
      </c>
      <c r="AB466" s="114">
        <v>7204.8</v>
      </c>
      <c r="AC466" s="114"/>
      <c r="AD466" s="140"/>
      <c r="AE466" s="114"/>
      <c r="AF466" s="114"/>
      <c r="AG466" s="114"/>
      <c r="AH466" s="114"/>
      <c r="AI466" s="91"/>
      <c r="AJ466" s="84"/>
      <c r="AK466" s="129">
        <v>1.501</v>
      </c>
      <c r="AL466" s="129">
        <v>6270</v>
      </c>
      <c r="AM466" s="114">
        <f t="shared" si="43"/>
        <v>9411.27</v>
      </c>
      <c r="AN466" s="114"/>
      <c r="AP466" s="91"/>
      <c r="AQ466" s="387"/>
      <c r="AR466" s="387"/>
      <c r="AS466" s="387"/>
      <c r="AT466" s="387"/>
      <c r="AW466" s="387"/>
      <c r="AX466" s="129">
        <v>1.501</v>
      </c>
      <c r="AY466" s="129">
        <v>6270</v>
      </c>
      <c r="AZ466" s="114">
        <f t="shared" si="44"/>
        <v>9411.27</v>
      </c>
      <c r="BA466" s="127"/>
      <c r="BB466" s="127"/>
      <c r="BC466" s="127"/>
      <c r="BJ466" s="91"/>
    </row>
    <row r="467" s="76" customFormat="1" ht="15.6" outlineLevel="1" spans="1:62">
      <c r="C467" s="387"/>
      <c r="E467" s="657" t="s">
        <v>515</v>
      </c>
      <c r="F467" s="84"/>
      <c r="G467" s="479"/>
      <c r="H467" s="76" t="s">
        <v>93</v>
      </c>
      <c r="I467" s="84"/>
      <c r="J467" s="129">
        <v>1.348</v>
      </c>
      <c r="K467" s="129">
        <v>5280</v>
      </c>
      <c r="L467" s="129">
        <f t="shared" si="40"/>
        <v>7117.44</v>
      </c>
      <c r="M467" s="129"/>
      <c r="O467" s="115">
        <f t="shared" si="41"/>
        <v>7117.44</v>
      </c>
      <c r="P467" s="91"/>
      <c r="Q467" s="91"/>
      <c r="R467" s="75" t="s">
        <v>88</v>
      </c>
      <c r="S467" s="76" t="s">
        <v>509</v>
      </c>
      <c r="T467" s="387"/>
      <c r="U467" s="387"/>
      <c r="V467" s="387"/>
      <c r="X467" s="133"/>
      <c r="Y467" s="129">
        <v>2.696</v>
      </c>
      <c r="Z467" s="114">
        <v>4800</v>
      </c>
      <c r="AA467" s="114">
        <f t="shared" si="42"/>
        <v>12940.8</v>
      </c>
      <c r="AB467" s="114">
        <v>12940.8</v>
      </c>
      <c r="AC467" s="114"/>
      <c r="AD467" s="140"/>
      <c r="AE467" s="114"/>
      <c r="AF467" s="114"/>
      <c r="AG467" s="114"/>
      <c r="AH467" s="114"/>
      <c r="AI467" s="91"/>
      <c r="AJ467" s="84"/>
      <c r="AK467" s="129">
        <v>1.348</v>
      </c>
      <c r="AL467" s="129">
        <v>5280</v>
      </c>
      <c r="AM467" s="114">
        <f t="shared" si="43"/>
        <v>7117.44</v>
      </c>
      <c r="AN467" s="114"/>
      <c r="AP467" s="91"/>
      <c r="AQ467" s="387"/>
      <c r="AR467" s="387"/>
      <c r="AS467" s="387"/>
      <c r="AT467" s="387"/>
      <c r="AW467" s="387"/>
      <c r="AX467" s="129">
        <v>1.348</v>
      </c>
      <c r="AY467" s="129">
        <v>5280</v>
      </c>
      <c r="AZ467" s="114">
        <f t="shared" si="44"/>
        <v>7117.44</v>
      </c>
      <c r="BA467" s="127"/>
      <c r="BB467" s="127"/>
      <c r="BC467" s="127"/>
      <c r="BJ467" s="91"/>
    </row>
    <row r="468" s="76" customFormat="1" ht="15.6" outlineLevel="1" spans="1:62">
      <c r="C468" s="387"/>
      <c r="E468" s="657" t="s">
        <v>516</v>
      </c>
      <c r="F468" s="84"/>
      <c r="G468" s="479"/>
      <c r="H468" s="76" t="s">
        <v>93</v>
      </c>
      <c r="I468" s="84"/>
      <c r="J468" s="129">
        <v>2.696</v>
      </c>
      <c r="K468" s="129">
        <v>5080</v>
      </c>
      <c r="L468" s="129">
        <f t="shared" si="40"/>
        <v>13695.68</v>
      </c>
      <c r="M468" s="129"/>
      <c r="O468" s="115">
        <f t="shared" si="41"/>
        <v>13695.68</v>
      </c>
      <c r="P468" s="91"/>
      <c r="Q468" s="91"/>
      <c r="R468" s="75" t="s">
        <v>88</v>
      </c>
      <c r="S468" s="76" t="s">
        <v>509</v>
      </c>
      <c r="T468" s="387"/>
      <c r="U468" s="387"/>
      <c r="V468" s="387"/>
      <c r="X468" s="133"/>
      <c r="Y468" s="129">
        <v>1.348</v>
      </c>
      <c r="Z468" s="114">
        <v>4600</v>
      </c>
      <c r="AA468" s="114">
        <f t="shared" si="42"/>
        <v>6200.8</v>
      </c>
      <c r="AB468" s="114">
        <v>6200.8</v>
      </c>
      <c r="AC468" s="114"/>
      <c r="AD468" s="140"/>
      <c r="AE468" s="114"/>
      <c r="AF468" s="114"/>
      <c r="AG468" s="114"/>
      <c r="AH468" s="114"/>
      <c r="AI468" s="91"/>
      <c r="AJ468" s="84"/>
      <c r="AK468" s="129">
        <v>2.696</v>
      </c>
      <c r="AL468" s="129">
        <v>5080</v>
      </c>
      <c r="AM468" s="114">
        <f t="shared" si="43"/>
        <v>13695.68</v>
      </c>
      <c r="AN468" s="114"/>
      <c r="AP468" s="91"/>
      <c r="AQ468" s="387"/>
      <c r="AR468" s="387"/>
      <c r="AS468" s="387"/>
      <c r="AT468" s="387"/>
      <c r="AW468" s="387"/>
      <c r="AX468" s="129">
        <v>2.696</v>
      </c>
      <c r="AY468" s="129">
        <v>5080</v>
      </c>
      <c r="AZ468" s="114">
        <f t="shared" si="44"/>
        <v>13695.68</v>
      </c>
      <c r="BA468" s="127"/>
      <c r="BB468" s="127"/>
      <c r="BC468" s="127"/>
      <c r="BJ468" s="91"/>
    </row>
    <row r="469" s="76" customFormat="1" ht="15.6" outlineLevel="1" spans="1:62">
      <c r="C469" s="387"/>
      <c r="E469" s="657" t="s">
        <v>517</v>
      </c>
      <c r="F469" s="84"/>
      <c r="G469" s="479"/>
      <c r="H469" s="76" t="s">
        <v>93</v>
      </c>
      <c r="I469" s="84"/>
      <c r="J469" s="129">
        <v>1.371</v>
      </c>
      <c r="K469" s="129">
        <v>5080</v>
      </c>
      <c r="L469" s="129">
        <f t="shared" si="40"/>
        <v>6964.68</v>
      </c>
      <c r="M469" s="129"/>
      <c r="O469" s="115">
        <f t="shared" si="41"/>
        <v>6964.68</v>
      </c>
      <c r="P469" s="91"/>
      <c r="Q469" s="91"/>
      <c r="R469" s="75" t="s">
        <v>88</v>
      </c>
      <c r="S469" s="76" t="s">
        <v>509</v>
      </c>
      <c r="T469" s="387"/>
      <c r="U469" s="387"/>
      <c r="V469" s="387"/>
      <c r="X469" s="133"/>
      <c r="Y469" s="129">
        <v>1.371</v>
      </c>
      <c r="Z469" s="114">
        <v>4600</v>
      </c>
      <c r="AA469" s="114">
        <f t="shared" si="42"/>
        <v>6306.6</v>
      </c>
      <c r="AB469" s="114">
        <v>6306.6</v>
      </c>
      <c r="AC469" s="114"/>
      <c r="AD469" s="140"/>
      <c r="AE469" s="114"/>
      <c r="AF469" s="114"/>
      <c r="AG469" s="114"/>
      <c r="AH469" s="114"/>
      <c r="AI469" s="91"/>
      <c r="AJ469" s="84"/>
      <c r="AK469" s="129">
        <v>1.371</v>
      </c>
      <c r="AL469" s="129">
        <v>5080</v>
      </c>
      <c r="AM469" s="114">
        <f t="shared" si="43"/>
        <v>6964.68</v>
      </c>
      <c r="AN469" s="114"/>
      <c r="AP469" s="91"/>
      <c r="AQ469" s="387"/>
      <c r="AR469" s="387"/>
      <c r="AS469" s="387"/>
      <c r="AT469" s="387"/>
      <c r="AW469" s="387"/>
      <c r="AX469" s="129">
        <v>1.371</v>
      </c>
      <c r="AY469" s="129">
        <v>5080</v>
      </c>
      <c r="AZ469" s="114">
        <f t="shared" si="44"/>
        <v>6964.68</v>
      </c>
      <c r="BA469" s="127"/>
      <c r="BB469" s="127"/>
      <c r="BC469" s="127"/>
      <c r="BJ469" s="91"/>
    </row>
    <row r="470" s="76" customFormat="1" ht="15.6" outlineLevel="1" spans="1:62">
      <c r="C470" s="387"/>
      <c r="E470" s="657" t="s">
        <v>518</v>
      </c>
      <c r="F470" s="84"/>
      <c r="G470" s="479"/>
      <c r="H470" s="76" t="s">
        <v>93</v>
      </c>
      <c r="I470" s="84"/>
      <c r="J470" s="129">
        <v>1.525</v>
      </c>
      <c r="K470" s="129">
        <v>6070</v>
      </c>
      <c r="L470" s="129">
        <f t="shared" si="40"/>
        <v>9256.75</v>
      </c>
      <c r="M470" s="129"/>
      <c r="O470" s="115">
        <f t="shared" si="41"/>
        <v>9256.75</v>
      </c>
      <c r="P470" s="91"/>
      <c r="Q470" s="91"/>
      <c r="R470" s="75" t="s">
        <v>88</v>
      </c>
      <c r="S470" s="76" t="s">
        <v>509</v>
      </c>
      <c r="T470" s="387"/>
      <c r="U470" s="387"/>
      <c r="V470" s="387"/>
      <c r="X470" s="133"/>
      <c r="Y470" s="129">
        <v>1.525</v>
      </c>
      <c r="Z470" s="114">
        <v>4600</v>
      </c>
      <c r="AA470" s="114">
        <f t="shared" si="42"/>
        <v>7015</v>
      </c>
      <c r="AB470" s="114">
        <v>7015</v>
      </c>
      <c r="AC470" s="114"/>
      <c r="AD470" s="140"/>
      <c r="AE470" s="114"/>
      <c r="AF470" s="114"/>
      <c r="AG470" s="114"/>
      <c r="AH470" s="114"/>
      <c r="AI470" s="91"/>
      <c r="AJ470" s="84"/>
      <c r="AK470" s="129">
        <v>1.525</v>
      </c>
      <c r="AL470" s="129">
        <v>6070</v>
      </c>
      <c r="AM470" s="114">
        <f t="shared" si="43"/>
        <v>9256.75</v>
      </c>
      <c r="AN470" s="114"/>
      <c r="AP470" s="91"/>
      <c r="AQ470" s="387"/>
      <c r="AR470" s="387"/>
      <c r="AS470" s="387"/>
      <c r="AT470" s="387"/>
      <c r="AW470" s="387"/>
      <c r="AX470" s="129">
        <v>1.525</v>
      </c>
      <c r="AY470" s="129">
        <v>6070</v>
      </c>
      <c r="AZ470" s="114">
        <f t="shared" si="44"/>
        <v>9256.75</v>
      </c>
      <c r="BA470" s="127"/>
      <c r="BB470" s="127"/>
      <c r="BC470" s="127"/>
      <c r="BJ470" s="91"/>
    </row>
    <row r="471" s="76" customFormat="1" ht="15.6" outlineLevel="1" spans="1:62">
      <c r="C471" s="387"/>
      <c r="E471" s="657" t="s">
        <v>519</v>
      </c>
      <c r="F471" s="84"/>
      <c r="G471" s="479"/>
      <c r="H471" s="76" t="s">
        <v>93</v>
      </c>
      <c r="I471" s="84"/>
      <c r="J471" s="129">
        <v>2.966</v>
      </c>
      <c r="K471" s="129">
        <v>5080</v>
      </c>
      <c r="L471" s="129">
        <f t="shared" si="40"/>
        <v>15067.28</v>
      </c>
      <c r="M471" s="129"/>
      <c r="O471" s="115">
        <f t="shared" si="41"/>
        <v>15067.28</v>
      </c>
      <c r="P471" s="91"/>
      <c r="Q471" s="91"/>
      <c r="R471" s="75" t="s">
        <v>88</v>
      </c>
      <c r="S471" s="76" t="s">
        <v>509</v>
      </c>
      <c r="T471" s="387"/>
      <c r="U471" s="387"/>
      <c r="V471" s="387"/>
      <c r="X471" s="133"/>
      <c r="Y471" s="129">
        <v>2.966</v>
      </c>
      <c r="Z471" s="114">
        <v>4600</v>
      </c>
      <c r="AA471" s="114">
        <f t="shared" si="42"/>
        <v>13643.6</v>
      </c>
      <c r="AB471" s="114">
        <v>13643.6</v>
      </c>
      <c r="AC471" s="114"/>
      <c r="AD471" s="140"/>
      <c r="AE471" s="114"/>
      <c r="AF471" s="114"/>
      <c r="AG471" s="114"/>
      <c r="AH471" s="114"/>
      <c r="AI471" s="91"/>
      <c r="AJ471" s="84"/>
      <c r="AK471" s="129">
        <v>2.966</v>
      </c>
      <c r="AL471" s="129">
        <v>5080</v>
      </c>
      <c r="AM471" s="114">
        <f t="shared" si="43"/>
        <v>15067.28</v>
      </c>
      <c r="AN471" s="114"/>
      <c r="AP471" s="91"/>
      <c r="AQ471" s="387"/>
      <c r="AR471" s="387"/>
      <c r="AS471" s="387"/>
      <c r="AT471" s="387"/>
      <c r="AW471" s="387"/>
      <c r="AX471" s="129">
        <v>2.966</v>
      </c>
      <c r="AY471" s="129">
        <v>5080</v>
      </c>
      <c r="AZ471" s="114">
        <f t="shared" si="44"/>
        <v>15067.28</v>
      </c>
      <c r="BA471" s="127"/>
      <c r="BB471" s="127"/>
      <c r="BC471" s="127"/>
      <c r="BJ471" s="91"/>
    </row>
    <row r="472" s="76" customFormat="1" ht="15.6" outlineLevel="1" spans="1:62">
      <c r="C472" s="387"/>
      <c r="E472" s="657" t="s">
        <v>520</v>
      </c>
      <c r="F472" s="84"/>
      <c r="G472" s="479"/>
      <c r="H472" s="76" t="s">
        <v>93</v>
      </c>
      <c r="I472" s="84"/>
      <c r="J472" s="129">
        <v>1.5</v>
      </c>
      <c r="K472" s="129">
        <v>5280</v>
      </c>
      <c r="L472" s="129">
        <f t="shared" si="40"/>
        <v>7920</v>
      </c>
      <c r="M472" s="129"/>
      <c r="O472" s="115">
        <f t="shared" si="41"/>
        <v>7920</v>
      </c>
      <c r="P472" s="91"/>
      <c r="Q472" s="91"/>
      <c r="R472" s="75" t="s">
        <v>88</v>
      </c>
      <c r="S472" s="76" t="s">
        <v>509</v>
      </c>
      <c r="T472" s="387"/>
      <c r="U472" s="387"/>
      <c r="V472" s="387"/>
      <c r="X472" s="133"/>
      <c r="Y472" s="129">
        <v>1.5</v>
      </c>
      <c r="Z472" s="114">
        <v>4800</v>
      </c>
      <c r="AA472" s="114">
        <f t="shared" si="42"/>
        <v>7200</v>
      </c>
      <c r="AB472" s="114">
        <v>7200</v>
      </c>
      <c r="AC472" s="114"/>
      <c r="AD472" s="140"/>
      <c r="AE472" s="114"/>
      <c r="AF472" s="114"/>
      <c r="AG472" s="114"/>
      <c r="AH472" s="114"/>
      <c r="AI472" s="91"/>
      <c r="AJ472" s="84"/>
      <c r="AK472" s="129">
        <v>1.5</v>
      </c>
      <c r="AL472" s="129">
        <v>5280</v>
      </c>
      <c r="AM472" s="114">
        <f t="shared" si="43"/>
        <v>7920</v>
      </c>
      <c r="AN472" s="114"/>
      <c r="AP472" s="91"/>
      <c r="AQ472" s="387"/>
      <c r="AR472" s="387"/>
      <c r="AS472" s="387"/>
      <c r="AT472" s="387"/>
      <c r="AW472" s="387"/>
      <c r="AX472" s="129">
        <v>1.5</v>
      </c>
      <c r="AY472" s="129">
        <v>5280</v>
      </c>
      <c r="AZ472" s="114">
        <f t="shared" si="44"/>
        <v>7920</v>
      </c>
      <c r="BA472" s="127"/>
      <c r="BB472" s="127"/>
      <c r="BC472" s="127"/>
      <c r="BJ472" s="91"/>
    </row>
    <row r="473" s="76" customFormat="1" ht="15.6" outlineLevel="1" spans="1:62">
      <c r="C473" s="387"/>
      <c r="E473" s="657" t="s">
        <v>521</v>
      </c>
      <c r="F473" s="84"/>
      <c r="G473" s="479"/>
      <c r="H473" s="76" t="s">
        <v>93</v>
      </c>
      <c r="I473" s="84"/>
      <c r="J473" s="129">
        <v>1.446</v>
      </c>
      <c r="K473" s="129">
        <v>6070</v>
      </c>
      <c r="L473" s="129">
        <f t="shared" si="40"/>
        <v>8777.22</v>
      </c>
      <c r="M473" s="129"/>
      <c r="O473" s="115">
        <f t="shared" si="41"/>
        <v>8777.22</v>
      </c>
      <c r="P473" s="91"/>
      <c r="Q473" s="91"/>
      <c r="R473" s="75" t="s">
        <v>88</v>
      </c>
      <c r="S473" s="76" t="s">
        <v>509</v>
      </c>
      <c r="T473" s="387"/>
      <c r="U473" s="387"/>
      <c r="V473" s="387"/>
      <c r="X473" s="133"/>
      <c r="Y473" s="129">
        <v>1.446</v>
      </c>
      <c r="Z473" s="114">
        <v>4800</v>
      </c>
      <c r="AA473" s="114">
        <f t="shared" si="42"/>
        <v>6940.8</v>
      </c>
      <c r="AB473" s="114">
        <v>6940.8</v>
      </c>
      <c r="AC473" s="114"/>
      <c r="AD473" s="140"/>
      <c r="AE473" s="114"/>
      <c r="AF473" s="114"/>
      <c r="AG473" s="114"/>
      <c r="AH473" s="114"/>
      <c r="AI473" s="91"/>
      <c r="AJ473" s="84"/>
      <c r="AK473" s="129">
        <v>1.446</v>
      </c>
      <c r="AL473" s="129">
        <v>6070</v>
      </c>
      <c r="AM473" s="114">
        <f t="shared" si="43"/>
        <v>8777.22</v>
      </c>
      <c r="AN473" s="114"/>
      <c r="AP473" s="91"/>
      <c r="AQ473" s="387"/>
      <c r="AR473" s="387"/>
      <c r="AS473" s="387"/>
      <c r="AT473" s="387"/>
      <c r="AW473" s="387"/>
      <c r="AX473" s="129">
        <v>1.446</v>
      </c>
      <c r="AY473" s="129">
        <v>6070</v>
      </c>
      <c r="AZ473" s="114">
        <f t="shared" si="44"/>
        <v>8777.22</v>
      </c>
      <c r="BA473" s="127"/>
      <c r="BB473" s="127"/>
      <c r="BC473" s="127"/>
      <c r="BJ473" s="91"/>
    </row>
    <row r="474" s="76" customFormat="1" ht="15.6" outlineLevel="1" spans="1:62">
      <c r="C474" s="387"/>
      <c r="E474" s="657"/>
      <c r="F474" s="84"/>
      <c r="G474" s="479"/>
      <c r="I474" s="84"/>
      <c r="J474" s="129"/>
      <c r="K474" s="129"/>
      <c r="L474" s="129"/>
      <c r="M474" s="129"/>
      <c r="O474" s="115"/>
      <c r="P474" s="91"/>
      <c r="Q474" s="91"/>
      <c r="R474" s="75"/>
      <c r="S474" s="578" t="s">
        <v>288</v>
      </c>
      <c r="T474" s="387"/>
      <c r="U474" s="387"/>
      <c r="V474" s="387"/>
      <c r="X474" s="133"/>
      <c r="Y474" s="129"/>
      <c r="Z474" s="114"/>
      <c r="AA474" s="114">
        <v>3919.89182183116</v>
      </c>
      <c r="AB474" s="114"/>
      <c r="AC474" s="114"/>
      <c r="AD474" s="140"/>
      <c r="AE474" s="114"/>
      <c r="AF474" s="114"/>
      <c r="AG474" s="114"/>
      <c r="AH474" s="114"/>
      <c r="AI474" s="91"/>
      <c r="AJ474" s="84"/>
      <c r="AK474" s="129"/>
      <c r="AL474" s="129"/>
      <c r="AM474" s="114"/>
      <c r="AN474" s="114"/>
      <c r="AP474" s="91"/>
      <c r="AQ474" s="387"/>
      <c r="AR474" s="387"/>
      <c r="AS474" s="387"/>
      <c r="AT474" s="387"/>
      <c r="AW474" s="387"/>
      <c r="AX474" s="129"/>
      <c r="AY474" s="129"/>
      <c r="AZ474" s="114"/>
      <c r="BA474" s="127"/>
      <c r="BB474" s="127"/>
      <c r="BC474" s="127"/>
      <c r="BJ474" s="91"/>
    </row>
    <row r="475" s="79" customFormat="1" ht="14.4" spans="1:62">
      <c r="A475" s="79" t="s">
        <v>522</v>
      </c>
      <c r="C475" s="463"/>
      <c r="D475" s="79" t="s">
        <v>507</v>
      </c>
      <c r="F475" s="84"/>
      <c r="G475" s="486"/>
      <c r="H475" s="79" t="str">
        <f>H462</f>
        <v>TW</v>
      </c>
      <c r="I475" s="84"/>
      <c r="J475" s="194">
        <f>SUM(J462:J473)</f>
        <v>22.709</v>
      </c>
      <c r="K475" s="194"/>
      <c r="L475" s="194">
        <f>SUM(L462:L473)</f>
        <v>126922.58</v>
      </c>
      <c r="M475" s="194"/>
      <c r="N475" s="79">
        <f>SUM(N462:N473)</f>
        <v>126922.58</v>
      </c>
      <c r="O475" s="79">
        <f>SUM(O462:O473)</f>
        <v>0</v>
      </c>
      <c r="P475" s="91"/>
      <c r="Q475" s="91"/>
      <c r="T475" s="463"/>
      <c r="U475" s="463"/>
      <c r="V475" s="463" t="s">
        <v>436</v>
      </c>
      <c r="X475" s="193" t="s">
        <v>355</v>
      </c>
      <c r="Y475" s="79">
        <f>SUM(Y462:Y473)</f>
        <v>22.709</v>
      </c>
      <c r="Z475" s="192"/>
      <c r="AA475" s="192">
        <f>SUM(AA462:AA474)</f>
        <v>111461.991821831</v>
      </c>
      <c r="AB475" s="192">
        <v>107542.1</v>
      </c>
      <c r="AC475" s="192"/>
      <c r="AD475" s="196"/>
      <c r="AE475" s="192"/>
      <c r="AF475" s="192"/>
      <c r="AG475" s="192"/>
      <c r="AH475" s="192"/>
      <c r="AJ475" s="84"/>
      <c r="AK475" s="196">
        <f>SUM(AK462:AK473)</f>
        <v>22.709</v>
      </c>
      <c r="AM475" s="192">
        <f>SUM(AM462:AM473)</f>
        <v>126922.58</v>
      </c>
      <c r="AN475" s="192">
        <f>N475</f>
        <v>126922.58</v>
      </c>
      <c r="AO475" s="192">
        <f>AM475-AN475</f>
        <v>0</v>
      </c>
      <c r="AQ475" s="463" t="s">
        <v>436</v>
      </c>
      <c r="AR475" s="463"/>
      <c r="AS475" s="463"/>
      <c r="AT475" s="463" t="s">
        <v>298</v>
      </c>
      <c r="AU475" s="79">
        <v>1067438374</v>
      </c>
      <c r="AV475" s="79">
        <v>1</v>
      </c>
      <c r="AW475" s="463">
        <v>45846</v>
      </c>
      <c r="AX475" s="194"/>
      <c r="AY475" s="192"/>
      <c r="AZ475" s="150">
        <f>SUM(AZ462:AZ473)</f>
        <v>126922.58</v>
      </c>
      <c r="BA475" s="150">
        <f>AN475</f>
        <v>126922.58</v>
      </c>
      <c r="BB475" s="150"/>
      <c r="BC475" s="493">
        <f>SUM(BC467:BC473)</f>
        <v>0</v>
      </c>
      <c r="BI475" s="494" t="s">
        <v>85</v>
      </c>
    </row>
    <row r="476" s="76" customFormat="1" ht="14.4" outlineLevel="1" spans="1:62">
      <c r="C476" s="387"/>
      <c r="D476" s="76" t="s">
        <v>523</v>
      </c>
      <c r="E476" s="76" t="s">
        <v>524</v>
      </c>
      <c r="F476" s="84"/>
      <c r="G476" s="479"/>
      <c r="H476" s="76" t="s">
        <v>75</v>
      </c>
      <c r="I476" s="84"/>
      <c r="J476" s="129">
        <v>2.994</v>
      </c>
      <c r="K476" s="129">
        <v>8380</v>
      </c>
      <c r="L476" s="129">
        <f t="shared" ref="L476:L489" si="45">K476*J476</f>
        <v>25089.72</v>
      </c>
      <c r="M476" s="129"/>
      <c r="O476" s="115">
        <f t="shared" ref="O476:O489" si="46">L476-N476</f>
        <v>25089.72</v>
      </c>
      <c r="P476" s="91"/>
      <c r="Q476" s="91"/>
      <c r="R476" s="75" t="s">
        <v>88</v>
      </c>
      <c r="S476" s="76" t="s">
        <v>525</v>
      </c>
      <c r="T476" s="387">
        <v>45829</v>
      </c>
      <c r="U476" s="387"/>
      <c r="V476" s="387"/>
      <c r="X476" s="133"/>
      <c r="Y476" s="129">
        <v>2.994</v>
      </c>
      <c r="Z476" s="114">
        <v>5950</v>
      </c>
      <c r="AA476" s="114">
        <f t="shared" ref="AA476:AA489" si="47">Z476*Y476</f>
        <v>17814.3</v>
      </c>
      <c r="AB476" s="114">
        <v>17814.3</v>
      </c>
      <c r="AC476" s="114"/>
      <c r="AD476" s="140"/>
      <c r="AE476" s="114"/>
      <c r="AF476" s="114"/>
      <c r="AG476" s="114"/>
      <c r="AH476" s="114"/>
      <c r="AI476" s="91"/>
      <c r="AJ476" s="84"/>
      <c r="AK476" s="129">
        <v>2.994</v>
      </c>
      <c r="AL476" s="129">
        <v>8380</v>
      </c>
      <c r="AM476" s="114">
        <f t="shared" ref="AM476:AM489" si="48">AL476*AK476</f>
        <v>25089.72</v>
      </c>
      <c r="AN476" s="114"/>
      <c r="AQ476" s="387"/>
      <c r="AR476" s="387"/>
      <c r="AS476" s="387"/>
      <c r="AT476" s="387"/>
      <c r="AW476" s="387"/>
      <c r="AX476" s="129">
        <v>2.994</v>
      </c>
      <c r="AY476" s="129">
        <v>8380</v>
      </c>
      <c r="AZ476" s="114">
        <f t="shared" ref="AZ476:AZ489" si="49">AY476*AX476</f>
        <v>25089.72</v>
      </c>
      <c r="BA476" s="127"/>
      <c r="BB476" s="127"/>
      <c r="BC476" s="127"/>
      <c r="BJ476" s="91"/>
    </row>
    <row r="477" s="76" customFormat="1" ht="14.4" outlineLevel="1" spans="1:62">
      <c r="C477" s="387"/>
      <c r="E477" s="76" t="s">
        <v>526</v>
      </c>
      <c r="F477" s="84"/>
      <c r="G477" s="479"/>
      <c r="H477" s="76" t="s">
        <v>75</v>
      </c>
      <c r="I477" s="84"/>
      <c r="J477" s="129">
        <v>1.414</v>
      </c>
      <c r="K477" s="129">
        <v>5500</v>
      </c>
      <c r="L477" s="129">
        <f t="shared" si="45"/>
        <v>7777</v>
      </c>
      <c r="M477" s="129"/>
      <c r="O477" s="115">
        <f t="shared" si="46"/>
        <v>7777</v>
      </c>
      <c r="P477" s="91"/>
      <c r="Q477" s="91"/>
      <c r="R477" s="75" t="s">
        <v>88</v>
      </c>
      <c r="S477" s="76" t="s">
        <v>525</v>
      </c>
      <c r="T477" s="387"/>
      <c r="U477" s="387"/>
      <c r="V477" s="387"/>
      <c r="X477" s="133"/>
      <c r="Y477" s="129">
        <v>1.414</v>
      </c>
      <c r="Z477" s="114">
        <v>5200</v>
      </c>
      <c r="AA477" s="114">
        <f t="shared" si="47"/>
        <v>7352.8</v>
      </c>
      <c r="AB477" s="114">
        <v>7352.8</v>
      </c>
      <c r="AC477" s="114"/>
      <c r="AD477" s="140"/>
      <c r="AE477" s="114"/>
      <c r="AF477" s="114"/>
      <c r="AG477" s="114"/>
      <c r="AH477" s="114"/>
      <c r="AI477" s="91"/>
      <c r="AJ477" s="84"/>
      <c r="AK477" s="129">
        <v>1.414</v>
      </c>
      <c r="AL477" s="129">
        <v>5500</v>
      </c>
      <c r="AM477" s="114">
        <f t="shared" si="48"/>
        <v>7777</v>
      </c>
      <c r="AN477" s="114"/>
      <c r="AQ477" s="387"/>
      <c r="AR477" s="387"/>
      <c r="AS477" s="387"/>
      <c r="AT477" s="387"/>
      <c r="AW477" s="387"/>
      <c r="AX477" s="129">
        <v>1.414</v>
      </c>
      <c r="AY477" s="129">
        <v>5500</v>
      </c>
      <c r="AZ477" s="114">
        <f t="shared" si="49"/>
        <v>7777</v>
      </c>
      <c r="BA477" s="127"/>
      <c r="BB477" s="127"/>
      <c r="BC477" s="127"/>
      <c r="BJ477" s="91"/>
    </row>
    <row r="478" s="76" customFormat="1" ht="14.4" outlineLevel="1" spans="1:62">
      <c r="C478" s="387"/>
      <c r="E478" s="76" t="s">
        <v>527</v>
      </c>
      <c r="F478" s="84"/>
      <c r="G478" s="479"/>
      <c r="H478" s="76" t="s">
        <v>75</v>
      </c>
      <c r="I478" s="84"/>
      <c r="J478" s="129">
        <v>1.446</v>
      </c>
      <c r="K478" s="129">
        <v>6450</v>
      </c>
      <c r="L478" s="129">
        <f t="shared" si="45"/>
        <v>9326.7</v>
      </c>
      <c r="M478" s="129"/>
      <c r="O478" s="115">
        <f t="shared" si="46"/>
        <v>9326.7</v>
      </c>
      <c r="P478" s="91"/>
      <c r="Q478" s="91"/>
      <c r="R478" s="75" t="s">
        <v>88</v>
      </c>
      <c r="S478" s="76" t="s">
        <v>525</v>
      </c>
      <c r="T478" s="387"/>
      <c r="U478" s="387"/>
      <c r="V478" s="387"/>
      <c r="X478" s="133"/>
      <c r="Y478" s="129">
        <v>1.446</v>
      </c>
      <c r="Z478" s="114">
        <v>4660</v>
      </c>
      <c r="AA478" s="114">
        <f t="shared" si="47"/>
        <v>6738.36</v>
      </c>
      <c r="AB478" s="114">
        <v>6738.36</v>
      </c>
      <c r="AC478" s="114"/>
      <c r="AD478" s="140"/>
      <c r="AE478" s="114"/>
      <c r="AF478" s="114"/>
      <c r="AG478" s="114"/>
      <c r="AH478" s="114"/>
      <c r="AI478" s="91"/>
      <c r="AJ478" s="84"/>
      <c r="AK478" s="129">
        <v>1.446</v>
      </c>
      <c r="AL478" s="129">
        <v>6450</v>
      </c>
      <c r="AM478" s="114">
        <f t="shared" si="48"/>
        <v>9326.7</v>
      </c>
      <c r="AN478" s="114"/>
      <c r="AQ478" s="387"/>
      <c r="AR478" s="387"/>
      <c r="AS478" s="387"/>
      <c r="AT478" s="387"/>
      <c r="AW478" s="387"/>
      <c r="AX478" s="129">
        <v>1.446</v>
      </c>
      <c r="AY478" s="129">
        <v>6450</v>
      </c>
      <c r="AZ478" s="114">
        <f t="shared" si="49"/>
        <v>9326.7</v>
      </c>
      <c r="BA478" s="127"/>
      <c r="BB478" s="127"/>
      <c r="BC478" s="127"/>
      <c r="BJ478" s="91"/>
    </row>
    <row r="479" s="76" customFormat="1" ht="14.4" outlineLevel="1" spans="1:62">
      <c r="C479" s="387"/>
      <c r="E479" s="76" t="s">
        <v>528</v>
      </c>
      <c r="F479" s="84"/>
      <c r="G479" s="479"/>
      <c r="H479" s="76" t="s">
        <v>75</v>
      </c>
      <c r="I479" s="84"/>
      <c r="J479" s="129">
        <v>1.66</v>
      </c>
      <c r="K479" s="129">
        <v>6330</v>
      </c>
      <c r="L479" s="129">
        <f t="shared" si="45"/>
        <v>10507.8</v>
      </c>
      <c r="M479" s="129"/>
      <c r="O479" s="115">
        <f t="shared" si="46"/>
        <v>10507.8</v>
      </c>
      <c r="P479" s="91"/>
      <c r="Q479" s="91"/>
      <c r="R479" s="75" t="s">
        <v>88</v>
      </c>
      <c r="S479" s="76" t="s">
        <v>525</v>
      </c>
      <c r="T479" s="387"/>
      <c r="U479" s="387"/>
      <c r="V479" s="387"/>
      <c r="X479" s="133"/>
      <c r="Y479" s="129">
        <v>1.66</v>
      </c>
      <c r="Z479" s="114">
        <v>4660</v>
      </c>
      <c r="AA479" s="114">
        <f t="shared" si="47"/>
        <v>7735.6</v>
      </c>
      <c r="AB479" s="114">
        <v>7735.6</v>
      </c>
      <c r="AC479" s="114"/>
      <c r="AD479" s="140"/>
      <c r="AE479" s="114"/>
      <c r="AF479" s="114"/>
      <c r="AG479" s="114"/>
      <c r="AH479" s="114"/>
      <c r="AI479" s="91"/>
      <c r="AJ479" s="84"/>
      <c r="AK479" s="129">
        <v>1.66</v>
      </c>
      <c r="AL479" s="129">
        <v>6330</v>
      </c>
      <c r="AM479" s="114">
        <f t="shared" si="48"/>
        <v>10507.8</v>
      </c>
      <c r="AN479" s="114"/>
      <c r="AQ479" s="387"/>
      <c r="AR479" s="387"/>
      <c r="AS479" s="387"/>
      <c r="AT479" s="387"/>
      <c r="AW479" s="387"/>
      <c r="AX479" s="129">
        <v>1.66</v>
      </c>
      <c r="AY479" s="129">
        <v>6330</v>
      </c>
      <c r="AZ479" s="114">
        <f t="shared" si="49"/>
        <v>10507.8</v>
      </c>
      <c r="BA479" s="127"/>
      <c r="BB479" s="127"/>
      <c r="BC479" s="127"/>
      <c r="BJ479" s="91"/>
    </row>
    <row r="480" s="76" customFormat="1" ht="14.4" outlineLevel="1" spans="1:62">
      <c r="C480" s="387"/>
      <c r="E480" s="76" t="s">
        <v>529</v>
      </c>
      <c r="F480" s="84"/>
      <c r="G480" s="479"/>
      <c r="H480" s="76" t="s">
        <v>75</v>
      </c>
      <c r="I480" s="84"/>
      <c r="J480" s="129">
        <v>1.511</v>
      </c>
      <c r="K480" s="129">
        <v>6320</v>
      </c>
      <c r="L480" s="129">
        <f t="shared" si="45"/>
        <v>9549.52</v>
      </c>
      <c r="M480" s="129"/>
      <c r="O480" s="115">
        <f t="shared" si="46"/>
        <v>9549.52</v>
      </c>
      <c r="P480" s="91"/>
      <c r="Q480" s="91"/>
      <c r="R480" s="75" t="s">
        <v>88</v>
      </c>
      <c r="S480" s="76" t="s">
        <v>525</v>
      </c>
      <c r="T480" s="387"/>
      <c r="U480" s="387"/>
      <c r="V480" s="387"/>
      <c r="X480" s="133"/>
      <c r="Y480" s="129">
        <v>1.511</v>
      </c>
      <c r="Z480" s="114">
        <v>4940</v>
      </c>
      <c r="AA480" s="114">
        <f t="shared" si="47"/>
        <v>7464.34</v>
      </c>
      <c r="AB480" s="114">
        <v>7464.34</v>
      </c>
      <c r="AC480" s="114"/>
      <c r="AD480" s="140"/>
      <c r="AE480" s="114"/>
      <c r="AF480" s="114"/>
      <c r="AG480" s="114"/>
      <c r="AH480" s="114"/>
      <c r="AI480" s="91"/>
      <c r="AJ480" s="84"/>
      <c r="AK480" s="129">
        <v>1.511</v>
      </c>
      <c r="AL480" s="129">
        <v>6320</v>
      </c>
      <c r="AM480" s="114">
        <f t="shared" si="48"/>
        <v>9549.52</v>
      </c>
      <c r="AN480" s="114"/>
      <c r="AQ480" s="387"/>
      <c r="AR480" s="387"/>
      <c r="AS480" s="387"/>
      <c r="AT480" s="387"/>
      <c r="AW480" s="387"/>
      <c r="AX480" s="129">
        <v>1.511</v>
      </c>
      <c r="AY480" s="129">
        <v>6320</v>
      </c>
      <c r="AZ480" s="114">
        <f t="shared" si="49"/>
        <v>9549.52</v>
      </c>
      <c r="BA480" s="127"/>
      <c r="BB480" s="127"/>
      <c r="BC480" s="127"/>
      <c r="BJ480" s="91"/>
    </row>
    <row r="481" s="76" customFormat="1" ht="14.4" outlineLevel="1" spans="1:62">
      <c r="C481" s="387"/>
      <c r="E481" s="76" t="s">
        <v>530</v>
      </c>
      <c r="F481" s="84"/>
      <c r="G481" s="479"/>
      <c r="H481" s="76" t="s">
        <v>75</v>
      </c>
      <c r="I481" s="84"/>
      <c r="J481" s="129">
        <v>1.351</v>
      </c>
      <c r="K481" s="129">
        <v>5240</v>
      </c>
      <c r="L481" s="129">
        <f t="shared" si="45"/>
        <v>7079.24</v>
      </c>
      <c r="M481" s="129"/>
      <c r="O481" s="115">
        <f t="shared" si="46"/>
        <v>7079.24</v>
      </c>
      <c r="P481" s="91"/>
      <c r="Q481" s="91"/>
      <c r="R481" s="75" t="s">
        <v>88</v>
      </c>
      <c r="S481" s="76" t="s">
        <v>525</v>
      </c>
      <c r="T481" s="387"/>
      <c r="U481" s="387"/>
      <c r="V481" s="387"/>
      <c r="X481" s="133"/>
      <c r="Y481" s="129">
        <v>1.351</v>
      </c>
      <c r="Z481" s="114">
        <v>4940</v>
      </c>
      <c r="AA481" s="114">
        <f t="shared" si="47"/>
        <v>6673.94</v>
      </c>
      <c r="AB481" s="114">
        <v>6673.94</v>
      </c>
      <c r="AC481" s="114"/>
      <c r="AD481" s="140"/>
      <c r="AE481" s="114"/>
      <c r="AF481" s="114"/>
      <c r="AG481" s="114"/>
      <c r="AH481" s="114"/>
      <c r="AI481" s="91"/>
      <c r="AJ481" s="84"/>
      <c r="AK481" s="129">
        <v>1.351</v>
      </c>
      <c r="AL481" s="129">
        <v>5240</v>
      </c>
      <c r="AM481" s="114">
        <f t="shared" si="48"/>
        <v>7079.24</v>
      </c>
      <c r="AN481" s="114"/>
      <c r="AQ481" s="387"/>
      <c r="AR481" s="387"/>
      <c r="AS481" s="387"/>
      <c r="AT481" s="387"/>
      <c r="AW481" s="387"/>
      <c r="AX481" s="129">
        <v>1.351</v>
      </c>
      <c r="AY481" s="129">
        <v>5240</v>
      </c>
      <c r="AZ481" s="114">
        <f t="shared" si="49"/>
        <v>7079.24</v>
      </c>
      <c r="BA481" s="127"/>
      <c r="BB481" s="127"/>
      <c r="BC481" s="127"/>
      <c r="BJ481" s="91"/>
    </row>
    <row r="482" s="76" customFormat="1" ht="14.4" outlineLevel="1" spans="1:62">
      <c r="C482" s="387"/>
      <c r="E482" s="76" t="s">
        <v>531</v>
      </c>
      <c r="F482" s="84"/>
      <c r="G482" s="479"/>
      <c r="H482" s="76" t="s">
        <v>75</v>
      </c>
      <c r="I482" s="84"/>
      <c r="J482" s="129">
        <v>1.511</v>
      </c>
      <c r="K482" s="129">
        <v>6255</v>
      </c>
      <c r="L482" s="129">
        <f t="shared" si="45"/>
        <v>9451.305</v>
      </c>
      <c r="M482" s="129"/>
      <c r="O482" s="115">
        <f t="shared" si="46"/>
        <v>9451.305</v>
      </c>
      <c r="P482" s="91"/>
      <c r="Q482" s="91"/>
      <c r="R482" s="75" t="s">
        <v>88</v>
      </c>
      <c r="S482" s="76" t="s">
        <v>525</v>
      </c>
      <c r="T482" s="387"/>
      <c r="U482" s="387"/>
      <c r="V482" s="387"/>
      <c r="X482" s="133"/>
      <c r="Y482" s="129">
        <v>1.511</v>
      </c>
      <c r="Z482" s="114">
        <v>4640</v>
      </c>
      <c r="AA482" s="114">
        <f t="shared" si="47"/>
        <v>7011.04</v>
      </c>
      <c r="AB482" s="114">
        <v>7011.04</v>
      </c>
      <c r="AC482" s="114"/>
      <c r="AD482" s="140"/>
      <c r="AE482" s="114"/>
      <c r="AF482" s="114"/>
      <c r="AG482" s="114"/>
      <c r="AH482" s="114"/>
      <c r="AI482" s="91"/>
      <c r="AJ482" s="84"/>
      <c r="AK482" s="129">
        <v>1.511</v>
      </c>
      <c r="AL482" s="129">
        <v>6255</v>
      </c>
      <c r="AM482" s="114">
        <f t="shared" si="48"/>
        <v>9451.305</v>
      </c>
      <c r="AN482" s="114"/>
      <c r="AQ482" s="387"/>
      <c r="AR482" s="387"/>
      <c r="AS482" s="387"/>
      <c r="AT482" s="387"/>
      <c r="AW482" s="387"/>
      <c r="AX482" s="129">
        <v>1.511</v>
      </c>
      <c r="AY482" s="129">
        <v>6255</v>
      </c>
      <c r="AZ482" s="114">
        <f t="shared" si="49"/>
        <v>9451.305</v>
      </c>
      <c r="BA482" s="127"/>
      <c r="BB482" s="127"/>
      <c r="BC482" s="127"/>
      <c r="BJ482" s="91"/>
    </row>
    <row r="483" s="76" customFormat="1" ht="14.4" outlineLevel="1" spans="1:62">
      <c r="C483" s="387"/>
      <c r="E483" s="76" t="s">
        <v>532</v>
      </c>
      <c r="F483" s="84"/>
      <c r="G483" s="479"/>
      <c r="H483" s="76" t="s">
        <v>75</v>
      </c>
      <c r="I483" s="84"/>
      <c r="J483" s="129">
        <v>1.202</v>
      </c>
      <c r="K483" s="129">
        <v>6250</v>
      </c>
      <c r="L483" s="129">
        <f t="shared" si="45"/>
        <v>7512.5</v>
      </c>
      <c r="M483" s="129"/>
      <c r="O483" s="115">
        <f t="shared" si="46"/>
        <v>7512.5</v>
      </c>
      <c r="P483" s="91"/>
      <c r="Q483" s="91"/>
      <c r="R483" s="75" t="s">
        <v>88</v>
      </c>
      <c r="S483" s="76" t="s">
        <v>525</v>
      </c>
      <c r="T483" s="387"/>
      <c r="U483" s="387"/>
      <c r="V483" s="387"/>
      <c r="X483" s="133"/>
      <c r="Y483" s="129">
        <v>1.202</v>
      </c>
      <c r="Z483" s="114">
        <v>4910</v>
      </c>
      <c r="AA483" s="114">
        <f t="shared" si="47"/>
        <v>5901.82</v>
      </c>
      <c r="AB483" s="114">
        <v>5901.82</v>
      </c>
      <c r="AC483" s="114"/>
      <c r="AD483" s="140"/>
      <c r="AE483" s="114"/>
      <c r="AF483" s="114"/>
      <c r="AG483" s="114"/>
      <c r="AH483" s="114"/>
      <c r="AI483" s="91"/>
      <c r="AJ483" s="84"/>
      <c r="AK483" s="129">
        <v>1.202</v>
      </c>
      <c r="AL483" s="129">
        <v>6250</v>
      </c>
      <c r="AM483" s="114">
        <f t="shared" si="48"/>
        <v>7512.5</v>
      </c>
      <c r="AN483" s="114"/>
      <c r="AQ483" s="387"/>
      <c r="AR483" s="387"/>
      <c r="AS483" s="387"/>
      <c r="AT483" s="387"/>
      <c r="AW483" s="387"/>
      <c r="AX483" s="129">
        <v>1.202</v>
      </c>
      <c r="AY483" s="129">
        <v>6250</v>
      </c>
      <c r="AZ483" s="114">
        <f t="shared" si="49"/>
        <v>7512.5</v>
      </c>
      <c r="BA483" s="127"/>
      <c r="BB483" s="127"/>
      <c r="BC483" s="127"/>
      <c r="BJ483" s="91"/>
    </row>
    <row r="484" s="76" customFormat="1" ht="14.4" outlineLevel="1" spans="1:62">
      <c r="C484" s="387"/>
      <c r="E484" s="76" t="s">
        <v>533</v>
      </c>
      <c r="F484" s="84"/>
      <c r="G484" s="479"/>
      <c r="H484" s="76" t="s">
        <v>75</v>
      </c>
      <c r="I484" s="84"/>
      <c r="J484" s="129">
        <v>1.383</v>
      </c>
      <c r="K484" s="129">
        <v>4900</v>
      </c>
      <c r="L484" s="129">
        <f t="shared" si="45"/>
        <v>6776.7</v>
      </c>
      <c r="M484" s="129"/>
      <c r="O484" s="115">
        <f t="shared" si="46"/>
        <v>6776.7</v>
      </c>
      <c r="P484" s="91"/>
      <c r="Q484" s="91"/>
      <c r="R484" s="75" t="s">
        <v>88</v>
      </c>
      <c r="S484" s="76" t="s">
        <v>525</v>
      </c>
      <c r="T484" s="387"/>
      <c r="U484" s="387"/>
      <c r="V484" s="387"/>
      <c r="X484" s="133"/>
      <c r="Y484" s="129">
        <v>1.383</v>
      </c>
      <c r="Z484" s="114">
        <v>4600</v>
      </c>
      <c r="AA484" s="114">
        <f t="shared" si="47"/>
        <v>6361.8</v>
      </c>
      <c r="AB484" s="114">
        <v>6361.8</v>
      </c>
      <c r="AC484" s="114"/>
      <c r="AD484" s="140"/>
      <c r="AE484" s="114"/>
      <c r="AF484" s="114"/>
      <c r="AG484" s="114"/>
      <c r="AH484" s="114"/>
      <c r="AI484" s="91"/>
      <c r="AJ484" s="84"/>
      <c r="AK484" s="129">
        <v>1.383</v>
      </c>
      <c r="AL484" s="129">
        <v>4900</v>
      </c>
      <c r="AM484" s="114">
        <f t="shared" si="48"/>
        <v>6776.7</v>
      </c>
      <c r="AN484" s="114"/>
      <c r="AQ484" s="387"/>
      <c r="AR484" s="387"/>
      <c r="AS484" s="387"/>
      <c r="AT484" s="387"/>
      <c r="AW484" s="387"/>
      <c r="AX484" s="129">
        <v>1.383</v>
      </c>
      <c r="AY484" s="129">
        <v>4900</v>
      </c>
      <c r="AZ484" s="114">
        <f t="shared" si="49"/>
        <v>6776.7</v>
      </c>
      <c r="BA484" s="127"/>
      <c r="BB484" s="127"/>
      <c r="BC484" s="127"/>
      <c r="BJ484" s="91"/>
    </row>
    <row r="485" s="76" customFormat="1" ht="14.4" outlineLevel="1" spans="1:62">
      <c r="C485" s="387"/>
      <c r="E485" s="76" t="s">
        <v>534</v>
      </c>
      <c r="F485" s="84"/>
      <c r="G485" s="479"/>
      <c r="H485" s="76" t="s">
        <v>75</v>
      </c>
      <c r="I485" s="84"/>
      <c r="J485" s="129">
        <v>3.052</v>
      </c>
      <c r="K485" s="129">
        <v>5690</v>
      </c>
      <c r="L485" s="129">
        <f t="shared" si="45"/>
        <v>17365.88</v>
      </c>
      <c r="M485" s="129"/>
      <c r="O485" s="115">
        <f t="shared" si="46"/>
        <v>17365.88</v>
      </c>
      <c r="P485" s="91"/>
      <c r="Q485" s="91"/>
      <c r="R485" s="75" t="s">
        <v>88</v>
      </c>
      <c r="S485" s="76" t="s">
        <v>525</v>
      </c>
      <c r="T485" s="387"/>
      <c r="U485" s="387"/>
      <c r="V485" s="387"/>
      <c r="X485" s="133"/>
      <c r="Y485" s="129">
        <v>3.052</v>
      </c>
      <c r="Z485" s="114">
        <v>4600</v>
      </c>
      <c r="AA485" s="114">
        <f t="shared" si="47"/>
        <v>14039.2</v>
      </c>
      <c r="AB485" s="114">
        <v>14039.2</v>
      </c>
      <c r="AC485" s="114"/>
      <c r="AD485" s="140"/>
      <c r="AE485" s="114"/>
      <c r="AF485" s="114"/>
      <c r="AG485" s="114"/>
      <c r="AH485" s="114"/>
      <c r="AI485" s="91"/>
      <c r="AJ485" s="84"/>
      <c r="AK485" s="129">
        <v>3.052</v>
      </c>
      <c r="AL485" s="129">
        <v>5690</v>
      </c>
      <c r="AM485" s="114">
        <f t="shared" si="48"/>
        <v>17365.88</v>
      </c>
      <c r="AN485" s="114"/>
      <c r="AQ485" s="387"/>
      <c r="AR485" s="387"/>
      <c r="AS485" s="387"/>
      <c r="AT485" s="387"/>
      <c r="AW485" s="387"/>
      <c r="AX485" s="129">
        <v>3.052</v>
      </c>
      <c r="AY485" s="129">
        <v>5690</v>
      </c>
      <c r="AZ485" s="114">
        <f t="shared" si="49"/>
        <v>17365.88</v>
      </c>
      <c r="BA485" s="127"/>
      <c r="BB485" s="127"/>
      <c r="BC485" s="127"/>
      <c r="BJ485" s="91"/>
    </row>
    <row r="486" s="76" customFormat="1" ht="14.4" outlineLevel="1" spans="1:62">
      <c r="C486" s="387"/>
      <c r="E486" s="76" t="s">
        <v>535</v>
      </c>
      <c r="F486" s="84"/>
      <c r="G486" s="479"/>
      <c r="H486" s="76" t="s">
        <v>75</v>
      </c>
      <c r="I486" s="84"/>
      <c r="J486" s="129">
        <v>1.323</v>
      </c>
      <c r="K486" s="129">
        <v>5060</v>
      </c>
      <c r="L486" s="129">
        <f t="shared" si="45"/>
        <v>6694.38</v>
      </c>
      <c r="M486" s="129"/>
      <c r="O486" s="115">
        <f t="shared" si="46"/>
        <v>6694.38</v>
      </c>
      <c r="P486" s="91"/>
      <c r="Q486" s="91"/>
      <c r="R486" s="75" t="s">
        <v>88</v>
      </c>
      <c r="S486" s="76" t="s">
        <v>525</v>
      </c>
      <c r="T486" s="387"/>
      <c r="U486" s="387"/>
      <c r="V486" s="387"/>
      <c r="X486" s="133"/>
      <c r="Y486" s="129">
        <v>1.323</v>
      </c>
      <c r="Z486" s="114">
        <v>4760</v>
      </c>
      <c r="AA486" s="114">
        <f t="shared" si="47"/>
        <v>6297.48</v>
      </c>
      <c r="AB486" s="114">
        <v>6297.48</v>
      </c>
      <c r="AC486" s="114"/>
      <c r="AD486" s="140"/>
      <c r="AE486" s="114"/>
      <c r="AF486" s="114"/>
      <c r="AG486" s="114"/>
      <c r="AH486" s="114"/>
      <c r="AI486" s="91"/>
      <c r="AJ486" s="84"/>
      <c r="AK486" s="129">
        <v>1.323</v>
      </c>
      <c r="AL486" s="129">
        <v>5060</v>
      </c>
      <c r="AM486" s="114">
        <f t="shared" si="48"/>
        <v>6694.38</v>
      </c>
      <c r="AN486" s="114"/>
      <c r="AQ486" s="387"/>
      <c r="AR486" s="387"/>
      <c r="AS486" s="387"/>
      <c r="AT486" s="387"/>
      <c r="AW486" s="387"/>
      <c r="AX486" s="129">
        <v>1.323</v>
      </c>
      <c r="AY486" s="129">
        <v>5060</v>
      </c>
      <c r="AZ486" s="114">
        <f t="shared" si="49"/>
        <v>6694.38</v>
      </c>
      <c r="BA486" s="127"/>
      <c r="BB486" s="127"/>
      <c r="BC486" s="127"/>
      <c r="BJ486" s="91"/>
    </row>
    <row r="487" s="76" customFormat="1" ht="14.4" outlineLevel="1" spans="1:62">
      <c r="C487" s="387"/>
      <c r="E487" s="76" t="s">
        <v>536</v>
      </c>
      <c r="F487" s="84"/>
      <c r="G487" s="479"/>
      <c r="H487" s="76" t="s">
        <v>75</v>
      </c>
      <c r="I487" s="84"/>
      <c r="J487" s="129">
        <v>1.484</v>
      </c>
      <c r="K487" s="129">
        <v>5790</v>
      </c>
      <c r="L487" s="129">
        <f t="shared" si="45"/>
        <v>8592.36</v>
      </c>
      <c r="M487" s="129"/>
      <c r="O487" s="115">
        <f t="shared" si="46"/>
        <v>8592.36</v>
      </c>
      <c r="P487" s="91"/>
      <c r="Q487" s="91"/>
      <c r="R487" s="75" t="s">
        <v>88</v>
      </c>
      <c r="S487" s="76" t="s">
        <v>525</v>
      </c>
      <c r="T487" s="387"/>
      <c r="U487" s="387"/>
      <c r="V487" s="387"/>
      <c r="X487" s="133"/>
      <c r="Y487" s="129">
        <v>1.484</v>
      </c>
      <c r="Z487" s="114">
        <v>4760</v>
      </c>
      <c r="AA487" s="114">
        <f t="shared" si="47"/>
        <v>7063.84</v>
      </c>
      <c r="AB487" s="114">
        <v>7063.84</v>
      </c>
      <c r="AC487" s="114"/>
      <c r="AD487" s="140"/>
      <c r="AE487" s="114"/>
      <c r="AF487" s="114"/>
      <c r="AG487" s="114"/>
      <c r="AH487" s="114"/>
      <c r="AI487" s="91"/>
      <c r="AJ487" s="84"/>
      <c r="AK487" s="129">
        <v>1.484</v>
      </c>
      <c r="AL487" s="129">
        <v>5790</v>
      </c>
      <c r="AM487" s="114">
        <f t="shared" si="48"/>
        <v>8592.36</v>
      </c>
      <c r="AN487" s="114"/>
      <c r="AQ487" s="387"/>
      <c r="AR487" s="387"/>
      <c r="AS487" s="387"/>
      <c r="AT487" s="387"/>
      <c r="AW487" s="387"/>
      <c r="AX487" s="129">
        <v>1.484</v>
      </c>
      <c r="AY487" s="129">
        <v>5790</v>
      </c>
      <c r="AZ487" s="114">
        <f t="shared" si="49"/>
        <v>8592.36</v>
      </c>
      <c r="BA487" s="127"/>
      <c r="BB487" s="127"/>
      <c r="BC487" s="127"/>
      <c r="BJ487" s="91"/>
    </row>
    <row r="488" s="76" customFormat="1" ht="14.4" outlineLevel="1" spans="1:62">
      <c r="C488" s="387"/>
      <c r="E488" s="76" t="s">
        <v>537</v>
      </c>
      <c r="F488" s="84"/>
      <c r="G488" s="479"/>
      <c r="H488" s="76" t="s">
        <v>75</v>
      </c>
      <c r="I488" s="84"/>
      <c r="J488" s="129">
        <v>1.357</v>
      </c>
      <c r="K488" s="129">
        <v>5060</v>
      </c>
      <c r="L488" s="129">
        <f t="shared" si="45"/>
        <v>6866.42</v>
      </c>
      <c r="M488" s="129"/>
      <c r="O488" s="115">
        <f t="shared" si="46"/>
        <v>6866.42</v>
      </c>
      <c r="P488" s="91"/>
      <c r="Q488" s="91"/>
      <c r="R488" s="75" t="s">
        <v>88</v>
      </c>
      <c r="S488" s="76" t="s">
        <v>525</v>
      </c>
      <c r="T488" s="387"/>
      <c r="U488" s="387"/>
      <c r="V488" s="387"/>
      <c r="X488" s="133"/>
      <c r="Y488" s="129">
        <v>1.357</v>
      </c>
      <c r="Z488" s="114">
        <v>4760</v>
      </c>
      <c r="AA488" s="114">
        <f t="shared" si="47"/>
        <v>6459.32</v>
      </c>
      <c r="AB488" s="114">
        <v>6459.32</v>
      </c>
      <c r="AC488" s="114"/>
      <c r="AD488" s="140"/>
      <c r="AE488" s="114"/>
      <c r="AF488" s="114"/>
      <c r="AG488" s="114"/>
      <c r="AH488" s="114"/>
      <c r="AI488" s="91"/>
      <c r="AJ488" s="84"/>
      <c r="AK488" s="129">
        <v>1.357</v>
      </c>
      <c r="AL488" s="129">
        <v>5060</v>
      </c>
      <c r="AM488" s="114">
        <f t="shared" si="48"/>
        <v>6866.42</v>
      </c>
      <c r="AN488" s="114"/>
      <c r="AQ488" s="387"/>
      <c r="AR488" s="387"/>
      <c r="AS488" s="387"/>
      <c r="AT488" s="387"/>
      <c r="AW488" s="387"/>
      <c r="AX488" s="129">
        <v>1.357</v>
      </c>
      <c r="AY488" s="129">
        <v>5060</v>
      </c>
      <c r="AZ488" s="114">
        <f t="shared" si="49"/>
        <v>6866.42</v>
      </c>
      <c r="BA488" s="127"/>
      <c r="BB488" s="127"/>
      <c r="BC488" s="127"/>
      <c r="BJ488" s="91"/>
    </row>
    <row r="489" s="76" customFormat="1" ht="14.4" outlineLevel="1" spans="1:62">
      <c r="C489" s="387"/>
      <c r="E489" s="76" t="s">
        <v>538</v>
      </c>
      <c r="F489" s="84"/>
      <c r="G489" s="479"/>
      <c r="H489" s="76" t="s">
        <v>75</v>
      </c>
      <c r="I489" s="84"/>
      <c r="J489" s="129">
        <v>1.476</v>
      </c>
      <c r="K489" s="129">
        <v>5790</v>
      </c>
      <c r="L489" s="129">
        <f t="shared" si="45"/>
        <v>8546.04</v>
      </c>
      <c r="M489" s="129"/>
      <c r="O489" s="115">
        <f t="shared" si="46"/>
        <v>8546.04</v>
      </c>
      <c r="P489" s="91"/>
      <c r="Q489" s="91"/>
      <c r="R489" s="75" t="s">
        <v>88</v>
      </c>
      <c r="S489" s="76" t="s">
        <v>525</v>
      </c>
      <c r="T489" s="387"/>
      <c r="U489" s="387"/>
      <c r="V489" s="387"/>
      <c r="X489" s="133"/>
      <c r="Y489" s="129">
        <v>1.476</v>
      </c>
      <c r="Z489" s="114">
        <v>4760</v>
      </c>
      <c r="AA489" s="114">
        <f t="shared" si="47"/>
        <v>7025.76</v>
      </c>
      <c r="AB489" s="114">
        <v>7025.76</v>
      </c>
      <c r="AC489" s="114"/>
      <c r="AD489" s="140"/>
      <c r="AE489" s="114"/>
      <c r="AF489" s="114"/>
      <c r="AG489" s="114"/>
      <c r="AH489" s="114"/>
      <c r="AI489" s="91"/>
      <c r="AJ489" s="84"/>
      <c r="AK489" s="129">
        <v>1.476</v>
      </c>
      <c r="AL489" s="129">
        <v>5790</v>
      </c>
      <c r="AM489" s="114">
        <f t="shared" si="48"/>
        <v>8546.04</v>
      </c>
      <c r="AN489" s="114"/>
      <c r="AQ489" s="387"/>
      <c r="AR489" s="387"/>
      <c r="AS489" s="387"/>
      <c r="AT489" s="387"/>
      <c r="AW489" s="387"/>
      <c r="AX489" s="129">
        <v>1.476</v>
      </c>
      <c r="AY489" s="129">
        <v>5790</v>
      </c>
      <c r="AZ489" s="114">
        <f t="shared" si="49"/>
        <v>8546.04</v>
      </c>
      <c r="BA489" s="127"/>
      <c r="BB489" s="127"/>
      <c r="BC489" s="127"/>
      <c r="BJ489" s="91"/>
    </row>
    <row r="490" s="79" customFormat="1" ht="14.4" spans="1:62">
      <c r="A490" s="79" t="s">
        <v>414</v>
      </c>
      <c r="C490" s="463"/>
      <c r="D490" s="79" t="s">
        <v>523</v>
      </c>
      <c r="F490" s="84"/>
      <c r="G490" s="486"/>
      <c r="H490" s="79" t="str">
        <f>H476</f>
        <v>“I.C.E.” LLC</v>
      </c>
      <c r="I490" s="84"/>
      <c r="J490" s="194">
        <f>SUM(J476:J489)</f>
        <v>23.164</v>
      </c>
      <c r="K490" s="194"/>
      <c r="L490" s="194">
        <f>SUM(L476:L489)</f>
        <v>141135.565</v>
      </c>
      <c r="M490" s="194"/>
      <c r="O490" s="79">
        <f>SUM(O476:O489)</f>
        <v>141135.565</v>
      </c>
      <c r="P490" s="91"/>
      <c r="Q490" s="91"/>
      <c r="T490" s="463"/>
      <c r="U490" s="463"/>
      <c r="V490" s="463" t="s">
        <v>436</v>
      </c>
      <c r="X490" s="193" t="s">
        <v>90</v>
      </c>
      <c r="Y490" s="79">
        <f>SUM(Y476:Y489)</f>
        <v>23.164</v>
      </c>
      <c r="Z490" s="192"/>
      <c r="AA490" s="192">
        <f>SUM(AA476:AA489)</f>
        <v>113939.6</v>
      </c>
      <c r="AB490" s="192">
        <v>113939.6</v>
      </c>
      <c r="AC490" s="192"/>
      <c r="AD490" s="196"/>
      <c r="AE490" s="192"/>
      <c r="AF490" s="192"/>
      <c r="AG490" s="192"/>
      <c r="AH490" s="192"/>
      <c r="AJ490" s="84"/>
      <c r="AK490" s="196">
        <f>SUM(AK476:AK489)</f>
        <v>23.164</v>
      </c>
      <c r="AM490" s="192">
        <f>SUM(AM476:AM489)</f>
        <v>141135.565</v>
      </c>
      <c r="AN490" s="192">
        <f>N490</f>
        <v>0</v>
      </c>
      <c r="AQ490" s="463" t="str">
        <f>V490</f>
        <v>ready</v>
      </c>
      <c r="AR490" s="463"/>
      <c r="AS490" s="463"/>
      <c r="AT490" s="463"/>
      <c r="AU490" s="79" t="s">
        <v>539</v>
      </c>
      <c r="AV490" s="79">
        <v>1</v>
      </c>
      <c r="AW490" s="463"/>
      <c r="AX490" s="194">
        <f>SUM(AX476:AX489)</f>
        <v>23.164</v>
      </c>
      <c r="AY490" s="192"/>
      <c r="AZ490" s="194">
        <f>SUM(AZ476:AZ489)</f>
        <v>141135.565</v>
      </c>
      <c r="BA490" s="150"/>
      <c r="BB490" s="150"/>
      <c r="BC490" s="150"/>
      <c r="BI490" s="494" t="s">
        <v>85</v>
      </c>
    </row>
    <row r="491" s="76" customFormat="1" ht="14.45" customHeight="1" outlineLevel="1" spans="1:62">
      <c r="A491" s="76" t="s">
        <v>540</v>
      </c>
      <c r="B491" s="76" t="s">
        <v>440</v>
      </c>
      <c r="C491" s="387">
        <v>45824</v>
      </c>
      <c r="D491" s="76" t="s">
        <v>541</v>
      </c>
      <c r="E491" s="113" t="s">
        <v>542</v>
      </c>
      <c r="F491" s="113"/>
      <c r="G491" s="584">
        <f>302697+1924873.2+38239.32+579162</f>
        <v>2844971.52</v>
      </c>
      <c r="H491" s="113" t="s">
        <v>93</v>
      </c>
      <c r="I491" s="113"/>
      <c r="J491" s="113">
        <v>27</v>
      </c>
      <c r="K491" s="279">
        <f>Z491+280</f>
        <v>6030</v>
      </c>
      <c r="L491" s="129">
        <f>K491*J491</f>
        <v>162810</v>
      </c>
      <c r="M491" s="129">
        <f>L491*0.3</f>
        <v>48843</v>
      </c>
      <c r="N491" s="76">
        <v>302697</v>
      </c>
      <c r="O491" s="120">
        <f>L491-N491</f>
        <v>-139887</v>
      </c>
      <c r="P491" s="91"/>
      <c r="Q491" s="91"/>
      <c r="R491" s="115" t="s">
        <v>88</v>
      </c>
      <c r="S491" s="76" t="s">
        <v>543</v>
      </c>
      <c r="T491" s="387">
        <v>45821</v>
      </c>
      <c r="U491" s="387">
        <v>45884</v>
      </c>
      <c r="V491" s="387">
        <v>45920</v>
      </c>
      <c r="X491" s="133" t="s">
        <v>90</v>
      </c>
      <c r="Y491" s="76">
        <v>27</v>
      </c>
      <c r="Z491" s="114">
        <v>5750</v>
      </c>
      <c r="AA491" s="114">
        <f>Z491*Y491</f>
        <v>155250</v>
      </c>
      <c r="AB491" s="114"/>
      <c r="AC491" s="114"/>
      <c r="AD491" s="140"/>
      <c r="AE491" s="114"/>
      <c r="AF491" s="114"/>
      <c r="AG491" s="114"/>
      <c r="AH491" s="114"/>
      <c r="AI491" s="91"/>
      <c r="AJ491" s="84"/>
      <c r="AK491" s="76">
        <v>25.585</v>
      </c>
      <c r="AL491" s="76">
        <v>6030</v>
      </c>
      <c r="AM491" s="114">
        <f>AL491*AK491</f>
        <v>154277.55</v>
      </c>
      <c r="AN491" s="114">
        <v>302697</v>
      </c>
      <c r="AP491" s="91"/>
      <c r="AQ491" s="387"/>
      <c r="AR491" s="387"/>
      <c r="AS491" s="387"/>
      <c r="AT491" s="387" t="s">
        <v>544</v>
      </c>
      <c r="AU491" s="76" t="s">
        <v>545</v>
      </c>
      <c r="AV491" s="76">
        <v>7</v>
      </c>
      <c r="AW491" s="387">
        <v>45913</v>
      </c>
      <c r="AX491" s="76">
        <v>25.585</v>
      </c>
      <c r="AY491" s="76">
        <v>6030</v>
      </c>
      <c r="AZ491" s="114">
        <f>AY491*AX491</f>
        <v>154277.55</v>
      </c>
      <c r="BA491" s="127"/>
      <c r="BB491" s="127"/>
      <c r="BC491" s="127"/>
      <c r="BJ491" s="91"/>
    </row>
    <row r="492" s="76" customFormat="1" ht="14.45" customHeight="1" outlineLevel="1" spans="1:62">
      <c r="A492" s="76" t="s">
        <v>540</v>
      </c>
      <c r="B492" s="76" t="s">
        <v>440</v>
      </c>
      <c r="C492" s="387">
        <v>45824</v>
      </c>
      <c r="D492" s="76" t="s">
        <v>546</v>
      </c>
      <c r="E492" s="113" t="s">
        <v>547</v>
      </c>
      <c r="F492" s="113"/>
      <c r="G492" s="584"/>
      <c r="H492" s="113" t="s">
        <v>93</v>
      </c>
      <c r="I492" s="113"/>
      <c r="J492" s="113">
        <v>27</v>
      </c>
      <c r="K492" s="279">
        <f>Z492+280</f>
        <v>6030</v>
      </c>
      <c r="L492" s="129">
        <f>K492*J492</f>
        <v>162810</v>
      </c>
      <c r="M492" s="129">
        <f>L492*0.3</f>
        <v>48843</v>
      </c>
      <c r="N492" s="76">
        <v>1924873.2</v>
      </c>
      <c r="O492" s="115">
        <f>L492-N492</f>
        <v>-1762063.2</v>
      </c>
      <c r="P492" s="91"/>
      <c r="Q492" s="91"/>
      <c r="R492" s="115" t="s">
        <v>88</v>
      </c>
      <c r="S492" s="76" t="s">
        <v>543</v>
      </c>
      <c r="T492" s="387">
        <v>45821</v>
      </c>
      <c r="U492" s="387">
        <v>45884</v>
      </c>
      <c r="V492" s="387">
        <v>45920</v>
      </c>
      <c r="X492" s="133" t="s">
        <v>90</v>
      </c>
      <c r="Y492" s="76">
        <v>27</v>
      </c>
      <c r="Z492" s="114">
        <v>5750</v>
      </c>
      <c r="AA492" s="114">
        <f>Z492*Y492</f>
        <v>155250</v>
      </c>
      <c r="AB492" s="114"/>
      <c r="AC492" s="114"/>
      <c r="AD492" s="140"/>
      <c r="AE492" s="114"/>
      <c r="AF492" s="114"/>
      <c r="AG492" s="114"/>
      <c r="AH492" s="114"/>
      <c r="AI492" s="91"/>
      <c r="AJ492" s="84"/>
      <c r="AM492" s="114"/>
      <c r="AN492" s="76">
        <v>1924873.2</v>
      </c>
      <c r="AQ492" s="387" t="s">
        <v>548</v>
      </c>
      <c r="AR492" s="387"/>
      <c r="AS492" s="387"/>
      <c r="AT492" s="387" t="s">
        <v>544</v>
      </c>
      <c r="AU492" s="76" t="s">
        <v>549</v>
      </c>
      <c r="AV492" s="76">
        <v>3</v>
      </c>
      <c r="AW492" s="387">
        <v>45961</v>
      </c>
      <c r="AX492" s="129"/>
      <c r="AY492" s="114"/>
      <c r="AZ492" s="127"/>
      <c r="BA492" s="127"/>
      <c r="BB492" s="127"/>
      <c r="BC492" s="127"/>
      <c r="BJ492" s="91"/>
    </row>
    <row r="493" s="76" customFormat="1" ht="14.45" customHeight="1" outlineLevel="1" spans="1:62">
      <c r="A493" s="76" t="s">
        <v>540</v>
      </c>
      <c r="B493" s="76" t="s">
        <v>440</v>
      </c>
      <c r="C493" s="387">
        <v>45824</v>
      </c>
      <c r="D493" s="76" t="s">
        <v>541</v>
      </c>
      <c r="E493" s="113" t="s">
        <v>550</v>
      </c>
      <c r="F493" s="113"/>
      <c r="G493" s="584"/>
      <c r="H493" s="113"/>
      <c r="I493" s="113"/>
      <c r="J493" s="113"/>
      <c r="K493" s="279"/>
      <c r="L493" s="129"/>
      <c r="M493" s="129"/>
      <c r="O493" s="115"/>
      <c r="P493" s="91"/>
      <c r="Q493" s="91"/>
      <c r="R493" s="115"/>
      <c r="T493" s="387"/>
      <c r="U493" s="387"/>
      <c r="V493" s="387"/>
      <c r="X493" s="133"/>
      <c r="Z493" s="114"/>
      <c r="AA493" s="114"/>
      <c r="AB493" s="114"/>
      <c r="AC493" s="114"/>
      <c r="AD493" s="140"/>
      <c r="AE493" s="114"/>
      <c r="AF493" s="114"/>
      <c r="AG493" s="114"/>
      <c r="AH493" s="114"/>
      <c r="AI493" s="91"/>
      <c r="AJ493" s="84"/>
      <c r="AK493" s="76">
        <v>25.39</v>
      </c>
      <c r="AL493" s="76">
        <v>6030</v>
      </c>
      <c r="AM493" s="114">
        <f>AL493*AK493</f>
        <v>153101.7</v>
      </c>
      <c r="AQ493" s="387"/>
      <c r="AR493" s="387"/>
      <c r="AS493" s="387"/>
      <c r="AT493" s="387"/>
      <c r="AW493" s="387"/>
      <c r="AX493" s="129"/>
      <c r="AY493" s="114"/>
      <c r="AZ493" s="127"/>
      <c r="BA493" s="127"/>
      <c r="BB493" s="127"/>
      <c r="BC493" s="127"/>
      <c r="BJ493" s="91"/>
    </row>
    <row r="494" s="76" customFormat="1" ht="14.45" customHeight="1" outlineLevel="1" spans="1:62">
      <c r="A494" s="76" t="s">
        <v>540</v>
      </c>
      <c r="B494" s="76" t="s">
        <v>440</v>
      </c>
      <c r="C494" s="387">
        <v>45824</v>
      </c>
      <c r="E494" s="113" t="s">
        <v>551</v>
      </c>
      <c r="F494" s="113"/>
      <c r="G494" s="584"/>
      <c r="H494" s="113" t="s">
        <v>93</v>
      </c>
      <c r="I494" s="113"/>
      <c r="J494" s="113">
        <v>54</v>
      </c>
      <c r="K494" s="279">
        <f>Z494+280</f>
        <v>6130</v>
      </c>
      <c r="L494" s="129">
        <f t="shared" ref="L494:L499" si="50">K494*J494</f>
        <v>331020</v>
      </c>
      <c r="M494" s="129">
        <f t="shared" ref="M494:M499" si="51">L494*0.3</f>
        <v>99306</v>
      </c>
      <c r="N494" s="76">
        <v>-17350.2</v>
      </c>
      <c r="O494" s="115">
        <f t="shared" ref="O494:O499" si="52">L494-N494</f>
        <v>348370.2</v>
      </c>
      <c r="P494" s="91"/>
      <c r="Q494" s="91"/>
      <c r="R494" s="115" t="s">
        <v>88</v>
      </c>
      <c r="S494" s="76" t="s">
        <v>543</v>
      </c>
      <c r="T494" s="387">
        <v>45821</v>
      </c>
      <c r="U494" s="387">
        <v>45884</v>
      </c>
      <c r="V494" s="387">
        <v>45920</v>
      </c>
      <c r="X494" s="133" t="s">
        <v>90</v>
      </c>
      <c r="Y494" s="76">
        <v>54</v>
      </c>
      <c r="Z494" s="114">
        <v>5850</v>
      </c>
      <c r="AA494" s="114">
        <f t="shared" ref="AA494:AA499" si="53">Z494*Y494</f>
        <v>315900</v>
      </c>
      <c r="AB494" s="114"/>
      <c r="AC494" s="114"/>
      <c r="AD494" s="140"/>
      <c r="AE494" s="114"/>
      <c r="AF494" s="114"/>
      <c r="AG494" s="114"/>
      <c r="AH494" s="114"/>
      <c r="AI494" s="91"/>
      <c r="AJ494" s="84"/>
      <c r="AK494" s="76">
        <v>48.865</v>
      </c>
      <c r="AL494" s="76">
        <v>6130</v>
      </c>
      <c r="AM494" s="114">
        <f>AL494*AK494</f>
        <v>299542.45</v>
      </c>
      <c r="AN494" s="114">
        <v>-17350.2</v>
      </c>
      <c r="AQ494" s="387"/>
      <c r="AR494" s="387"/>
      <c r="AS494" s="387"/>
      <c r="AT494" s="387" t="s">
        <v>544</v>
      </c>
      <c r="AU494" s="76" t="s">
        <v>552</v>
      </c>
      <c r="AV494" s="76">
        <v>4</v>
      </c>
      <c r="AW494" s="112">
        <v>45934</v>
      </c>
      <c r="AX494" s="76">
        <v>48.865</v>
      </c>
      <c r="AY494" s="76">
        <v>6130</v>
      </c>
      <c r="AZ494" s="114">
        <f>AY494*AX494</f>
        <v>299542.45</v>
      </c>
      <c r="BA494" s="127"/>
      <c r="BB494" s="127"/>
      <c r="BC494" s="127"/>
      <c r="BJ494" s="91"/>
    </row>
    <row r="495" s="76" customFormat="1" ht="14.45" customHeight="1" outlineLevel="1" spans="1:62">
      <c r="A495" s="76" t="s">
        <v>540</v>
      </c>
      <c r="B495" s="76" t="s">
        <v>440</v>
      </c>
      <c r="C495" s="387">
        <v>45824</v>
      </c>
      <c r="D495" s="76" t="s">
        <v>553</v>
      </c>
      <c r="E495" s="113" t="s">
        <v>554</v>
      </c>
      <c r="F495" s="113"/>
      <c r="G495" s="584"/>
      <c r="H495" s="113" t="s">
        <v>93</v>
      </c>
      <c r="I495" s="113"/>
      <c r="J495" s="113">
        <v>27</v>
      </c>
      <c r="K495" s="279">
        <f>Z495+280</f>
        <v>5980</v>
      </c>
      <c r="L495" s="129">
        <f t="shared" si="50"/>
        <v>161460</v>
      </c>
      <c r="M495" s="129">
        <f t="shared" si="51"/>
        <v>48438</v>
      </c>
      <c r="N495" s="76">
        <v>38239.32</v>
      </c>
      <c r="O495" s="115">
        <f t="shared" si="52"/>
        <v>123220.68</v>
      </c>
      <c r="P495" s="91"/>
      <c r="Q495" s="91"/>
      <c r="R495" s="115" t="s">
        <v>88</v>
      </c>
      <c r="S495" s="76" t="s">
        <v>543</v>
      </c>
      <c r="T495" s="387">
        <v>45821</v>
      </c>
      <c r="U495" s="387">
        <v>45884</v>
      </c>
      <c r="V495" s="387">
        <v>45920</v>
      </c>
      <c r="X495" s="133" t="s">
        <v>90</v>
      </c>
      <c r="Y495" s="76">
        <v>21.729</v>
      </c>
      <c r="Z495" s="114">
        <v>5700</v>
      </c>
      <c r="AA495" s="114">
        <f t="shared" si="53"/>
        <v>123855.3</v>
      </c>
      <c r="AB495" s="114"/>
      <c r="AC495" s="114"/>
      <c r="AD495" s="140"/>
      <c r="AE495" s="114"/>
      <c r="AF495" s="114"/>
      <c r="AG495" s="114"/>
      <c r="AH495" s="114"/>
      <c r="AI495" s="91"/>
      <c r="AJ495" s="84"/>
      <c r="AK495" s="76">
        <v>21.729</v>
      </c>
      <c r="AM495" s="114"/>
      <c r="AN495" s="114">
        <v>38239.32</v>
      </c>
      <c r="AQ495" s="387"/>
      <c r="AR495" s="387"/>
      <c r="AS495" s="387"/>
      <c r="AT495" s="387"/>
      <c r="AW495" s="387"/>
      <c r="AX495" s="129"/>
      <c r="AY495" s="114"/>
      <c r="AZ495" s="127"/>
      <c r="BA495" s="127"/>
      <c r="BB495" s="127"/>
      <c r="BC495" s="127"/>
      <c r="BJ495" s="91"/>
    </row>
    <row r="496" s="76" customFormat="1" ht="14.45" customHeight="1" outlineLevel="1" spans="1:62">
      <c r="A496" s="76" t="s">
        <v>540</v>
      </c>
      <c r="B496" s="76" t="s">
        <v>440</v>
      </c>
      <c r="C496" s="387">
        <v>45824</v>
      </c>
      <c r="D496" s="76" t="s">
        <v>553</v>
      </c>
      <c r="E496" s="113" t="s">
        <v>555</v>
      </c>
      <c r="F496" s="113"/>
      <c r="G496" s="584"/>
      <c r="H496" s="113" t="s">
        <v>93</v>
      </c>
      <c r="I496" s="113"/>
      <c r="J496" s="113">
        <v>27</v>
      </c>
      <c r="K496" s="279">
        <f>Z496+280</f>
        <v>6030</v>
      </c>
      <c r="L496" s="129">
        <f t="shared" si="50"/>
        <v>162810</v>
      </c>
      <c r="M496" s="129">
        <f t="shared" si="51"/>
        <v>48843</v>
      </c>
      <c r="O496" s="115">
        <f t="shared" si="52"/>
        <v>162810</v>
      </c>
      <c r="P496" s="91"/>
      <c r="Q496" s="91"/>
      <c r="R496" s="115" t="s">
        <v>88</v>
      </c>
      <c r="S496" s="76" t="s">
        <v>543</v>
      </c>
      <c r="T496" s="387">
        <v>45821</v>
      </c>
      <c r="U496" s="387">
        <v>45884</v>
      </c>
      <c r="V496" s="387">
        <v>45920</v>
      </c>
      <c r="X496" s="133" t="s">
        <v>90</v>
      </c>
      <c r="Y496" s="76">
        <v>32.594</v>
      </c>
      <c r="Z496" s="114">
        <v>5750</v>
      </c>
      <c r="AA496" s="114">
        <f t="shared" si="53"/>
        <v>187415.5</v>
      </c>
      <c r="AB496" s="114"/>
      <c r="AC496" s="114"/>
      <c r="AD496" s="140"/>
      <c r="AE496" s="114"/>
      <c r="AF496" s="114"/>
      <c r="AG496" s="114"/>
      <c r="AH496" s="114"/>
      <c r="AI496" s="91"/>
      <c r="AJ496" s="84"/>
      <c r="AK496" s="76">
        <v>32.594</v>
      </c>
      <c r="AM496" s="114"/>
      <c r="AN496" s="114"/>
      <c r="AQ496" s="387"/>
      <c r="AR496" s="387"/>
      <c r="AS496" s="387"/>
      <c r="AT496" s="387"/>
      <c r="AW496" s="387"/>
      <c r="AX496" s="129"/>
      <c r="AY496" s="114"/>
      <c r="AZ496" s="127"/>
      <c r="BA496" s="127"/>
      <c r="BB496" s="127"/>
      <c r="BC496" s="127"/>
      <c r="BJ496" s="91"/>
    </row>
    <row r="497" s="76" customFormat="1" ht="14.4" outlineLevel="1" spans="1:62">
      <c r="A497" s="76" t="s">
        <v>540</v>
      </c>
      <c r="B497" s="76" t="s">
        <v>440</v>
      </c>
      <c r="C497" s="387">
        <v>45824</v>
      </c>
      <c r="E497" s="113" t="s">
        <v>556</v>
      </c>
      <c r="F497" s="113"/>
      <c r="G497" s="584"/>
      <c r="H497" s="113" t="s">
        <v>93</v>
      </c>
      <c r="I497" s="113"/>
      <c r="J497" s="113">
        <v>108</v>
      </c>
      <c r="K497" s="127">
        <f>Z497+340</f>
        <v>5820</v>
      </c>
      <c r="L497" s="129">
        <f t="shared" si="50"/>
        <v>628560</v>
      </c>
      <c r="M497" s="368">
        <f t="shared" si="51"/>
        <v>188568</v>
      </c>
      <c r="O497" s="115">
        <f t="shared" si="52"/>
        <v>628560</v>
      </c>
      <c r="P497" s="91"/>
      <c r="Q497" s="91"/>
      <c r="R497" s="115" t="s">
        <v>66</v>
      </c>
      <c r="S497" s="76" t="s">
        <v>557</v>
      </c>
      <c r="T497" s="387">
        <v>45821</v>
      </c>
      <c r="V497" s="112"/>
      <c r="Y497" s="76">
        <v>114.937</v>
      </c>
      <c r="Z497" s="199">
        <v>5480</v>
      </c>
      <c r="AA497" s="114">
        <f t="shared" si="53"/>
        <v>629854.76</v>
      </c>
      <c r="AB497" s="114">
        <v>177552</v>
      </c>
      <c r="AC497" s="114">
        <v>100000</v>
      </c>
      <c r="AD497" s="140"/>
      <c r="AE497" s="114"/>
      <c r="AF497" s="114"/>
      <c r="AG497" s="114"/>
      <c r="AH497" s="114"/>
      <c r="AI497" s="91"/>
      <c r="AJ497" s="84"/>
      <c r="AK497" s="76">
        <v>116.855</v>
      </c>
      <c r="AL497" s="76">
        <f>Z497+340</f>
        <v>5820</v>
      </c>
      <c r="AM497" s="114">
        <f>AL497*AK497</f>
        <v>680096.1</v>
      </c>
      <c r="AN497" s="114"/>
      <c r="AQ497" s="387"/>
      <c r="AR497" s="387"/>
      <c r="AS497" s="387"/>
      <c r="AT497" s="387"/>
      <c r="AW497" s="387"/>
      <c r="AX497" s="129">
        <v>116.855</v>
      </c>
      <c r="AY497" s="114">
        <v>5820</v>
      </c>
      <c r="AZ497" s="127">
        <f>AY497*AX497</f>
        <v>680096.1</v>
      </c>
      <c r="BA497" s="127"/>
      <c r="BB497" s="127"/>
      <c r="BC497" s="127"/>
      <c r="BJ497" s="91"/>
    </row>
    <row r="498" s="76" customFormat="1" ht="14.4" outlineLevel="1" spans="1:62">
      <c r="A498" s="76" t="s">
        <v>540</v>
      </c>
      <c r="B498" s="76" t="s">
        <v>440</v>
      </c>
      <c r="C498" s="387">
        <v>45824</v>
      </c>
      <c r="D498" s="76" t="s">
        <v>553</v>
      </c>
      <c r="E498" s="113" t="s">
        <v>558</v>
      </c>
      <c r="F498" s="113"/>
      <c r="G498" s="584"/>
      <c r="H498" s="113" t="s">
        <v>93</v>
      </c>
      <c r="I498" s="113"/>
      <c r="J498" s="113">
        <v>27</v>
      </c>
      <c r="K498" s="279">
        <f>Z498+280</f>
        <v>5780</v>
      </c>
      <c r="L498" s="129">
        <f t="shared" si="50"/>
        <v>156060</v>
      </c>
      <c r="M498" s="129">
        <f t="shared" si="51"/>
        <v>46818</v>
      </c>
      <c r="O498" s="115">
        <f t="shared" si="52"/>
        <v>156060</v>
      </c>
      <c r="P498" s="91"/>
      <c r="Q498" s="91"/>
      <c r="R498" s="115" t="s">
        <v>88</v>
      </c>
      <c r="S498" s="76" t="s">
        <v>543</v>
      </c>
      <c r="T498" s="387">
        <v>45821</v>
      </c>
      <c r="U498" s="387">
        <v>45884</v>
      </c>
      <c r="V498" s="387">
        <v>45920</v>
      </c>
      <c r="X498" s="133" t="s">
        <v>90</v>
      </c>
      <c r="Y498" s="76">
        <v>33.724</v>
      </c>
      <c r="Z498" s="114">
        <v>5500</v>
      </c>
      <c r="AA498" s="114">
        <f t="shared" si="53"/>
        <v>185482</v>
      </c>
      <c r="AB498" s="114"/>
      <c r="AC498" s="114"/>
      <c r="AD498" s="140"/>
      <c r="AE498" s="114"/>
      <c r="AF498" s="114"/>
      <c r="AG498" s="114"/>
      <c r="AH498" s="114"/>
      <c r="AI498" s="91"/>
      <c r="AJ498" s="84"/>
      <c r="AK498" s="76">
        <v>33.724</v>
      </c>
      <c r="AM498" s="114"/>
      <c r="AN498" s="114"/>
      <c r="AQ498" s="387"/>
      <c r="AR498" s="387"/>
      <c r="AS498" s="387"/>
      <c r="AT498" s="387"/>
      <c r="AW498" s="387"/>
      <c r="AX498" s="129"/>
      <c r="AY498" s="114"/>
      <c r="AZ498" s="127"/>
      <c r="BA498" s="127"/>
      <c r="BB498" s="127"/>
      <c r="BC498" s="127"/>
      <c r="BJ498" s="91"/>
    </row>
    <row r="499" s="224" customFormat="1" ht="14.4" outlineLevel="1" spans="1:62">
      <c r="A499" s="76" t="s">
        <v>540</v>
      </c>
      <c r="B499" s="76" t="s">
        <v>440</v>
      </c>
      <c r="C499" s="387">
        <v>45824</v>
      </c>
      <c r="E499" s="335" t="s">
        <v>559</v>
      </c>
      <c r="F499" s="335"/>
      <c r="G499" s="658"/>
      <c r="H499" s="335" t="s">
        <v>93</v>
      </c>
      <c r="I499" s="335"/>
      <c r="J499" s="335">
        <v>81</v>
      </c>
      <c r="K499" s="659">
        <f>Z499+340</f>
        <v>5490</v>
      </c>
      <c r="L499" s="337">
        <f t="shared" si="50"/>
        <v>444690</v>
      </c>
      <c r="M499" s="336">
        <f t="shared" si="51"/>
        <v>133407</v>
      </c>
      <c r="O499" s="115">
        <f t="shared" si="52"/>
        <v>444690</v>
      </c>
      <c r="P499" s="102"/>
      <c r="Q499" s="102"/>
      <c r="R499" s="660" t="s">
        <v>66</v>
      </c>
      <c r="S499" s="224" t="s">
        <v>557</v>
      </c>
      <c r="T499" s="385">
        <v>45821</v>
      </c>
      <c r="U499" s="385"/>
      <c r="V499" s="385"/>
      <c r="X499" s="602"/>
      <c r="Y499" s="224">
        <v>76.278</v>
      </c>
      <c r="Z499" s="383">
        <v>5150</v>
      </c>
      <c r="AA499" s="383">
        <f t="shared" si="53"/>
        <v>392831.7</v>
      </c>
      <c r="AB499" s="383">
        <v>125145</v>
      </c>
      <c r="AC499" s="383">
        <v>619989.46</v>
      </c>
      <c r="AD499" s="603"/>
      <c r="AE499" s="383"/>
      <c r="AF499" s="383"/>
      <c r="AG499" s="383"/>
      <c r="AH499" s="383"/>
      <c r="AI499" s="102"/>
      <c r="AJ499" s="84"/>
      <c r="AK499" s="224">
        <v>78.578</v>
      </c>
      <c r="AL499" s="76">
        <f>Z499+340</f>
        <v>5490</v>
      </c>
      <c r="AM499" s="114">
        <f>AL499*AK499</f>
        <v>431393.22</v>
      </c>
      <c r="AN499" s="383"/>
      <c r="AQ499" s="385"/>
      <c r="AR499" s="385"/>
      <c r="AS499" s="385"/>
      <c r="AT499" s="385"/>
      <c r="AW499" s="385"/>
      <c r="AX499" s="337">
        <v>71.809</v>
      </c>
      <c r="AY499" s="383">
        <v>5490</v>
      </c>
      <c r="AZ499" s="127">
        <f>AY499*AX499</f>
        <v>394231.41</v>
      </c>
      <c r="BA499" s="350"/>
      <c r="BB499" s="350"/>
      <c r="BC499" s="350"/>
      <c r="BJ499" s="102"/>
    </row>
    <row r="500" s="79" customFormat="1" ht="14.45" customHeight="1" spans="1:62">
      <c r="A500" s="79" t="s">
        <v>540</v>
      </c>
      <c r="B500" s="79" t="s">
        <v>440</v>
      </c>
      <c r="C500" s="463">
        <v>45824</v>
      </c>
      <c r="D500" s="79" t="s">
        <v>546</v>
      </c>
      <c r="E500" s="116"/>
      <c r="F500" s="116"/>
      <c r="G500" s="465"/>
      <c r="H500" s="116" t="s">
        <v>93</v>
      </c>
      <c r="I500" s="116"/>
      <c r="J500" s="116">
        <f>SUM(J491:J499)</f>
        <v>378</v>
      </c>
      <c r="K500" s="661"/>
      <c r="L500" s="194">
        <f>SUM(L491:L499)</f>
        <v>2210220</v>
      </c>
      <c r="M500" s="662"/>
      <c r="N500" s="79">
        <f>SUM(N491:N499)</f>
        <v>2248459.32</v>
      </c>
      <c r="O500" s="79">
        <f>SUM(O491:O499)</f>
        <v>-38239.3200000001</v>
      </c>
      <c r="P500" s="91"/>
      <c r="Q500" s="91"/>
      <c r="R500" s="464"/>
      <c r="T500" s="463"/>
      <c r="U500" s="463">
        <f>C500+60</f>
        <v>45884</v>
      </c>
      <c r="V500" s="463">
        <v>45920</v>
      </c>
      <c r="X500" s="193" t="s">
        <v>90</v>
      </c>
      <c r="Y500" s="79">
        <f>SUM(Y491:Y499)</f>
        <v>387.262</v>
      </c>
      <c r="Z500" s="192"/>
      <c r="AA500" s="192">
        <f>SUM(AA491:AA499)</f>
        <v>2145839.26</v>
      </c>
      <c r="AB500" s="192">
        <f>SUM(AB491:AB499)</f>
        <v>302697</v>
      </c>
      <c r="AC500" s="192">
        <f>SUM(AC491:AC499)</f>
        <v>719989.46</v>
      </c>
      <c r="AD500" s="196"/>
      <c r="AE500" s="192"/>
      <c r="AF500" s="192"/>
      <c r="AG500" s="192"/>
      <c r="AH500" s="192"/>
      <c r="AM500" s="192"/>
      <c r="AN500" s="192">
        <f>N500</f>
        <v>2248459.32</v>
      </c>
      <c r="AQ500" s="463">
        <f>V500</f>
        <v>45920</v>
      </c>
      <c r="AR500" s="463"/>
      <c r="AS500" s="463"/>
      <c r="AT500" s="463"/>
      <c r="AW500" s="463"/>
      <c r="AX500" s="194"/>
      <c r="AY500" s="192"/>
      <c r="AZ500" s="150"/>
      <c r="BA500" s="150"/>
      <c r="BB500" s="150"/>
      <c r="BC500" s="150"/>
      <c r="BI500" s="494" t="s">
        <v>85</v>
      </c>
    </row>
    <row r="501" s="76" customFormat="1" ht="15" customHeight="1" outlineLevel="1" spans="1:62">
      <c r="A501" s="76" t="s">
        <v>71</v>
      </c>
      <c r="C501" s="387"/>
      <c r="D501" s="76" t="s">
        <v>560</v>
      </c>
      <c r="E501" s="76" t="s">
        <v>561</v>
      </c>
      <c r="G501" s="586">
        <v>39000.35</v>
      </c>
      <c r="H501" s="76" t="s">
        <v>71</v>
      </c>
      <c r="J501" s="129">
        <v>19</v>
      </c>
      <c r="K501" s="129">
        <v>4105.3</v>
      </c>
      <c r="L501" s="129">
        <f>K501*J501</f>
        <v>78000.7</v>
      </c>
      <c r="M501" s="129">
        <f>L501*0.5</f>
        <v>39000.35</v>
      </c>
      <c r="N501" s="76">
        <f>39000.35+39000.35</f>
        <v>78000.7</v>
      </c>
      <c r="O501" s="115">
        <f>L501-N501</f>
        <v>0</v>
      </c>
      <c r="P501" s="91"/>
      <c r="Q501" s="91"/>
      <c r="R501" s="663" t="s">
        <v>562</v>
      </c>
      <c r="S501" s="76" t="s">
        <v>563</v>
      </c>
      <c r="T501" s="387">
        <v>45825</v>
      </c>
      <c r="U501" s="387">
        <f>T501+35</f>
        <v>45860</v>
      </c>
      <c r="V501" s="387">
        <v>45884</v>
      </c>
      <c r="X501" s="133" t="s">
        <v>90</v>
      </c>
      <c r="Y501" s="76">
        <v>19</v>
      </c>
      <c r="Z501" s="129">
        <v>4105.3</v>
      </c>
      <c r="AA501" s="114">
        <f>Z501*Y501</f>
        <v>78000.7</v>
      </c>
      <c r="AB501" s="114">
        <f>39000.35+39000.35</f>
        <v>78000.7</v>
      </c>
      <c r="AC501" s="114">
        <f>AA501-AB501</f>
        <v>0</v>
      </c>
      <c r="AD501" s="140"/>
      <c r="AE501" s="114"/>
      <c r="AF501" s="114"/>
      <c r="AG501" s="114"/>
      <c r="AH501" s="114"/>
      <c r="AI501" s="91"/>
      <c r="AK501" s="76">
        <v>19</v>
      </c>
      <c r="AL501" s="129">
        <v>4105.3</v>
      </c>
      <c r="AM501" s="114">
        <f>AL501*AK501</f>
        <v>78000.7</v>
      </c>
      <c r="AN501" s="114">
        <f>N501</f>
        <v>78000.7</v>
      </c>
      <c r="AP501" s="91"/>
      <c r="AQ501" s="387"/>
      <c r="AR501" s="387"/>
      <c r="AS501" s="387"/>
      <c r="AT501" s="387"/>
      <c r="AW501" s="387"/>
      <c r="AX501" s="129"/>
      <c r="AY501" s="114"/>
      <c r="AZ501" s="127"/>
      <c r="BA501" s="127"/>
      <c r="BB501" s="127"/>
      <c r="BC501" s="127"/>
      <c r="BJ501" s="91"/>
    </row>
    <row r="502" s="76" customFormat="1" ht="15" customHeight="1" outlineLevel="1" spans="1:62">
      <c r="A502" s="76" t="s">
        <v>71</v>
      </c>
      <c r="C502" s="385"/>
      <c r="G502" s="586"/>
      <c r="J502" s="129"/>
      <c r="K502" s="129"/>
      <c r="L502" s="129"/>
      <c r="M502" s="129"/>
      <c r="O502" s="115"/>
      <c r="P502" s="91"/>
      <c r="Q502" s="91"/>
      <c r="R502" s="578" t="s">
        <v>95</v>
      </c>
      <c r="T502" s="387"/>
      <c r="U502" s="387"/>
      <c r="V502" s="387"/>
      <c r="X502" s="133"/>
      <c r="Z502" s="140"/>
      <c r="AA502" s="114">
        <f>-(AM501*0.13/1.13)</f>
        <v>-8973.53185840708</v>
      </c>
      <c r="AB502" s="114"/>
      <c r="AC502" s="114"/>
      <c r="AD502" s="140"/>
      <c r="AE502" s="114"/>
      <c r="AF502" s="114"/>
      <c r="AG502" s="114"/>
      <c r="AH502" s="114"/>
      <c r="AI502" s="91"/>
      <c r="AL502" s="129"/>
      <c r="AM502" s="114"/>
      <c r="AN502" s="114"/>
      <c r="AP502" s="91"/>
      <c r="AQ502" s="387"/>
      <c r="AR502" s="387"/>
      <c r="AS502" s="387"/>
      <c r="AT502" s="387"/>
      <c r="AW502" s="387"/>
      <c r="AX502" s="129"/>
      <c r="AY502" s="114"/>
      <c r="AZ502" s="127"/>
      <c r="BA502" s="127"/>
      <c r="BB502" s="127"/>
      <c r="BC502" s="127"/>
      <c r="BJ502" s="91"/>
    </row>
    <row r="503" s="76" customFormat="1" ht="14.4" outlineLevel="1" spans="1:62">
      <c r="A503" s="76" t="s">
        <v>71</v>
      </c>
      <c r="B503" s="76" t="s">
        <v>440</v>
      </c>
      <c r="C503" s="664">
        <v>45838</v>
      </c>
      <c r="D503" s="76" t="s">
        <v>564</v>
      </c>
      <c r="E503" s="76" t="s">
        <v>561</v>
      </c>
      <c r="G503" s="586"/>
      <c r="H503" s="76" t="s">
        <v>71</v>
      </c>
      <c r="J503" s="129">
        <v>3</v>
      </c>
      <c r="K503" s="129">
        <v>9067</v>
      </c>
      <c r="L503" s="129">
        <f>K503*J503</f>
        <v>27201</v>
      </c>
      <c r="M503" s="129">
        <f>L503*0.5</f>
        <v>13600.5</v>
      </c>
      <c r="N503" s="76">
        <f>13600.5+13600.5</f>
        <v>27201</v>
      </c>
      <c r="O503" s="115">
        <f>L503-N503</f>
        <v>0</v>
      </c>
      <c r="P503" s="91"/>
      <c r="Q503" s="91"/>
      <c r="R503" s="663" t="s">
        <v>562</v>
      </c>
      <c r="S503" s="76" t="s">
        <v>565</v>
      </c>
      <c r="T503" s="387">
        <v>45838</v>
      </c>
      <c r="U503" s="387">
        <f>T503+35</f>
        <v>45873</v>
      </c>
      <c r="V503" s="387">
        <v>45915</v>
      </c>
      <c r="X503" s="133" t="s">
        <v>90</v>
      </c>
      <c r="Y503" s="76">
        <v>3</v>
      </c>
      <c r="Z503" s="129"/>
      <c r="AA503" s="114">
        <v>29301</v>
      </c>
      <c r="AB503" s="114">
        <v>13600</v>
      </c>
      <c r="AC503" s="114">
        <f>AA503-AB503</f>
        <v>15701</v>
      </c>
      <c r="AD503" s="140"/>
      <c r="AE503" s="114"/>
      <c r="AF503" s="114"/>
      <c r="AG503" s="114"/>
      <c r="AH503" s="114"/>
      <c r="AI503" s="91"/>
      <c r="AK503" s="76">
        <v>3</v>
      </c>
      <c r="AL503" s="76">
        <v>9067</v>
      </c>
      <c r="AM503" s="114">
        <f>AL503*AK503</f>
        <v>27201</v>
      </c>
      <c r="AN503" s="114">
        <f>N503</f>
        <v>27201</v>
      </c>
      <c r="AP503" s="91"/>
      <c r="AQ503" s="387"/>
      <c r="AR503" s="387"/>
      <c r="AS503" s="387"/>
      <c r="AT503" s="387"/>
      <c r="AW503" s="387"/>
      <c r="AX503" s="129"/>
      <c r="AY503" s="114"/>
      <c r="AZ503" s="127"/>
      <c r="BA503" s="127"/>
      <c r="BB503" s="127"/>
      <c r="BC503" s="127"/>
      <c r="BJ503" s="91"/>
    </row>
    <row r="504" s="76" customFormat="1" ht="14.4" outlineLevel="1" spans="1:62">
      <c r="A504" s="76" t="s">
        <v>71</v>
      </c>
      <c r="D504" s="76" t="s">
        <v>566</v>
      </c>
      <c r="E504" s="76" t="s">
        <v>561</v>
      </c>
      <c r="G504" s="586"/>
      <c r="H504" s="76" t="s">
        <v>71</v>
      </c>
      <c r="J504" s="129">
        <v>1</v>
      </c>
      <c r="K504" s="129">
        <v>10800</v>
      </c>
      <c r="L504" s="129">
        <f>K504*J504</f>
        <v>10800</v>
      </c>
      <c r="M504" s="129">
        <f>L504*0.5</f>
        <v>5400</v>
      </c>
      <c r="N504" s="114">
        <v>17280</v>
      </c>
      <c r="O504" s="115">
        <f>L504-N504</f>
        <v>-6480</v>
      </c>
      <c r="P504" s="91"/>
      <c r="Q504" s="91"/>
      <c r="R504" s="663" t="s">
        <v>562</v>
      </c>
      <c r="S504" s="76" t="s">
        <v>567</v>
      </c>
      <c r="T504" s="385">
        <v>45887</v>
      </c>
      <c r="U504" s="387"/>
      <c r="V504" s="387">
        <v>45915</v>
      </c>
      <c r="X504" s="133"/>
      <c r="Y504" s="76">
        <v>2</v>
      </c>
      <c r="Z504" s="129"/>
      <c r="AA504" s="114">
        <v>17980</v>
      </c>
      <c r="AB504" s="114">
        <v>10800</v>
      </c>
      <c r="AC504" s="114">
        <f>AA504-AB504</f>
        <v>7180</v>
      </c>
      <c r="AD504" s="140"/>
      <c r="AE504" s="114"/>
      <c r="AF504" s="114"/>
      <c r="AG504" s="114"/>
      <c r="AH504" s="114"/>
      <c r="AI504" s="91"/>
      <c r="AK504" s="76">
        <v>2</v>
      </c>
      <c r="AL504" s="76">
        <v>8640</v>
      </c>
      <c r="AM504" s="114">
        <f>AL504*AK504</f>
        <v>17280</v>
      </c>
      <c r="AN504" s="114">
        <v>17280</v>
      </c>
      <c r="AP504" s="91"/>
      <c r="AQ504" s="387"/>
      <c r="AR504" s="387"/>
      <c r="AS504" s="387"/>
      <c r="AT504" s="387"/>
      <c r="AW504" s="387"/>
      <c r="AX504" s="129"/>
      <c r="AY504" s="114"/>
      <c r="AZ504" s="127"/>
      <c r="BA504" s="127"/>
      <c r="BB504" s="127"/>
      <c r="BC504" s="127"/>
      <c r="BJ504" s="91"/>
    </row>
    <row r="505" s="76" customFormat="1" ht="14.4" outlineLevel="1" spans="1:62">
      <c r="A505" s="76" t="s">
        <v>71</v>
      </c>
      <c r="D505" s="76" t="s">
        <v>568</v>
      </c>
      <c r="E505" s="76" t="s">
        <v>561</v>
      </c>
      <c r="G505" s="586"/>
      <c r="J505" s="129">
        <v>18</v>
      </c>
      <c r="K505" s="129">
        <v>4459</v>
      </c>
      <c r="L505" s="129">
        <f>K505*J505</f>
        <v>80262</v>
      </c>
      <c r="M505" s="129"/>
      <c r="N505" s="276">
        <f>24078.6+56183.4</f>
        <v>80262</v>
      </c>
      <c r="O505" s="115"/>
      <c r="P505" s="91"/>
      <c r="Q505" s="91"/>
      <c r="R505" s="663" t="s">
        <v>562</v>
      </c>
      <c r="S505" s="76" t="s">
        <v>569</v>
      </c>
      <c r="T505" s="385">
        <v>45912</v>
      </c>
      <c r="U505" s="387">
        <f>T505+33</f>
        <v>45945</v>
      </c>
      <c r="V505" s="387">
        <v>45945</v>
      </c>
      <c r="X505" s="133"/>
      <c r="Y505" s="76">
        <v>18</v>
      </c>
      <c r="Z505" s="129"/>
      <c r="AA505" s="114">
        <v>80262</v>
      </c>
      <c r="AB505" s="114">
        <f>40131+63632</f>
        <v>103763</v>
      </c>
      <c r="AC505" s="114">
        <f>AA505-AB505</f>
        <v>-23501</v>
      </c>
      <c r="AD505" s="140"/>
      <c r="AE505" s="114"/>
      <c r="AF505" s="114"/>
      <c r="AG505" s="114"/>
      <c r="AH505" s="114"/>
      <c r="AI505" s="91"/>
      <c r="AK505" s="76">
        <v>18</v>
      </c>
      <c r="AL505" s="76">
        <v>4459</v>
      </c>
      <c r="AM505" s="114">
        <f>AL505*AK505</f>
        <v>80262</v>
      </c>
      <c r="AN505" s="276">
        <f>24078.6+56183.4</f>
        <v>80262</v>
      </c>
      <c r="AP505" s="91"/>
      <c r="AQ505" s="387"/>
      <c r="AR505" s="387"/>
      <c r="AS505" s="387"/>
      <c r="AT505" s="387"/>
      <c r="AW505" s="387"/>
      <c r="AX505" s="129"/>
      <c r="AY505" s="114"/>
      <c r="AZ505" s="127"/>
      <c r="BA505" s="127"/>
      <c r="BB505" s="127"/>
      <c r="BC505" s="127"/>
      <c r="BJ505" s="91"/>
    </row>
    <row r="506" s="79" customFormat="1" ht="14.4" spans="1:62">
      <c r="A506" s="79" t="s">
        <v>71</v>
      </c>
      <c r="B506" s="79" t="s">
        <v>440</v>
      </c>
      <c r="C506" s="463">
        <v>45820</v>
      </c>
      <c r="D506" s="79" t="s">
        <v>560</v>
      </c>
      <c r="E506" s="79" t="s">
        <v>570</v>
      </c>
      <c r="G506" s="486"/>
      <c r="H506" s="79" t="s">
        <v>71</v>
      </c>
      <c r="J506" s="194">
        <f>SUM(J501:J505)</f>
        <v>41</v>
      </c>
      <c r="K506" s="194"/>
      <c r="L506" s="194">
        <f>SUM(L501:L505)</f>
        <v>196263.7</v>
      </c>
      <c r="M506" s="194"/>
      <c r="N506" s="79">
        <f>SUM(N501:N505)</f>
        <v>202743.7</v>
      </c>
      <c r="O506" s="79">
        <f>SUM(O501:O505)</f>
        <v>-6480</v>
      </c>
      <c r="P506" s="91"/>
      <c r="Q506" s="91"/>
      <c r="T506" s="463"/>
      <c r="U506" s="463"/>
      <c r="V506" s="463">
        <f>V503</f>
        <v>45915</v>
      </c>
      <c r="X506" s="193" t="s">
        <v>355</v>
      </c>
      <c r="Y506" s="79">
        <f>SUM(Y501:Y504)</f>
        <v>24</v>
      </c>
      <c r="Z506" s="192"/>
      <c r="AA506" s="192">
        <f>AA501+AA503+AA504+AA505</f>
        <v>205543.7</v>
      </c>
      <c r="AB506" s="192">
        <f>AB501+AB503+AB504+AB505</f>
        <v>206163.7</v>
      </c>
      <c r="AC506" s="192">
        <f>AC501+AC503+AC504+AC505</f>
        <v>-620</v>
      </c>
      <c r="AD506" s="196"/>
      <c r="AE506" s="192"/>
      <c r="AF506" s="192"/>
      <c r="AG506" s="192"/>
      <c r="AH506" s="192"/>
      <c r="AM506" s="192"/>
      <c r="AN506" s="192">
        <f>N506</f>
        <v>202743.7</v>
      </c>
      <c r="AQ506" s="463">
        <f>V506</f>
        <v>45915</v>
      </c>
      <c r="AR506" s="463"/>
      <c r="AS506" s="463"/>
      <c r="AT506" s="463"/>
      <c r="AW506" s="463"/>
      <c r="AX506" s="194"/>
      <c r="AY506" s="192"/>
      <c r="AZ506" s="150"/>
      <c r="BA506" s="150"/>
      <c r="BB506" s="150"/>
      <c r="BC506" s="150"/>
      <c r="BI506" s="494" t="s">
        <v>85</v>
      </c>
    </row>
    <row r="507" s="76" customFormat="1" ht="14.4" outlineLevel="1" spans="1:62">
      <c r="A507" s="76" t="s">
        <v>571</v>
      </c>
      <c r="B507" s="76" t="s">
        <v>572</v>
      </c>
      <c r="C507" s="387"/>
      <c r="D507" s="76" t="s">
        <v>573</v>
      </c>
      <c r="E507" s="76" t="s">
        <v>574</v>
      </c>
      <c r="G507" s="586">
        <f>236988+29812</f>
        <v>266800</v>
      </c>
      <c r="H507" s="76" t="s">
        <v>93</v>
      </c>
      <c r="J507" s="129">
        <v>1160000</v>
      </c>
      <c r="K507" s="129">
        <v>0.2271</v>
      </c>
      <c r="L507" s="129">
        <f>K507*J507</f>
        <v>263436</v>
      </c>
      <c r="M507" s="129">
        <f>L507*0.3</f>
        <v>79030.8</v>
      </c>
      <c r="N507" s="76">
        <f>236988+29812</f>
        <v>266800</v>
      </c>
      <c r="O507" s="115">
        <f>L507-N507</f>
        <v>-3364</v>
      </c>
      <c r="P507" s="91"/>
      <c r="Q507" s="91"/>
      <c r="R507" s="115" t="s">
        <v>88</v>
      </c>
      <c r="S507" s="76" t="s">
        <v>575</v>
      </c>
      <c r="T507" s="387">
        <v>45832</v>
      </c>
      <c r="U507" s="387"/>
      <c r="V507" s="387"/>
      <c r="X507" s="133"/>
      <c r="Y507" s="129">
        <v>1160000</v>
      </c>
      <c r="Z507" s="114">
        <v>0.25</v>
      </c>
      <c r="AA507" s="114">
        <f>Z507*Y507</f>
        <v>290000</v>
      </c>
      <c r="AB507" s="114">
        <v>290000</v>
      </c>
      <c r="AC507" s="114"/>
      <c r="AD507" s="140"/>
      <c r="AE507" s="114"/>
      <c r="AF507" s="114"/>
      <c r="AG507" s="114"/>
      <c r="AH507" s="114"/>
      <c r="AI507" s="91"/>
      <c r="AK507" s="76">
        <v>1160000</v>
      </c>
      <c r="AL507" s="76">
        <v>0.23</v>
      </c>
      <c r="AM507" s="114">
        <f>AL507*AK507</f>
        <v>266800</v>
      </c>
      <c r="AN507" s="114">
        <f>N507</f>
        <v>266800</v>
      </c>
      <c r="AO507" s="76">
        <f>AM507-AN507</f>
        <v>0</v>
      </c>
      <c r="AP507" s="91"/>
      <c r="AQ507" s="387"/>
      <c r="AR507" s="387"/>
      <c r="AS507" s="387"/>
      <c r="AT507" s="387"/>
      <c r="AW507" s="387"/>
      <c r="AX507" s="76">
        <v>1160000</v>
      </c>
      <c r="AY507" s="76">
        <v>0.23</v>
      </c>
      <c r="AZ507" s="114">
        <f>AY507*AX507</f>
        <v>266800</v>
      </c>
      <c r="BA507" s="127">
        <f>AN507</f>
        <v>266800</v>
      </c>
      <c r="BB507" s="127"/>
      <c r="BC507" s="127">
        <f>AZ507-BA507-BB507</f>
        <v>0</v>
      </c>
      <c r="BJ507" s="91"/>
    </row>
    <row r="508" s="76" customFormat="1" ht="14.4" outlineLevel="1" spans="1:62">
      <c r="C508" s="387"/>
      <c r="G508" s="586"/>
      <c r="J508" s="129"/>
      <c r="K508" s="129"/>
      <c r="L508" s="129"/>
      <c r="M508" s="129"/>
      <c r="O508" s="115"/>
      <c r="P508" s="91"/>
      <c r="Q508" s="91"/>
      <c r="R508" s="578" t="s">
        <v>95</v>
      </c>
      <c r="T508" s="387"/>
      <c r="U508" s="387"/>
      <c r="V508" s="387"/>
      <c r="X508" s="133"/>
      <c r="Z508" s="140"/>
      <c r="AA508" s="114">
        <f>-(AM507*0.13/1.13)</f>
        <v>-30693.8053097345</v>
      </c>
      <c r="AB508" s="114"/>
      <c r="AC508" s="114"/>
      <c r="AD508" s="140"/>
      <c r="AE508" s="114"/>
      <c r="AF508" s="114"/>
      <c r="AG508" s="114"/>
      <c r="AH508" s="114"/>
      <c r="AI508" s="91"/>
      <c r="AK508" s="578"/>
      <c r="AM508" s="114"/>
      <c r="AN508" s="114"/>
      <c r="AP508" s="91"/>
      <c r="AQ508" s="387"/>
      <c r="AR508" s="387"/>
      <c r="AS508" s="387"/>
      <c r="AT508" s="387"/>
      <c r="AW508" s="387"/>
      <c r="AZ508" s="114"/>
      <c r="BA508" s="127"/>
      <c r="BB508" s="127"/>
      <c r="BC508" s="127"/>
      <c r="BJ508" s="91"/>
    </row>
    <row r="509" s="76" customFormat="1" ht="14.4" outlineLevel="1" spans="1:62">
      <c r="C509" s="387"/>
      <c r="G509" s="586"/>
      <c r="J509" s="129"/>
      <c r="K509" s="129"/>
      <c r="L509" s="129"/>
      <c r="M509" s="129"/>
      <c r="O509" s="115"/>
      <c r="P509" s="91"/>
      <c r="Q509" s="91"/>
      <c r="R509" s="578"/>
      <c r="S509" s="578" t="s">
        <v>288</v>
      </c>
      <c r="T509" s="387"/>
      <c r="U509" s="387"/>
      <c r="V509" s="387"/>
      <c r="X509" s="133"/>
      <c r="Z509" s="140"/>
      <c r="AA509" s="114">
        <v>4991</v>
      </c>
      <c r="AB509" s="114"/>
      <c r="AC509" s="114"/>
      <c r="AD509" s="140"/>
      <c r="AE509" s="114"/>
      <c r="AF509" s="114"/>
      <c r="AG509" s="114"/>
      <c r="AH509" s="114"/>
      <c r="AI509" s="91"/>
      <c r="AK509" s="578"/>
      <c r="AM509" s="114"/>
      <c r="AN509" s="114"/>
      <c r="AP509" s="91"/>
      <c r="AQ509" s="387"/>
      <c r="AR509" s="387"/>
      <c r="AS509" s="387"/>
      <c r="AT509" s="387"/>
      <c r="AW509" s="387"/>
      <c r="AZ509" s="114"/>
      <c r="BA509" s="127"/>
      <c r="BB509" s="127"/>
      <c r="BC509" s="127"/>
      <c r="BJ509" s="91"/>
    </row>
    <row r="510" s="79" customFormat="1" ht="14.4" spans="1:62">
      <c r="A510" s="79" t="s">
        <v>576</v>
      </c>
      <c r="B510" s="79" t="s">
        <v>572</v>
      </c>
      <c r="C510" s="463"/>
      <c r="D510" s="79" t="s">
        <v>573</v>
      </c>
      <c r="E510" s="79" t="s">
        <v>574</v>
      </c>
      <c r="G510" s="486"/>
      <c r="H510" s="79" t="s">
        <v>93</v>
      </c>
      <c r="J510" s="194">
        <f>J507</f>
        <v>1160000</v>
      </c>
      <c r="K510" s="194"/>
      <c r="L510" s="194">
        <f>L507</f>
        <v>263436</v>
      </c>
      <c r="M510" s="194"/>
      <c r="N510" s="79">
        <f>SUM(N507)</f>
        <v>266800</v>
      </c>
      <c r="O510" s="79">
        <f>O507</f>
        <v>-3364</v>
      </c>
      <c r="T510" s="463"/>
      <c r="U510" s="463">
        <f>T507+15</f>
        <v>45847</v>
      </c>
      <c r="V510" s="463">
        <v>45849</v>
      </c>
      <c r="X510" s="193" t="s">
        <v>90</v>
      </c>
      <c r="Y510" s="194">
        <f>Y507</f>
        <v>1160000</v>
      </c>
      <c r="Z510" s="192"/>
      <c r="AA510" s="192">
        <f>SUM(AA507:AA509)</f>
        <v>264297.194690265</v>
      </c>
      <c r="AB510" s="192">
        <v>290000</v>
      </c>
      <c r="AC510" s="192"/>
      <c r="AD510" s="196"/>
      <c r="AE510" s="192"/>
      <c r="AF510" s="192"/>
      <c r="AG510" s="192"/>
      <c r="AH510" s="192"/>
      <c r="AK510" s="79">
        <f>AK507</f>
        <v>1160000</v>
      </c>
      <c r="AM510" s="192">
        <f>SUM(AM507:AM508)</f>
        <v>266800</v>
      </c>
      <c r="AN510" s="192">
        <f>N510</f>
        <v>266800</v>
      </c>
      <c r="AO510" s="79">
        <f>SUM(AO507)</f>
        <v>0</v>
      </c>
      <c r="AQ510" s="463">
        <f>V510</f>
        <v>45849</v>
      </c>
      <c r="AR510" s="463"/>
      <c r="AS510" s="463"/>
      <c r="AT510" s="463" t="s">
        <v>577</v>
      </c>
      <c r="AU510" s="79">
        <v>1067977551</v>
      </c>
      <c r="AV510" s="79">
        <v>1</v>
      </c>
      <c r="AW510" s="463"/>
      <c r="AX510" s="194">
        <f>AX507</f>
        <v>1160000</v>
      </c>
      <c r="AY510" s="192"/>
      <c r="AZ510" s="150">
        <f>AZ507</f>
        <v>266800</v>
      </c>
      <c r="BA510" s="150">
        <f>BA507</f>
        <v>266800</v>
      </c>
      <c r="BB510" s="150"/>
      <c r="BC510" s="150">
        <f>BC507</f>
        <v>0</v>
      </c>
      <c r="BI510" s="494" t="s">
        <v>85</v>
      </c>
    </row>
    <row r="511" s="76" customFormat="1" customHeight="1" outlineLevel="1" spans="1:62">
      <c r="A511" s="76" t="s">
        <v>414</v>
      </c>
      <c r="B511" s="76" t="s">
        <v>578</v>
      </c>
      <c r="C511" s="664">
        <v>45832</v>
      </c>
      <c r="D511" s="76" t="s">
        <v>579</v>
      </c>
      <c r="E511" s="76" t="s">
        <v>580</v>
      </c>
      <c r="G511" s="586"/>
      <c r="H511" s="76" t="s">
        <v>75</v>
      </c>
      <c r="J511" s="127">
        <v>50</v>
      </c>
      <c r="K511" s="129">
        <v>6850</v>
      </c>
      <c r="L511" s="127">
        <f>K511*J511</f>
        <v>342500</v>
      </c>
      <c r="M511" s="127">
        <f>L511*3</f>
        <v>1027500</v>
      </c>
      <c r="N511" s="76">
        <f>102750+249826.35</f>
        <v>352576.35</v>
      </c>
      <c r="O511" s="115">
        <f>L511-N511</f>
        <v>-10076.35</v>
      </c>
      <c r="P511" s="91"/>
      <c r="Q511" s="91"/>
      <c r="R511" s="115" t="s">
        <v>88</v>
      </c>
      <c r="S511" s="76" t="s">
        <v>466</v>
      </c>
      <c r="T511" s="387">
        <v>45832</v>
      </c>
      <c r="U511" s="387">
        <f>T511+60</f>
        <v>45892</v>
      </c>
      <c r="V511" s="387">
        <v>45920</v>
      </c>
      <c r="X511" s="133" t="s">
        <v>90</v>
      </c>
      <c r="Y511" s="76">
        <v>51.471</v>
      </c>
      <c r="Z511" s="114">
        <v>6330</v>
      </c>
      <c r="AA511" s="114">
        <f>Z511*Y511</f>
        <v>325811.43</v>
      </c>
      <c r="AB511" s="114">
        <v>325811.43</v>
      </c>
      <c r="AC511" s="114"/>
      <c r="AD511" s="140"/>
      <c r="AE511" s="114"/>
      <c r="AF511" s="114"/>
      <c r="AG511" s="114"/>
      <c r="AH511" s="114"/>
      <c r="AI511" s="91"/>
      <c r="AK511" s="76">
        <v>51.471</v>
      </c>
      <c r="AL511" s="76">
        <v>6850</v>
      </c>
      <c r="AM511" s="114">
        <f>AL511*AK511</f>
        <v>352576.35</v>
      </c>
      <c r="AN511" s="114">
        <f>102750+249826.35</f>
        <v>352576.35</v>
      </c>
      <c r="AO511" s="76">
        <f>AM511-AN511</f>
        <v>0</v>
      </c>
      <c r="AP511" s="91"/>
      <c r="AQ511" s="387"/>
      <c r="AR511" s="387"/>
      <c r="AS511" s="387"/>
      <c r="AT511" s="387"/>
      <c r="AW511" s="387"/>
      <c r="AX511" s="129"/>
      <c r="AY511" s="114"/>
      <c r="AZ511" s="127"/>
      <c r="BA511" s="127"/>
      <c r="BB511" s="127"/>
      <c r="BC511" s="127"/>
      <c r="BJ511" s="91"/>
    </row>
    <row r="512" s="79" customFormat="1" customHeight="1" spans="1:62">
      <c r="A512" s="79" t="s">
        <v>414</v>
      </c>
      <c r="B512" s="79" t="s">
        <v>578</v>
      </c>
      <c r="C512" s="665">
        <v>45832</v>
      </c>
      <c r="D512" s="79" t="s">
        <v>579</v>
      </c>
      <c r="E512" s="79" t="str">
        <f>E511</f>
        <v>0,22x765 x1040</v>
      </c>
      <c r="G512" s="486"/>
      <c r="H512" s="79" t="s">
        <v>75</v>
      </c>
      <c r="J512" s="150">
        <f>J511</f>
        <v>50</v>
      </c>
      <c r="K512" s="194"/>
      <c r="L512" s="150">
        <f>L511</f>
        <v>342500</v>
      </c>
      <c r="M512" s="194"/>
      <c r="N512" s="79">
        <f>102750+249826.35</f>
        <v>352576.35</v>
      </c>
      <c r="O512" s="79">
        <f>O511</f>
        <v>-10076.35</v>
      </c>
      <c r="T512" s="463"/>
      <c r="U512" s="463">
        <f>U511</f>
        <v>45892</v>
      </c>
      <c r="V512" s="463">
        <v>45920</v>
      </c>
      <c r="X512" s="193" t="s">
        <v>90</v>
      </c>
      <c r="Y512" s="79">
        <f>Y511</f>
        <v>51.471</v>
      </c>
      <c r="Z512" s="192"/>
      <c r="AA512" s="192">
        <f>AA511</f>
        <v>325811.43</v>
      </c>
      <c r="AB512" s="192">
        <f>AB511</f>
        <v>325811.43</v>
      </c>
      <c r="AC512" s="192"/>
      <c r="AD512" s="196"/>
      <c r="AE512" s="192"/>
      <c r="AF512" s="192"/>
      <c r="AG512" s="192"/>
      <c r="AH512" s="192"/>
      <c r="AK512" s="79">
        <f>AK511</f>
        <v>51.471</v>
      </c>
      <c r="AM512" s="192">
        <f>AM511</f>
        <v>352576.35</v>
      </c>
      <c r="AN512" s="192">
        <f>N512</f>
        <v>352576.35</v>
      </c>
      <c r="AO512" s="79">
        <f>AM512-AN512</f>
        <v>0</v>
      </c>
      <c r="AQ512" s="463">
        <f>V512</f>
        <v>45920</v>
      </c>
      <c r="AR512" s="463"/>
      <c r="AS512" s="463"/>
      <c r="AT512" s="463"/>
      <c r="AW512" s="463">
        <v>45927</v>
      </c>
      <c r="AX512" s="194"/>
      <c r="AY512" s="192"/>
      <c r="AZ512" s="150"/>
      <c r="BA512" s="150"/>
      <c r="BB512" s="150"/>
      <c r="BC512" s="150"/>
    </row>
    <row r="513" s="76" customFormat="1" ht="14.4" outlineLevel="1" spans="1:62">
      <c r="A513" s="76" t="s">
        <v>338</v>
      </c>
      <c r="B513" s="76" t="s">
        <v>456</v>
      </c>
      <c r="C513" s="387">
        <v>45841</v>
      </c>
      <c r="D513" s="76" t="s">
        <v>581</v>
      </c>
      <c r="E513" s="76" t="s">
        <v>351</v>
      </c>
      <c r="G513" s="586">
        <f>540328</f>
        <v>540328</v>
      </c>
      <c r="H513" s="76" t="s">
        <v>93</v>
      </c>
      <c r="J513" s="264">
        <v>2320000</v>
      </c>
      <c r="K513" s="373">
        <v>0.2329</v>
      </c>
      <c r="L513" s="127">
        <f>K513*J513</f>
        <v>540328</v>
      </c>
      <c r="M513" s="129">
        <f>L513*0.3</f>
        <v>162098.4</v>
      </c>
      <c r="N513" s="76">
        <v>540328</v>
      </c>
      <c r="O513" s="423">
        <f>L513-N513</f>
        <v>0</v>
      </c>
      <c r="P513" s="91"/>
      <c r="Q513" s="91"/>
      <c r="R513" s="115" t="s">
        <v>88</v>
      </c>
      <c r="S513" s="76" t="s">
        <v>582</v>
      </c>
      <c r="T513" s="387">
        <v>45841</v>
      </c>
      <c r="U513" s="387">
        <f>T513+15</f>
        <v>45856</v>
      </c>
      <c r="V513" s="387"/>
      <c r="X513" s="133"/>
      <c r="Y513" s="264">
        <v>2320000</v>
      </c>
      <c r="Z513" s="373">
        <v>0.25</v>
      </c>
      <c r="AA513" s="127">
        <f>Z513*Y513</f>
        <v>580000</v>
      </c>
      <c r="AB513" s="114">
        <v>540328</v>
      </c>
      <c r="AC513" s="114"/>
      <c r="AD513" s="140"/>
      <c r="AE513" s="114"/>
      <c r="AF513" s="114"/>
      <c r="AG513" s="114"/>
      <c r="AH513" s="114"/>
      <c r="AI513" s="91"/>
      <c r="AK513" s="76">
        <v>2320000</v>
      </c>
      <c r="AL513" s="76">
        <v>0.2329</v>
      </c>
      <c r="AM513" s="114">
        <f>AL513*AK513</f>
        <v>540328</v>
      </c>
      <c r="AN513" s="383">
        <f>N513</f>
        <v>540328</v>
      </c>
      <c r="AO513" s="76">
        <f>AM513-AN513</f>
        <v>0</v>
      </c>
      <c r="AP513" s="91"/>
      <c r="AQ513" s="387"/>
      <c r="AR513" s="387"/>
      <c r="AS513" s="387"/>
      <c r="AT513" s="387"/>
      <c r="AW513" s="387"/>
      <c r="AX513" s="76">
        <v>2320000</v>
      </c>
      <c r="AY513" s="76">
        <v>0.2329</v>
      </c>
      <c r="AZ513" s="114">
        <f>AY513*AX513</f>
        <v>540328</v>
      </c>
      <c r="BA513" s="127"/>
      <c r="BB513" s="127"/>
      <c r="BC513" s="127"/>
      <c r="BJ513" s="91"/>
    </row>
    <row r="514" s="224" customFormat="1" ht="14.4" outlineLevel="1" spans="1:62">
      <c r="C514" s="387"/>
      <c r="G514" s="601"/>
      <c r="J514" s="374"/>
      <c r="K514" s="375"/>
      <c r="L514" s="350"/>
      <c r="M514" s="337"/>
      <c r="O514" s="666"/>
      <c r="P514" s="102"/>
      <c r="Q514" s="102"/>
      <c r="AB514" s="383">
        <v>39672</v>
      </c>
      <c r="AC514" s="383"/>
      <c r="AD514" s="603"/>
      <c r="AE514" s="383"/>
      <c r="AF514" s="383"/>
      <c r="AG514" s="383"/>
      <c r="AH514" s="383"/>
      <c r="AI514" s="102"/>
      <c r="AK514" s="578"/>
      <c r="AL514" s="76"/>
      <c r="AM514" s="114"/>
      <c r="AN514" s="383"/>
      <c r="AP514" s="102"/>
      <c r="AQ514" s="387"/>
      <c r="AR514" s="385"/>
      <c r="AS514" s="385"/>
      <c r="AT514" s="385"/>
      <c r="AW514" s="385"/>
      <c r="AX514" s="337"/>
      <c r="AY514" s="383"/>
      <c r="AZ514" s="350"/>
      <c r="BA514" s="350"/>
      <c r="BB514" s="350"/>
      <c r="BC514" s="350"/>
      <c r="BJ514" s="102"/>
    </row>
    <row r="515" s="224" customFormat="1" ht="14.4" outlineLevel="1" spans="1:62">
      <c r="C515" s="387"/>
      <c r="G515" s="601"/>
      <c r="J515" s="374"/>
      <c r="K515" s="375"/>
      <c r="L515" s="350"/>
      <c r="M515" s="337"/>
      <c r="O515" s="666"/>
      <c r="P515" s="102"/>
      <c r="Q515" s="102"/>
      <c r="R515" s="578" t="s">
        <v>95</v>
      </c>
      <c r="S515" s="76"/>
      <c r="T515" s="387"/>
      <c r="U515" s="387"/>
      <c r="V515" s="387"/>
      <c r="W515" s="76"/>
      <c r="X515" s="133"/>
      <c r="Y515" s="76"/>
      <c r="Z515" s="140"/>
      <c r="AA515" s="114">
        <f>-(AM513*0.13/1.13)</f>
        <v>-62161.6283185841</v>
      </c>
      <c r="AB515" s="383"/>
      <c r="AC515" s="383"/>
      <c r="AD515" s="603"/>
      <c r="AE515" s="383"/>
      <c r="AF515" s="383"/>
      <c r="AG515" s="383"/>
      <c r="AH515" s="383"/>
      <c r="AI515" s="102"/>
      <c r="AK515" s="643"/>
      <c r="AM515" s="383"/>
      <c r="AN515" s="383"/>
      <c r="AP515" s="102"/>
      <c r="AQ515" s="387"/>
      <c r="AR515" s="385"/>
      <c r="AS515" s="385"/>
      <c r="AT515" s="385"/>
      <c r="AW515" s="385"/>
      <c r="AX515" s="337"/>
      <c r="AY515" s="383"/>
      <c r="AZ515" s="350"/>
      <c r="BA515" s="350"/>
      <c r="BB515" s="350"/>
      <c r="BC515" s="350"/>
      <c r="BJ515" s="102"/>
    </row>
    <row r="516" s="224" customFormat="1" ht="14.4" outlineLevel="1" spans="1:62">
      <c r="C516" s="387"/>
      <c r="G516" s="601"/>
      <c r="J516" s="374"/>
      <c r="K516" s="375"/>
      <c r="L516" s="350"/>
      <c r="M516" s="337"/>
      <c r="O516" s="666"/>
      <c r="P516" s="102"/>
      <c r="Q516" s="102"/>
      <c r="R516" s="643"/>
      <c r="S516" s="643" t="s">
        <v>288</v>
      </c>
      <c r="T516" s="385"/>
      <c r="U516" s="385"/>
      <c r="V516" s="385"/>
      <c r="X516" s="602"/>
      <c r="Z516" s="603"/>
      <c r="AA516" s="114">
        <v>8832</v>
      </c>
      <c r="AB516" s="383"/>
      <c r="AC516" s="383"/>
      <c r="AD516" s="603"/>
      <c r="AE516" s="383"/>
      <c r="AF516" s="383"/>
      <c r="AG516" s="383"/>
      <c r="AH516" s="383"/>
      <c r="AI516" s="102"/>
      <c r="AK516" s="643"/>
      <c r="AM516" s="383"/>
      <c r="AN516" s="383"/>
      <c r="AP516" s="102"/>
      <c r="AQ516" s="387"/>
      <c r="AR516" s="385"/>
      <c r="AS516" s="385"/>
      <c r="AT516" s="385"/>
      <c r="AW516" s="385"/>
      <c r="AX516" s="337"/>
      <c r="AY516" s="383"/>
      <c r="AZ516" s="350"/>
      <c r="BA516" s="350"/>
      <c r="BB516" s="350"/>
      <c r="BC516" s="350"/>
      <c r="BJ516" s="102"/>
    </row>
    <row r="517" s="83" customFormat="1" ht="14.4" spans="1:62">
      <c r="A517" s="83" t="s">
        <v>338</v>
      </c>
      <c r="B517" s="83" t="s">
        <v>456</v>
      </c>
      <c r="C517" s="463">
        <v>45841</v>
      </c>
      <c r="D517" s="83" t="s">
        <v>581</v>
      </c>
      <c r="E517" s="83" t="s">
        <v>351</v>
      </c>
      <c r="G517" s="606"/>
      <c r="H517" s="83" t="s">
        <v>93</v>
      </c>
      <c r="J517" s="667">
        <v>2320000</v>
      </c>
      <c r="K517" s="668">
        <v>0.2329</v>
      </c>
      <c r="L517" s="236">
        <f>K517*J517</f>
        <v>540328</v>
      </c>
      <c r="M517" s="235">
        <f>M513</f>
        <v>162098.4</v>
      </c>
      <c r="N517" s="83">
        <f>SUM(N513)</f>
        <v>540328</v>
      </c>
      <c r="O517" s="83">
        <f>O513</f>
        <v>0</v>
      </c>
      <c r="T517" s="605"/>
      <c r="U517" s="605">
        <f>U513</f>
        <v>45856</v>
      </c>
      <c r="V517" s="605">
        <v>45861</v>
      </c>
      <c r="X517" s="232" t="s">
        <v>355</v>
      </c>
      <c r="Y517" s="83">
        <f>Y513</f>
        <v>2320000</v>
      </c>
      <c r="Z517" s="219"/>
      <c r="AA517" s="192">
        <f>SUM(AA513:AA516)</f>
        <v>526670.371681416</v>
      </c>
      <c r="AB517" s="219">
        <f>SUM(AB513:AB514)</f>
        <v>580000</v>
      </c>
      <c r="AC517" s="219"/>
      <c r="AD517" s="234"/>
      <c r="AE517" s="219"/>
      <c r="AF517" s="219"/>
      <c r="AG517" s="219"/>
      <c r="AH517" s="219"/>
      <c r="AK517" s="83">
        <f>AK513</f>
        <v>2320000</v>
      </c>
      <c r="AM517" s="219">
        <f>SUM(AM513:AM514)</f>
        <v>540328</v>
      </c>
      <c r="AN517" s="219">
        <f>N517</f>
        <v>540328</v>
      </c>
      <c r="AO517" s="83">
        <f>AM517-AN517</f>
        <v>0</v>
      </c>
      <c r="AQ517" s="463">
        <f>V517</f>
        <v>45861</v>
      </c>
      <c r="AR517" s="605"/>
      <c r="AS517" s="605"/>
      <c r="AT517" s="605"/>
      <c r="AU517" s="83">
        <v>1068424315</v>
      </c>
      <c r="AV517" s="83">
        <v>2</v>
      </c>
      <c r="AW517" s="605">
        <v>45878</v>
      </c>
      <c r="AX517" s="235"/>
      <c r="AY517" s="219"/>
      <c r="AZ517" s="236"/>
      <c r="BA517" s="236"/>
      <c r="BB517" s="236"/>
      <c r="BC517" s="236"/>
    </row>
    <row r="518" s="311" customFormat="1" customHeight="1" outlineLevel="1" spans="1:62">
      <c r="A518" s="311" t="s">
        <v>365</v>
      </c>
      <c r="B518" s="311" t="s">
        <v>572</v>
      </c>
      <c r="C518" s="664">
        <v>45844</v>
      </c>
      <c r="D518" s="311" t="s">
        <v>583</v>
      </c>
      <c r="E518" s="311" t="s">
        <v>584</v>
      </c>
      <c r="G518" s="669">
        <f>812235.52</f>
        <v>812235.52</v>
      </c>
      <c r="H518" s="311" t="s">
        <v>93</v>
      </c>
      <c r="J518" s="328">
        <v>75</v>
      </c>
      <c r="K518" s="328">
        <f>Z518+280</f>
        <v>5930</v>
      </c>
      <c r="L518" s="350">
        <f>K518*J518</f>
        <v>444750</v>
      </c>
      <c r="M518" s="337">
        <f>L518*0.3</f>
        <v>133425</v>
      </c>
      <c r="O518" s="423">
        <f>L518-N518</f>
        <v>444750</v>
      </c>
      <c r="P518" s="670"/>
      <c r="Q518" s="670"/>
      <c r="R518" s="115" t="s">
        <v>88</v>
      </c>
      <c r="S518" s="311" t="s">
        <v>585</v>
      </c>
      <c r="T518" s="664">
        <v>45847</v>
      </c>
      <c r="U518" s="664"/>
      <c r="V518" s="664">
        <f>T518+55</f>
        <v>45902</v>
      </c>
      <c r="X518" s="671" t="s">
        <v>355</v>
      </c>
      <c r="Y518" s="311">
        <v>77.84</v>
      </c>
      <c r="Z518" s="672">
        <v>5650</v>
      </c>
      <c r="AA518" s="127">
        <f>Z518*Y518</f>
        <v>439796</v>
      </c>
      <c r="AB518" s="672"/>
      <c r="AC518" s="672"/>
      <c r="AD518" s="673"/>
      <c r="AE518" s="672"/>
      <c r="AF518" s="672"/>
      <c r="AG518" s="672"/>
      <c r="AH518" s="672"/>
      <c r="AI518" s="670"/>
      <c r="AK518" s="311">
        <v>77.84</v>
      </c>
      <c r="AL518" s="311">
        <v>5930</v>
      </c>
      <c r="AM518" s="114">
        <f>AL518*AK518</f>
        <v>461591.2</v>
      </c>
      <c r="AN518" s="383">
        <f>N518</f>
        <v>0</v>
      </c>
      <c r="AO518" s="76">
        <f>AM518-AN518</f>
        <v>461591.2</v>
      </c>
      <c r="AP518" s="670"/>
      <c r="AQ518" s="664"/>
      <c r="AR518" s="664"/>
      <c r="AS518" s="664"/>
      <c r="AT518" s="664"/>
      <c r="AW518" s="664"/>
      <c r="AX518" s="674">
        <v>77.84</v>
      </c>
      <c r="AY518" s="672"/>
      <c r="AZ518" s="675"/>
      <c r="BA518" s="675"/>
      <c r="BB518" s="675"/>
      <c r="BC518" s="675"/>
      <c r="BJ518" s="670"/>
    </row>
    <row r="519" s="421" customFormat="1" customHeight="1" outlineLevel="1" spans="1:62">
      <c r="A519" s="421" t="s">
        <v>365</v>
      </c>
      <c r="B519" s="421" t="s">
        <v>572</v>
      </c>
      <c r="C519" s="664">
        <v>45844</v>
      </c>
      <c r="D519" s="421" t="s">
        <v>583</v>
      </c>
      <c r="E519" s="421" t="s">
        <v>586</v>
      </c>
      <c r="G519" s="613"/>
      <c r="H519" s="421" t="s">
        <v>93</v>
      </c>
      <c r="J519" s="676">
        <v>75</v>
      </c>
      <c r="K519" s="328">
        <f>Z519+280</f>
        <v>6180</v>
      </c>
      <c r="L519" s="677">
        <f>K519*J519</f>
        <v>463500</v>
      </c>
      <c r="M519" s="676">
        <f>L519*0.3</f>
        <v>139050</v>
      </c>
      <c r="O519" s="423">
        <f>L519-N519</f>
        <v>463500</v>
      </c>
      <c r="R519" s="115" t="s">
        <v>88</v>
      </c>
      <c r="S519" s="421" t="s">
        <v>587</v>
      </c>
      <c r="T519" s="678">
        <v>45847</v>
      </c>
      <c r="U519" s="678"/>
      <c r="V519" s="664">
        <f>T519+55</f>
        <v>45902</v>
      </c>
      <c r="W519" s="679"/>
      <c r="X519" s="680" t="s">
        <v>355</v>
      </c>
      <c r="Y519" s="421">
        <v>71.815</v>
      </c>
      <c r="Z519" s="681">
        <v>5900</v>
      </c>
      <c r="AA519" s="127">
        <f>Z519*Y519</f>
        <v>423708.5</v>
      </c>
      <c r="AB519" s="681"/>
      <c r="AC519" s="681"/>
      <c r="AD519" s="682"/>
      <c r="AE519" s="681"/>
      <c r="AF519" s="681"/>
      <c r="AG519" s="681"/>
      <c r="AH519" s="681"/>
      <c r="AK519" s="421">
        <v>71.815</v>
      </c>
      <c r="AL519" s="421">
        <v>6180</v>
      </c>
      <c r="AM519" s="114">
        <f>AL519*AK519</f>
        <v>443816.7</v>
      </c>
      <c r="AN519" s="681">
        <f>N519</f>
        <v>0</v>
      </c>
      <c r="AO519" s="76">
        <f>AM519-AN519</f>
        <v>443816.7</v>
      </c>
      <c r="AQ519" s="678"/>
      <c r="AR519" s="678"/>
      <c r="AS519" s="678"/>
      <c r="AT519" s="678"/>
      <c r="AW519" s="678"/>
      <c r="AX519" s="674">
        <v>59.63</v>
      </c>
      <c r="AY519" s="681"/>
      <c r="AZ519" s="677"/>
      <c r="BA519" s="677"/>
      <c r="BB519" s="677"/>
      <c r="BC519" s="677"/>
    </row>
    <row r="520" s="422" customFormat="1" ht="30.75" customHeight="1" spans="1:62">
      <c r="A520" s="422" t="s">
        <v>365</v>
      </c>
      <c r="B520" s="683" t="s">
        <v>572</v>
      </c>
      <c r="C520" s="665">
        <v>45844</v>
      </c>
      <c r="D520" s="684" t="s">
        <v>583</v>
      </c>
      <c r="E520" s="685" t="s">
        <v>588</v>
      </c>
      <c r="G520" s="686"/>
      <c r="H520" s="422" t="s">
        <v>93</v>
      </c>
      <c r="J520" s="221">
        <f>SUM(J518:J519)</f>
        <v>150</v>
      </c>
      <c r="K520" s="221"/>
      <c r="L520" s="207"/>
      <c r="M520" s="687"/>
      <c r="O520" s="422">
        <f>SUM(O518:O519)</f>
        <v>908250</v>
      </c>
      <c r="T520" s="688"/>
      <c r="U520" s="688">
        <f>T519+45</f>
        <v>45892</v>
      </c>
      <c r="V520" s="688">
        <f>V519</f>
        <v>45902</v>
      </c>
      <c r="X520" s="689" t="s">
        <v>355</v>
      </c>
      <c r="Y520" s="82">
        <f>SUM(Y518:Y519)</f>
        <v>149.655</v>
      </c>
      <c r="Z520" s="218"/>
      <c r="AA520" s="690">
        <f>SUM(AA518:AA519)</f>
        <v>863504.5</v>
      </c>
      <c r="AB520" s="690">
        <v>863504.5</v>
      </c>
      <c r="AC520" s="691">
        <f>AA520-AB520</f>
        <v>0</v>
      </c>
      <c r="AD520" s="692"/>
      <c r="AE520" s="690"/>
      <c r="AF520" s="690"/>
      <c r="AG520" s="690"/>
      <c r="AH520" s="690"/>
      <c r="AK520" s="422">
        <f>SUM(AK518:AK519)</f>
        <v>149.655</v>
      </c>
      <c r="AM520" s="422">
        <f>SUM(AM518:AM519)</f>
        <v>905407.9</v>
      </c>
      <c r="AN520" s="422">
        <f>SUM(AN518:AN519)</f>
        <v>0</v>
      </c>
      <c r="AO520" s="422">
        <f>SUM(AO518:AO519)</f>
        <v>905407.9</v>
      </c>
      <c r="AQ520" s="463">
        <f>V520</f>
        <v>45902</v>
      </c>
      <c r="AR520" s="619"/>
      <c r="AS520" s="688"/>
      <c r="AT520" s="688" t="s">
        <v>589</v>
      </c>
      <c r="AU520" s="422">
        <v>1068676011</v>
      </c>
      <c r="AV520" s="422">
        <v>6</v>
      </c>
      <c r="AW520" s="688"/>
      <c r="AX520" s="687"/>
      <c r="AY520" s="690"/>
      <c r="AZ520" s="693"/>
      <c r="BA520" s="693"/>
      <c r="BB520" s="693"/>
      <c r="BC520" s="693"/>
    </row>
    <row r="521" s="423" customFormat="1" customHeight="1" outlineLevel="1" spans="1:62">
      <c r="A521" s="423" t="s">
        <v>590</v>
      </c>
      <c r="B521" s="423" t="s">
        <v>456</v>
      </c>
      <c r="C521" s="664">
        <v>45846</v>
      </c>
      <c r="D521" s="423" t="s">
        <v>591</v>
      </c>
      <c r="E521" s="423" t="s">
        <v>592</v>
      </c>
      <c r="G521" s="694">
        <f>34895.12+973539+321300+725418.05</f>
        <v>2055152.17</v>
      </c>
      <c r="H521" s="423" t="s">
        <v>93</v>
      </c>
      <c r="J521" s="328">
        <v>54</v>
      </c>
      <c r="K521" s="328">
        <v>6100</v>
      </c>
      <c r="L521" s="350">
        <f>K521*J521</f>
        <v>329400</v>
      </c>
      <c r="M521" s="695">
        <f>L521*0.3</f>
        <v>98820</v>
      </c>
      <c r="N521" s="423">
        <v>34895.12</v>
      </c>
      <c r="O521" s="423">
        <f>L521-N521</f>
        <v>294504.88</v>
      </c>
      <c r="P521" s="696"/>
      <c r="Q521" s="696"/>
      <c r="R521" s="423" t="s">
        <v>88</v>
      </c>
      <c r="S521" s="423" t="s">
        <v>593</v>
      </c>
      <c r="T521" s="697">
        <v>45845</v>
      </c>
      <c r="U521" s="697">
        <v>45905</v>
      </c>
      <c r="V521" s="697">
        <v>45910</v>
      </c>
      <c r="X521" s="698" t="s">
        <v>355</v>
      </c>
      <c r="Y521" s="328">
        <v>54.3</v>
      </c>
      <c r="Z521" s="328">
        <v>5850</v>
      </c>
      <c r="AA521" s="699">
        <f t="shared" ref="AA521:AA526" si="54">Z521*Y521</f>
        <v>317655</v>
      </c>
      <c r="AB521" s="699"/>
      <c r="AC521" s="699"/>
      <c r="AD521" s="700"/>
      <c r="AE521" s="699"/>
      <c r="AF521" s="699"/>
      <c r="AG521" s="699"/>
      <c r="AH521" s="699"/>
      <c r="AI521" s="696"/>
      <c r="AM521" s="699"/>
      <c r="AN521" s="699">
        <v>34895.12</v>
      </c>
      <c r="AO521" s="423">
        <f>AM521-AN521</f>
        <v>-34895.12</v>
      </c>
      <c r="AP521" s="696"/>
      <c r="AQ521" s="697"/>
      <c r="AR521" s="697"/>
      <c r="AS521" s="697"/>
      <c r="AT521" s="697"/>
      <c r="AW521" s="697"/>
      <c r="AX521" s="695"/>
      <c r="AY521" s="699"/>
      <c r="AZ521" s="701"/>
      <c r="BA521" s="701"/>
      <c r="BB521" s="701"/>
      <c r="BC521" s="701"/>
      <c r="BJ521" s="696"/>
    </row>
    <row r="522" s="423" customFormat="1" customHeight="1" outlineLevel="1" spans="1:62">
      <c r="A522" s="423" t="s">
        <v>590</v>
      </c>
      <c r="B522" s="423" t="s">
        <v>456</v>
      </c>
      <c r="C522" s="664">
        <v>45846</v>
      </c>
      <c r="D522" s="423" t="s">
        <v>591</v>
      </c>
      <c r="E522" s="423" t="s">
        <v>594</v>
      </c>
      <c r="G522" s="694"/>
      <c r="H522" s="423" t="s">
        <v>93</v>
      </c>
      <c r="J522" s="328">
        <v>135</v>
      </c>
      <c r="K522" s="328">
        <v>6100</v>
      </c>
      <c r="L522" s="350">
        <f>K522*J522</f>
        <v>823500</v>
      </c>
      <c r="M522" s="695">
        <f>L522*0.3</f>
        <v>247050</v>
      </c>
      <c r="N522" s="423">
        <f>973539+81252</f>
        <v>1054791</v>
      </c>
      <c r="O522" s="423">
        <f>L522-N522</f>
        <v>-231291</v>
      </c>
      <c r="P522" s="696"/>
      <c r="Q522" s="696"/>
      <c r="T522" s="697"/>
      <c r="U522" s="697">
        <v>45905</v>
      </c>
      <c r="V522" s="697">
        <v>45910</v>
      </c>
      <c r="X522" s="698" t="s">
        <v>355</v>
      </c>
      <c r="Y522" s="328">
        <v>135</v>
      </c>
      <c r="Z522" s="328">
        <v>5850</v>
      </c>
      <c r="AA522" s="699">
        <f t="shared" si="54"/>
        <v>789750</v>
      </c>
      <c r="AB522" s="699"/>
      <c r="AC522" s="699"/>
      <c r="AD522" s="700"/>
      <c r="AE522" s="699"/>
      <c r="AF522" s="699"/>
      <c r="AG522" s="699"/>
      <c r="AH522" s="699"/>
      <c r="AI522" s="696"/>
      <c r="AM522" s="699"/>
      <c r="AN522" s="423">
        <f>973539+81252</f>
        <v>1054791</v>
      </c>
      <c r="AO522" s="423">
        <f>AM522-AN522</f>
        <v>-1054791</v>
      </c>
      <c r="AP522" s="696"/>
      <c r="AQ522" s="697"/>
      <c r="AR522" s="697"/>
      <c r="AS522" s="702" t="s">
        <v>595</v>
      </c>
      <c r="AT522" s="697"/>
      <c r="AU522" s="423">
        <v>1069212595</v>
      </c>
      <c r="AV522" s="423">
        <v>5</v>
      </c>
      <c r="AW522" s="697">
        <v>45927</v>
      </c>
      <c r="AX522" s="695"/>
      <c r="AY522" s="699"/>
      <c r="AZ522" s="701"/>
      <c r="BA522" s="701"/>
      <c r="BB522" s="701"/>
      <c r="BC522" s="701"/>
      <c r="BJ522" s="696"/>
    </row>
    <row r="523" s="423" customFormat="1" customHeight="1" outlineLevel="1" spans="1:62">
      <c r="A523" s="423" t="s">
        <v>590</v>
      </c>
      <c r="B523" s="423" t="s">
        <v>456</v>
      </c>
      <c r="C523" s="664">
        <v>45846</v>
      </c>
      <c r="D523" s="423" t="s">
        <v>591</v>
      </c>
      <c r="E523" s="423" t="s">
        <v>159</v>
      </c>
      <c r="G523" s="694"/>
      <c r="H523" s="423" t="s">
        <v>93</v>
      </c>
      <c r="J523" s="328">
        <v>25</v>
      </c>
      <c r="K523" s="328">
        <v>5950</v>
      </c>
      <c r="L523" s="350">
        <f>K523*J523</f>
        <v>148750</v>
      </c>
      <c r="M523" s="695">
        <f>L523*0.3</f>
        <v>44625</v>
      </c>
      <c r="N523" s="423">
        <f>321300+13185.2</f>
        <v>334485.2</v>
      </c>
      <c r="O523" s="423">
        <f>L523-N523</f>
        <v>-185735.2</v>
      </c>
      <c r="P523" s="696"/>
      <c r="Q523" s="696"/>
      <c r="T523" s="697"/>
      <c r="U523" s="697">
        <v>45905</v>
      </c>
      <c r="V523" s="697">
        <v>45910</v>
      </c>
      <c r="X523" s="698" t="s">
        <v>355</v>
      </c>
      <c r="Y523" s="328">
        <v>25</v>
      </c>
      <c r="Z523" s="328">
        <v>5700</v>
      </c>
      <c r="AA523" s="699">
        <f t="shared" si="54"/>
        <v>142500</v>
      </c>
      <c r="AB523" s="699"/>
      <c r="AC523" s="699"/>
      <c r="AD523" s="700"/>
      <c r="AE523" s="699"/>
      <c r="AF523" s="699"/>
      <c r="AG523" s="699"/>
      <c r="AH523" s="699"/>
      <c r="AI523" s="696"/>
      <c r="AM523" s="699"/>
      <c r="AN523" s="423">
        <f>321300+13185.2</f>
        <v>334485.2</v>
      </c>
      <c r="AO523" s="423">
        <f>AM523-AN523</f>
        <v>-334485.2</v>
      </c>
      <c r="AP523" s="696"/>
      <c r="AQ523" s="697"/>
      <c r="AR523" s="697"/>
      <c r="AS523" s="702" t="s">
        <v>596</v>
      </c>
      <c r="AT523" s="697"/>
      <c r="AU523" s="423" t="s">
        <v>597</v>
      </c>
      <c r="AV523" s="423">
        <v>3</v>
      </c>
      <c r="AW523" s="697">
        <v>45955</v>
      </c>
      <c r="AX523" s="695"/>
      <c r="AY523" s="699"/>
      <c r="AZ523" s="701"/>
      <c r="BA523" s="701"/>
      <c r="BB523" s="701"/>
      <c r="BC523" s="701"/>
      <c r="BJ523" s="696"/>
    </row>
    <row r="524" s="423" customFormat="1" customHeight="1" outlineLevel="1" spans="1:62">
      <c r="A524" s="423" t="s">
        <v>590</v>
      </c>
      <c r="B524" s="423" t="s">
        <v>456</v>
      </c>
      <c r="C524" s="664">
        <v>45846</v>
      </c>
      <c r="D524" s="423" t="s">
        <v>591</v>
      </c>
      <c r="E524" s="423" t="s">
        <v>598</v>
      </c>
      <c r="G524" s="694"/>
      <c r="H524" s="423" t="s">
        <v>93</v>
      </c>
      <c r="J524" s="328">
        <v>110</v>
      </c>
      <c r="K524" s="328">
        <v>6100</v>
      </c>
      <c r="L524" s="350">
        <f>K524*J524</f>
        <v>671000</v>
      </c>
      <c r="M524" s="695">
        <f>L524*0.3</f>
        <v>201300</v>
      </c>
      <c r="N524" s="423">
        <f>725418.05+23161.7</f>
        <v>748579.75</v>
      </c>
      <c r="O524" s="423">
        <f>L524-N524</f>
        <v>-77579.75</v>
      </c>
      <c r="P524" s="696"/>
      <c r="Q524" s="696"/>
      <c r="T524" s="697"/>
      <c r="U524" s="697">
        <v>45905</v>
      </c>
      <c r="V524" s="697">
        <v>45925</v>
      </c>
      <c r="X524" s="698" t="s">
        <v>355</v>
      </c>
      <c r="Y524" s="328">
        <v>113.4</v>
      </c>
      <c r="Z524" s="328">
        <v>5850</v>
      </c>
      <c r="AA524" s="699">
        <f t="shared" si="54"/>
        <v>663390</v>
      </c>
      <c r="AB524" s="699"/>
      <c r="AC524" s="699"/>
      <c r="AD524" s="700"/>
      <c r="AE524" s="699"/>
      <c r="AF524" s="699"/>
      <c r="AG524" s="699"/>
      <c r="AH524" s="699"/>
      <c r="AI524" s="696"/>
      <c r="AM524" s="699"/>
      <c r="AN524" s="423">
        <f>725418.05+23161.7</f>
        <v>748579.75</v>
      </c>
      <c r="AO524" s="423">
        <f>AM524-AN524</f>
        <v>-748579.75</v>
      </c>
      <c r="AP524" s="696"/>
      <c r="AQ524" s="697"/>
      <c r="AR524" s="697"/>
      <c r="AS524" s="702" t="s">
        <v>599</v>
      </c>
      <c r="AT524" s="697"/>
      <c r="AU524" s="423" t="s">
        <v>600</v>
      </c>
      <c r="AV524" s="423">
        <v>3</v>
      </c>
      <c r="AW524" s="697">
        <v>45955</v>
      </c>
      <c r="AX524" s="695"/>
      <c r="AY524" s="699"/>
      <c r="AZ524" s="701"/>
      <c r="BA524" s="701"/>
      <c r="BB524" s="701"/>
      <c r="BC524" s="701"/>
      <c r="BJ524" s="696"/>
    </row>
    <row r="525" s="423" customFormat="1" ht="14.4" outlineLevel="1" spans="1:62">
      <c r="A525" s="423" t="s">
        <v>590</v>
      </c>
      <c r="B525" s="423" t="s">
        <v>456</v>
      </c>
      <c r="C525" s="664">
        <v>45846</v>
      </c>
      <c r="D525" s="423" t="s">
        <v>591</v>
      </c>
      <c r="E525" s="423" t="s">
        <v>162</v>
      </c>
      <c r="G525" s="694"/>
      <c r="H525" s="423" t="s">
        <v>93</v>
      </c>
      <c r="J525" s="328">
        <v>220</v>
      </c>
      <c r="K525" s="328">
        <v>5950</v>
      </c>
      <c r="L525" s="350">
        <f>K525*J525</f>
        <v>1309000</v>
      </c>
      <c r="M525" s="695">
        <f>L525*0.3</f>
        <v>392700</v>
      </c>
      <c r="N525" s="423">
        <f>2427515+18159.4</f>
        <v>2445674.4</v>
      </c>
      <c r="O525" s="423">
        <f>L525-N525</f>
        <v>-1136674.4</v>
      </c>
      <c r="P525" s="696"/>
      <c r="Q525" s="696"/>
      <c r="T525" s="697"/>
      <c r="U525" s="697">
        <v>45905</v>
      </c>
      <c r="V525" s="697">
        <v>45925</v>
      </c>
      <c r="X525" s="698" t="s">
        <v>355</v>
      </c>
      <c r="Y525" s="328">
        <v>182.279</v>
      </c>
      <c r="Z525" s="328">
        <v>5700</v>
      </c>
      <c r="AA525" s="699">
        <f t="shared" si="54"/>
        <v>1038990.3</v>
      </c>
      <c r="AB525" s="699"/>
      <c r="AC525" s="699"/>
      <c r="AD525" s="700"/>
      <c r="AE525" s="699"/>
      <c r="AF525" s="699"/>
      <c r="AG525" s="699"/>
      <c r="AH525" s="699"/>
      <c r="AI525" s="696"/>
      <c r="AK525" s="423">
        <v>81.419</v>
      </c>
      <c r="AL525" s="423">
        <f>Z524+250</f>
        <v>6100</v>
      </c>
      <c r="AM525" s="699">
        <f>AK525*AL525</f>
        <v>496655.9</v>
      </c>
      <c r="AN525" s="699">
        <f>2427515+18159.4</f>
        <v>2445674.4</v>
      </c>
      <c r="AO525" s="423">
        <f>AM525-AN525</f>
        <v>-1949018.5</v>
      </c>
      <c r="AP525" s="696"/>
      <c r="AQ525" s="697"/>
      <c r="AR525" s="697"/>
      <c r="AS525" s="702" t="s">
        <v>601</v>
      </c>
      <c r="AT525" s="697"/>
      <c r="AU525" s="423">
        <v>1069220354</v>
      </c>
      <c r="AV525" s="423">
        <v>5</v>
      </c>
      <c r="AW525" s="697" t="s">
        <v>602</v>
      </c>
      <c r="AX525" s="695"/>
      <c r="AY525" s="699"/>
      <c r="AZ525" s="701"/>
      <c r="BA525" s="701"/>
      <c r="BB525" s="701"/>
      <c r="BC525" s="701"/>
      <c r="BJ525" s="696"/>
    </row>
    <row r="526" s="423" customFormat="1" ht="14.4" outlineLevel="1" spans="1:62">
      <c r="A526" s="423" t="s">
        <v>590</v>
      </c>
      <c r="B526" s="423" t="s">
        <v>456</v>
      </c>
      <c r="C526" s="664">
        <v>45846</v>
      </c>
      <c r="D526" s="423" t="s">
        <v>591</v>
      </c>
      <c r="E526" s="423" t="s">
        <v>153</v>
      </c>
      <c r="G526" s="694"/>
      <c r="J526" s="328"/>
      <c r="K526" s="328"/>
      <c r="L526" s="350"/>
      <c r="M526" s="695"/>
      <c r="N526" s="423">
        <v>50947.2</v>
      </c>
      <c r="P526" s="696"/>
      <c r="Q526" s="696"/>
      <c r="T526" s="697"/>
      <c r="U526" s="697">
        <v>45905</v>
      </c>
      <c r="V526" s="697">
        <v>45940</v>
      </c>
      <c r="W526" s="703"/>
      <c r="X526" s="704"/>
      <c r="Y526" s="213">
        <v>81</v>
      </c>
      <c r="Z526" s="213">
        <v>5700</v>
      </c>
      <c r="AA526" s="705">
        <f t="shared" si="54"/>
        <v>461700</v>
      </c>
      <c r="AB526" s="699">
        <v>900000</v>
      </c>
      <c r="AC526" s="699"/>
      <c r="AD526" s="700"/>
      <c r="AE526" s="699"/>
      <c r="AF526" s="699"/>
      <c r="AG526" s="699"/>
      <c r="AH526" s="699"/>
      <c r="AI526" s="696"/>
      <c r="AK526" s="423">
        <v>108</v>
      </c>
      <c r="AL526" s="423">
        <f>Z525+250</f>
        <v>5950</v>
      </c>
      <c r="AM526" s="699">
        <f>AK526*AL526</f>
        <v>642600</v>
      </c>
      <c r="AN526" s="699">
        <v>50947.2</v>
      </c>
      <c r="AP526" s="696"/>
      <c r="AQ526" s="697"/>
      <c r="AR526" s="697"/>
      <c r="AS526" s="697" t="s">
        <v>233</v>
      </c>
      <c r="AT526" s="697"/>
      <c r="AU526" s="423">
        <v>1069220492</v>
      </c>
      <c r="AV526" s="423">
        <v>2</v>
      </c>
      <c r="AW526" s="697">
        <v>45927</v>
      </c>
      <c r="AX526" s="695"/>
      <c r="AY526" s="699"/>
      <c r="AZ526" s="701"/>
      <c r="BA526" s="701"/>
      <c r="BB526" s="701"/>
      <c r="BC526" s="701"/>
      <c r="BJ526" s="696"/>
    </row>
    <row r="527" s="423" customFormat="1" ht="14.4" outlineLevel="1" spans="1:62">
      <c r="A527" s="423" t="s">
        <v>590</v>
      </c>
      <c r="B527" s="423" t="s">
        <v>456</v>
      </c>
      <c r="C527" s="664">
        <v>45846</v>
      </c>
      <c r="D527" s="423" t="s">
        <v>603</v>
      </c>
      <c r="E527" s="423" t="s">
        <v>153</v>
      </c>
      <c r="G527" s="694"/>
      <c r="H527" s="423" t="s">
        <v>93</v>
      </c>
      <c r="J527" s="328">
        <v>81</v>
      </c>
      <c r="K527" s="328">
        <v>5950</v>
      </c>
      <c r="L527" s="350">
        <f>K527*J527</f>
        <v>481950</v>
      </c>
      <c r="M527" s="695">
        <f>L527*0.3</f>
        <v>144585</v>
      </c>
      <c r="N527" s="423">
        <v>472540.79</v>
      </c>
      <c r="O527" s="423">
        <f>L527-N527</f>
        <v>9409.21000000002</v>
      </c>
      <c r="P527" s="696"/>
      <c r="Q527" s="696"/>
      <c r="T527" s="697"/>
      <c r="AB527" s="699">
        <v>1002738.3</v>
      </c>
      <c r="AC527" s="699"/>
      <c r="AD527" s="700"/>
      <c r="AE527" s="699"/>
      <c r="AF527" s="699"/>
      <c r="AG527" s="699"/>
      <c r="AH527" s="699"/>
      <c r="AI527" s="696"/>
      <c r="AK527" s="423">
        <v>27.612</v>
      </c>
      <c r="AL527" s="423">
        <f>Z526+250</f>
        <v>5950</v>
      </c>
      <c r="AM527" s="699">
        <f>AK527*AL527</f>
        <v>164291.4</v>
      </c>
      <c r="AN527" s="699">
        <v>472540.79</v>
      </c>
      <c r="AO527" s="423">
        <f>AM527-AN527</f>
        <v>-308249.39</v>
      </c>
      <c r="AP527" s="696"/>
      <c r="AQ527" s="697"/>
      <c r="AR527" s="697"/>
      <c r="AS527" s="697"/>
      <c r="AT527" s="697"/>
      <c r="AV527" s="423">
        <v>3</v>
      </c>
      <c r="AW527" s="697"/>
      <c r="AX527" s="423">
        <v>27.612</v>
      </c>
      <c r="AY527" s="423">
        <f>AL527+250</f>
        <v>6200</v>
      </c>
      <c r="AZ527" s="699">
        <f>AX527*AY527</f>
        <v>171194.4</v>
      </c>
      <c r="BA527" s="701"/>
      <c r="BB527" s="701"/>
      <c r="BC527" s="701"/>
      <c r="BJ527" s="696"/>
    </row>
    <row r="528" s="423" customFormat="1" ht="14.4" outlineLevel="1" spans="1:62">
      <c r="A528" s="423" t="s">
        <v>590</v>
      </c>
      <c r="B528" s="423" t="s">
        <v>456</v>
      </c>
      <c r="C528" s="664">
        <v>45846</v>
      </c>
      <c r="D528" s="423" t="s">
        <v>604</v>
      </c>
      <c r="E528" s="423" t="s">
        <v>605</v>
      </c>
      <c r="G528" s="694"/>
      <c r="H528" s="423" t="s">
        <v>93</v>
      </c>
      <c r="J528" s="328">
        <v>162</v>
      </c>
      <c r="K528" s="328">
        <v>5950</v>
      </c>
      <c r="L528" s="350">
        <f>K528*J528</f>
        <v>963900</v>
      </c>
      <c r="M528" s="695">
        <f>L528*0.3</f>
        <v>289170</v>
      </c>
      <c r="N528" s="423">
        <v>270000</v>
      </c>
      <c r="O528" s="423">
        <f>L528-N528</f>
        <v>693900</v>
      </c>
      <c r="P528" s="696"/>
      <c r="Q528" s="696"/>
      <c r="T528" s="697"/>
      <c r="U528" s="697">
        <v>45905</v>
      </c>
      <c r="V528" s="697">
        <v>45940</v>
      </c>
      <c r="X528" s="698" t="s">
        <v>90</v>
      </c>
      <c r="Y528" s="328">
        <v>190.89</v>
      </c>
      <c r="Z528" s="328">
        <v>5700</v>
      </c>
      <c r="AA528" s="699">
        <f>Z528*Y528</f>
        <v>1088073</v>
      </c>
      <c r="AB528" s="699"/>
      <c r="AC528" s="699"/>
      <c r="AD528" s="700"/>
      <c r="AE528" s="699"/>
      <c r="AF528" s="699"/>
      <c r="AG528" s="699"/>
      <c r="AH528" s="699"/>
      <c r="AI528" s="696"/>
      <c r="AK528" s="213">
        <v>136.35</v>
      </c>
      <c r="AL528" s="423">
        <f>Z528+250</f>
        <v>5950</v>
      </c>
      <c r="AM528" s="699">
        <f>AK528*AL528</f>
        <v>811282.5</v>
      </c>
      <c r="AN528" s="699">
        <v>270000</v>
      </c>
      <c r="AO528" s="423">
        <f>AM528-AN528</f>
        <v>541282.5</v>
      </c>
      <c r="AP528" s="696"/>
      <c r="AQ528" s="697">
        <v>45915</v>
      </c>
      <c r="AR528" s="697"/>
      <c r="AS528" s="702" t="s">
        <v>606</v>
      </c>
      <c r="AU528" s="423">
        <v>1069193710</v>
      </c>
      <c r="AV528" s="423">
        <v>5</v>
      </c>
      <c r="AW528" s="697">
        <v>45920</v>
      </c>
      <c r="AX528" s="213">
        <v>136.35</v>
      </c>
      <c r="AY528" s="423">
        <f>AL528+250</f>
        <v>6200</v>
      </c>
      <c r="AZ528" s="699">
        <f>AX528*AY528</f>
        <v>845370</v>
      </c>
      <c r="BA528" s="701"/>
      <c r="BB528" s="701"/>
      <c r="BC528" s="701"/>
      <c r="BJ528" s="696"/>
    </row>
    <row r="529" s="423" customFormat="1" ht="14.4" outlineLevel="1" spans="1:62">
      <c r="C529" s="664"/>
      <c r="D529" s="423" t="s">
        <v>603</v>
      </c>
      <c r="E529" s="423" t="s">
        <v>605</v>
      </c>
      <c r="G529" s="694"/>
      <c r="J529" s="328"/>
      <c r="K529" s="328"/>
      <c r="L529" s="350"/>
      <c r="M529" s="695"/>
      <c r="P529" s="696"/>
      <c r="Q529" s="696"/>
      <c r="T529" s="697"/>
      <c r="U529" s="697"/>
      <c r="V529" s="697"/>
      <c r="X529" s="698"/>
      <c r="Y529" s="328"/>
      <c r="Z529" s="328"/>
      <c r="AA529" s="699"/>
      <c r="AB529" s="699"/>
      <c r="AC529" s="699"/>
      <c r="AD529" s="700"/>
      <c r="AE529" s="699"/>
      <c r="AF529" s="699"/>
      <c r="AG529" s="699"/>
      <c r="AH529" s="699"/>
      <c r="AI529" s="696"/>
      <c r="AK529" s="213">
        <v>54.54</v>
      </c>
      <c r="AL529" s="423">
        <v>5950</v>
      </c>
      <c r="AM529" s="699">
        <f>AK529*AL529</f>
        <v>324513</v>
      </c>
      <c r="AN529" s="699"/>
      <c r="AO529" s="423">
        <f>AM529-AN529</f>
        <v>324513</v>
      </c>
      <c r="AP529" s="696"/>
      <c r="AQ529" s="569"/>
      <c r="AR529" s="569"/>
      <c r="AS529" s="697"/>
      <c r="AT529" s="697"/>
      <c r="AW529" s="697"/>
      <c r="AX529" s="213">
        <v>54.54</v>
      </c>
      <c r="AY529" s="423">
        <v>5950</v>
      </c>
      <c r="AZ529" s="699">
        <f>AX529*AY529</f>
        <v>324513</v>
      </c>
      <c r="BA529" s="701"/>
      <c r="BB529" s="701"/>
      <c r="BC529" s="701"/>
      <c r="BJ529" s="696"/>
    </row>
    <row r="530" s="424" customFormat="1" ht="100.8" spans="1:62">
      <c r="A530" s="424" t="s">
        <v>590</v>
      </c>
      <c r="B530" s="424" t="s">
        <v>456</v>
      </c>
      <c r="C530" s="665">
        <v>45846</v>
      </c>
      <c r="D530" s="424" t="s">
        <v>591</v>
      </c>
      <c r="E530" s="706" t="s">
        <v>607</v>
      </c>
      <c r="G530" s="707"/>
      <c r="H530" s="424" t="s">
        <v>93</v>
      </c>
      <c r="J530" s="708">
        <f>SUM(J521:J528)</f>
        <v>787</v>
      </c>
      <c r="K530" s="708"/>
      <c r="L530" s="708">
        <f>SUM(L521:L528)</f>
        <v>4727500</v>
      </c>
      <c r="M530" s="708">
        <f t="shared" ref="M530:M537" si="55">L530*0.3</f>
        <v>1418250</v>
      </c>
      <c r="N530" s="424">
        <f>SUM(N521:N528)</f>
        <v>5411913.46</v>
      </c>
      <c r="O530" s="424">
        <f>SUM(O521:O528)</f>
        <v>-633466.26</v>
      </c>
      <c r="T530" s="709"/>
      <c r="U530" s="709">
        <f>T521+60</f>
        <v>45905</v>
      </c>
      <c r="V530" s="709" t="s">
        <v>608</v>
      </c>
      <c r="X530" s="710"/>
      <c r="Y530" s="708">
        <f>SUM(Y521:Y528)</f>
        <v>781.869</v>
      </c>
      <c r="Z530" s="691"/>
      <c r="AA530" s="691">
        <f>SUM(AA521:AA528)</f>
        <v>4502058.3</v>
      </c>
      <c r="AB530" s="691">
        <f>SUM(AB521:AB528)</f>
        <v>1902738.3</v>
      </c>
      <c r="AC530" s="691">
        <f>AA530-AB530</f>
        <v>2599320</v>
      </c>
      <c r="AD530" s="711"/>
      <c r="AE530" s="691"/>
      <c r="AF530" s="691"/>
      <c r="AG530" s="691"/>
      <c r="AH530" s="691"/>
      <c r="AK530" s="424">
        <f>SUM(AK521:AK529)</f>
        <v>407.921</v>
      </c>
      <c r="AM530" s="424">
        <f>SUM(AM521:AM529)</f>
        <v>2439342.8</v>
      </c>
      <c r="AN530" s="424">
        <f>SUM(AN521:AN529)</f>
        <v>5411913.46</v>
      </c>
      <c r="AO530" s="424">
        <f>SUM(AO521:AO529)</f>
        <v>-3564223.46</v>
      </c>
      <c r="AQ530" s="463" t="str">
        <f>V530</f>
        <v>10/09/2025-10/10/2025</v>
      </c>
      <c r="AR530" s="463"/>
      <c r="AS530" s="709"/>
      <c r="AT530" s="709" t="s">
        <v>298</v>
      </c>
      <c r="AW530" s="709"/>
      <c r="AX530" s="424">
        <f>SUM(AX521:AX529)</f>
        <v>218.502</v>
      </c>
      <c r="AZ530" s="424">
        <f>SUM(AZ521:AZ529)</f>
        <v>1341077.4</v>
      </c>
      <c r="BA530" s="424">
        <f>SUM(BA521:BA529)</f>
        <v>0</v>
      </c>
      <c r="BB530" s="424">
        <f>SUM(BB521:BB529)</f>
        <v>0</v>
      </c>
      <c r="BC530" s="424">
        <f>SUM(BC521:BC529)</f>
        <v>0</v>
      </c>
    </row>
    <row r="531" s="311" customFormat="1" customHeight="1" outlineLevel="1" spans="1:62">
      <c r="A531" s="311" t="s">
        <v>338</v>
      </c>
      <c r="B531" s="311" t="s">
        <v>456</v>
      </c>
      <c r="C531" s="664">
        <v>45846</v>
      </c>
      <c r="D531" s="311" t="s">
        <v>609</v>
      </c>
      <c r="E531" s="423" t="s">
        <v>592</v>
      </c>
      <c r="G531" s="669">
        <f>936900</f>
        <v>936900</v>
      </c>
      <c r="H531" s="423" t="s">
        <v>93</v>
      </c>
      <c r="J531" s="328">
        <v>54</v>
      </c>
      <c r="K531" s="328">
        <v>6100</v>
      </c>
      <c r="L531" s="350">
        <f t="shared" ref="L531:L537" si="56">K531*J531</f>
        <v>329400</v>
      </c>
      <c r="M531" s="695">
        <f t="shared" si="55"/>
        <v>98820</v>
      </c>
      <c r="N531" s="423">
        <v>248833</v>
      </c>
      <c r="O531" s="423">
        <f t="shared" ref="O531:O537" si="57">L531-N531</f>
        <v>80567</v>
      </c>
      <c r="P531" s="670"/>
      <c r="Q531" s="670"/>
      <c r="R531" s="311" t="s">
        <v>88</v>
      </c>
      <c r="S531" s="311" t="s">
        <v>610</v>
      </c>
      <c r="T531" s="664">
        <v>45846</v>
      </c>
      <c r="U531" s="664">
        <v>45906</v>
      </c>
      <c r="V531" s="697">
        <v>45910</v>
      </c>
      <c r="W531" s="423"/>
      <c r="X531" s="698"/>
      <c r="Y531" s="328">
        <v>58.5</v>
      </c>
      <c r="Z531" s="328">
        <v>5850</v>
      </c>
      <c r="AA531" s="699">
        <f t="shared" ref="AA531:AA537" si="58">Z531*Y531</f>
        <v>342225</v>
      </c>
      <c r="AB531" s="672"/>
      <c r="AC531" s="672"/>
      <c r="AD531" s="673"/>
      <c r="AE531" s="672"/>
      <c r="AF531" s="672"/>
      <c r="AG531" s="672"/>
      <c r="AH531" s="672"/>
      <c r="AI531" s="670"/>
      <c r="AM531" s="672"/>
      <c r="AN531" s="672">
        <v>498394.7</v>
      </c>
      <c r="AP531" s="670"/>
      <c r="AQ531" s="664"/>
      <c r="AR531" s="664"/>
      <c r="AS531" s="664"/>
      <c r="AT531" s="664"/>
      <c r="AW531" s="664"/>
      <c r="AX531" s="328"/>
      <c r="AY531" s="672"/>
      <c r="AZ531" s="675"/>
      <c r="BA531" s="675"/>
      <c r="BB531" s="675"/>
      <c r="BC531" s="675"/>
      <c r="BJ531" s="670"/>
    </row>
    <row r="532" s="421" customFormat="1" customHeight="1" outlineLevel="1" spans="1:62">
      <c r="A532" s="311" t="s">
        <v>338</v>
      </c>
      <c r="B532" s="311" t="s">
        <v>456</v>
      </c>
      <c r="C532" s="664">
        <v>45846</v>
      </c>
      <c r="D532" s="311" t="s">
        <v>609</v>
      </c>
      <c r="E532" s="423" t="s">
        <v>594</v>
      </c>
      <c r="G532" s="613"/>
      <c r="H532" s="423" t="s">
        <v>93</v>
      </c>
      <c r="J532" s="328">
        <v>135</v>
      </c>
      <c r="K532" s="328">
        <v>6100</v>
      </c>
      <c r="L532" s="350">
        <f t="shared" si="56"/>
        <v>823500</v>
      </c>
      <c r="M532" s="695">
        <f t="shared" si="55"/>
        <v>247050</v>
      </c>
      <c r="N532" s="423">
        <f>498394.7+52594.2</f>
        <v>550988.9</v>
      </c>
      <c r="O532" s="423">
        <f t="shared" si="57"/>
        <v>272511.1</v>
      </c>
      <c r="U532" s="664">
        <v>45906</v>
      </c>
      <c r="V532" s="697">
        <v>45910</v>
      </c>
      <c r="W532" s="423"/>
      <c r="X532" s="698"/>
      <c r="Y532" s="328">
        <v>119.2</v>
      </c>
      <c r="Z532" s="328">
        <v>5850</v>
      </c>
      <c r="AA532" s="699">
        <f t="shared" si="58"/>
        <v>697320</v>
      </c>
      <c r="AN532" s="421">
        <v>52594.2</v>
      </c>
    </row>
    <row r="533" s="81" customFormat="1" customHeight="1" outlineLevel="1" spans="1:62">
      <c r="A533" s="311" t="s">
        <v>338</v>
      </c>
      <c r="B533" s="311" t="s">
        <v>456</v>
      </c>
      <c r="C533" s="664">
        <v>45846</v>
      </c>
      <c r="D533" s="311" t="s">
        <v>609</v>
      </c>
      <c r="E533" s="423" t="s">
        <v>159</v>
      </c>
      <c r="G533" s="613"/>
      <c r="H533" s="423" t="s">
        <v>93</v>
      </c>
      <c r="J533" s="328">
        <v>25</v>
      </c>
      <c r="K533" s="328">
        <v>5950</v>
      </c>
      <c r="L533" s="350">
        <f t="shared" si="56"/>
        <v>148750</v>
      </c>
      <c r="M533" s="695">
        <f t="shared" si="55"/>
        <v>44625</v>
      </c>
      <c r="N533" s="423">
        <v>469444.15</v>
      </c>
      <c r="O533" s="423">
        <f t="shared" si="57"/>
        <v>-320694.15</v>
      </c>
      <c r="P533" s="209"/>
      <c r="Q533" s="209"/>
      <c r="T533" s="712"/>
      <c r="U533" s="664">
        <v>45906</v>
      </c>
      <c r="V533" s="697">
        <v>45910</v>
      </c>
      <c r="W533" s="423"/>
      <c r="X533" s="698"/>
      <c r="Y533" s="328">
        <v>25</v>
      </c>
      <c r="Z533" s="328">
        <v>5700</v>
      </c>
      <c r="AA533" s="699">
        <f t="shared" si="58"/>
        <v>142500</v>
      </c>
      <c r="AB533" s="211"/>
      <c r="AC533" s="211"/>
      <c r="AD533" s="212"/>
      <c r="AE533" s="211"/>
      <c r="AF533" s="211"/>
      <c r="AG533" s="211"/>
      <c r="AH533" s="211"/>
      <c r="AI533" s="209"/>
      <c r="AM533" s="211"/>
      <c r="AN533" s="423">
        <v>469444.15</v>
      </c>
      <c r="AP533" s="209"/>
      <c r="AQ533" s="712"/>
      <c r="AR533" s="712"/>
      <c r="AS533" s="712"/>
      <c r="AT533" s="712"/>
      <c r="AW533" s="712"/>
      <c r="AX533" s="213"/>
      <c r="AY533" s="211"/>
      <c r="AZ533" s="214"/>
      <c r="BA533" s="214"/>
      <c r="BB533" s="214"/>
      <c r="BC533" s="214"/>
      <c r="BJ533" s="209"/>
    </row>
    <row r="534" s="81" customFormat="1" customHeight="1" outlineLevel="1" spans="1:62">
      <c r="A534" s="311" t="s">
        <v>338</v>
      </c>
      <c r="B534" s="311" t="s">
        <v>456</v>
      </c>
      <c r="C534" s="664">
        <v>45846</v>
      </c>
      <c r="D534" s="311" t="s">
        <v>609</v>
      </c>
      <c r="E534" s="423" t="s">
        <v>598</v>
      </c>
      <c r="G534" s="613"/>
      <c r="H534" s="423" t="s">
        <v>93</v>
      </c>
      <c r="J534" s="328">
        <v>110</v>
      </c>
      <c r="K534" s="328">
        <v>6100</v>
      </c>
      <c r="L534" s="350">
        <f t="shared" si="56"/>
        <v>671000</v>
      </c>
      <c r="M534" s="695">
        <f t="shared" si="55"/>
        <v>201300</v>
      </c>
      <c r="N534" s="423">
        <v>37890.75</v>
      </c>
      <c r="O534" s="423">
        <f t="shared" si="57"/>
        <v>633109.25</v>
      </c>
      <c r="P534" s="209"/>
      <c r="Q534" s="209"/>
      <c r="U534" s="664">
        <v>45906</v>
      </c>
      <c r="V534" s="697">
        <v>45925</v>
      </c>
      <c r="W534" s="423"/>
      <c r="X534" s="698"/>
      <c r="Y534" s="328">
        <v>114</v>
      </c>
      <c r="Z534" s="328">
        <v>5850</v>
      </c>
      <c r="AA534" s="699">
        <f t="shared" si="58"/>
        <v>666900</v>
      </c>
      <c r="AB534" s="211"/>
      <c r="AC534" s="211"/>
      <c r="AD534" s="212"/>
      <c r="AE534" s="211"/>
      <c r="AF534" s="211"/>
      <c r="AG534" s="211"/>
      <c r="AH534" s="211"/>
      <c r="AI534" s="209"/>
      <c r="AM534" s="211"/>
      <c r="AN534" s="211">
        <v>37890.75</v>
      </c>
      <c r="AP534" s="209"/>
      <c r="AQ534" s="712"/>
      <c r="AR534" s="712"/>
      <c r="AS534" s="712"/>
      <c r="AT534" s="712"/>
      <c r="AW534" s="712"/>
      <c r="AX534" s="213"/>
      <c r="AY534" s="211"/>
      <c r="AZ534" s="214"/>
      <c r="BA534" s="214"/>
      <c r="BB534" s="214"/>
      <c r="BC534" s="214"/>
      <c r="BJ534" s="209"/>
    </row>
    <row r="535" s="81" customFormat="1" customHeight="1" outlineLevel="1" spans="1:62">
      <c r="A535" s="311" t="s">
        <v>338</v>
      </c>
      <c r="B535" s="311" t="s">
        <v>456</v>
      </c>
      <c r="C535" s="664">
        <v>45846</v>
      </c>
      <c r="D535" s="311" t="s">
        <v>609</v>
      </c>
      <c r="E535" s="423" t="s">
        <v>162</v>
      </c>
      <c r="G535" s="613"/>
      <c r="H535" s="423" t="s">
        <v>93</v>
      </c>
      <c r="J535" s="328">
        <v>220</v>
      </c>
      <c r="K535" s="328">
        <v>5950</v>
      </c>
      <c r="L535" s="350">
        <f t="shared" si="56"/>
        <v>1309000</v>
      </c>
      <c r="M535" s="695">
        <f t="shared" si="55"/>
        <v>392700</v>
      </c>
      <c r="N535" s="423">
        <v>856440</v>
      </c>
      <c r="O535" s="423">
        <f t="shared" si="57"/>
        <v>452560</v>
      </c>
      <c r="P535" s="209"/>
      <c r="Q535" s="209"/>
      <c r="T535" s="712"/>
      <c r="U535" s="664">
        <v>45906</v>
      </c>
      <c r="V535" s="697">
        <v>45925</v>
      </c>
      <c r="W535" s="423"/>
      <c r="X535" s="698"/>
      <c r="Y535" s="328">
        <v>220</v>
      </c>
      <c r="Z535" s="328">
        <v>5700</v>
      </c>
      <c r="AA535" s="699">
        <f t="shared" si="58"/>
        <v>1254000</v>
      </c>
      <c r="AB535" s="211"/>
      <c r="AC535" s="211"/>
      <c r="AD535" s="212"/>
      <c r="AE535" s="211"/>
      <c r="AF535" s="211"/>
      <c r="AG535" s="211"/>
      <c r="AH535" s="211"/>
      <c r="AI535" s="209"/>
      <c r="AM535" s="211"/>
      <c r="AN535" s="211">
        <v>856440</v>
      </c>
      <c r="AP535" s="209"/>
      <c r="AQ535" s="712"/>
      <c r="AR535" s="712"/>
      <c r="AS535" s="712"/>
      <c r="AT535" s="712"/>
      <c r="AW535" s="712"/>
      <c r="AX535" s="213"/>
      <c r="AY535" s="211"/>
      <c r="AZ535" s="214"/>
      <c r="BA535" s="214"/>
      <c r="BB535" s="214"/>
      <c r="BC535" s="214"/>
      <c r="BJ535" s="209"/>
    </row>
    <row r="536" s="81" customFormat="1" customHeight="1" outlineLevel="1" spans="1:62">
      <c r="A536" s="311" t="s">
        <v>590</v>
      </c>
      <c r="B536" s="311" t="s">
        <v>456</v>
      </c>
      <c r="C536" s="664">
        <v>45846</v>
      </c>
      <c r="D536" s="311" t="s">
        <v>609</v>
      </c>
      <c r="E536" s="423" t="s">
        <v>153</v>
      </c>
      <c r="G536" s="613"/>
      <c r="H536" s="423" t="s">
        <v>93</v>
      </c>
      <c r="J536" s="328">
        <v>81</v>
      </c>
      <c r="K536" s="328">
        <v>5950</v>
      </c>
      <c r="L536" s="350">
        <f t="shared" si="56"/>
        <v>481950</v>
      </c>
      <c r="M536" s="695">
        <f t="shared" si="55"/>
        <v>144585</v>
      </c>
      <c r="N536" s="423">
        <v>117220.5</v>
      </c>
      <c r="O536" s="423">
        <f t="shared" si="57"/>
        <v>364729.5</v>
      </c>
      <c r="P536" s="209"/>
      <c r="Q536" s="209"/>
      <c r="T536" s="712"/>
      <c r="U536" s="664">
        <v>45906</v>
      </c>
      <c r="V536" s="697">
        <v>45940</v>
      </c>
      <c r="W536" s="423"/>
      <c r="X536" s="210"/>
      <c r="Y536" s="328">
        <v>77.112</v>
      </c>
      <c r="Z536" s="328">
        <v>5700</v>
      </c>
      <c r="AA536" s="699">
        <f t="shared" si="58"/>
        <v>439538.4</v>
      </c>
      <c r="AB536" s="211"/>
      <c r="AC536" s="211"/>
      <c r="AD536" s="212"/>
      <c r="AE536" s="211"/>
      <c r="AF536" s="211"/>
      <c r="AG536" s="211"/>
      <c r="AH536" s="211"/>
      <c r="AI536" s="209"/>
      <c r="AK536" s="328">
        <v>41.112</v>
      </c>
      <c r="AM536" s="211"/>
      <c r="AN536" s="211">
        <v>117220.5</v>
      </c>
      <c r="AP536" s="209"/>
      <c r="AQ536" s="712"/>
      <c r="AR536" s="712"/>
      <c r="AS536" s="713" t="s">
        <v>611</v>
      </c>
      <c r="AT536" s="712"/>
      <c r="AU536" s="81" t="s">
        <v>612</v>
      </c>
      <c r="AW536" s="712"/>
      <c r="AX536" s="213"/>
      <c r="AY536" s="211"/>
      <c r="AZ536" s="214"/>
      <c r="BA536" s="214"/>
      <c r="BB536" s="214"/>
      <c r="BC536" s="214"/>
      <c r="BJ536" s="209"/>
    </row>
    <row r="537" s="81" customFormat="1" ht="14.4" outlineLevel="1" spans="1:62">
      <c r="A537" s="311" t="s">
        <v>590</v>
      </c>
      <c r="B537" s="311" t="s">
        <v>456</v>
      </c>
      <c r="C537" s="664">
        <v>45846</v>
      </c>
      <c r="D537" s="311" t="s">
        <v>609</v>
      </c>
      <c r="E537" s="423" t="s">
        <v>605</v>
      </c>
      <c r="G537" s="613"/>
      <c r="H537" s="423" t="s">
        <v>93</v>
      </c>
      <c r="J537" s="328">
        <v>162</v>
      </c>
      <c r="K537" s="328">
        <v>5950</v>
      </c>
      <c r="L537" s="350">
        <f t="shared" si="56"/>
        <v>963900</v>
      </c>
      <c r="M537" s="695">
        <f t="shared" si="55"/>
        <v>289170</v>
      </c>
      <c r="N537" s="211">
        <f>936900+9115.4</f>
        <v>946015.4</v>
      </c>
      <c r="O537" s="423">
        <f t="shared" si="57"/>
        <v>17884.6</v>
      </c>
      <c r="P537" s="209"/>
      <c r="Q537" s="209"/>
      <c r="T537" s="712"/>
      <c r="U537" s="664">
        <v>45906</v>
      </c>
      <c r="V537" s="697">
        <v>45940</v>
      </c>
      <c r="W537" s="423"/>
      <c r="X537" s="210"/>
      <c r="Y537" s="328">
        <v>163.62</v>
      </c>
      <c r="Z537" s="328">
        <v>5700</v>
      </c>
      <c r="AA537" s="699">
        <f t="shared" si="58"/>
        <v>932634</v>
      </c>
      <c r="AB537" s="211"/>
      <c r="AC537" s="211"/>
      <c r="AD537" s="212"/>
      <c r="AE537" s="211"/>
      <c r="AF537" s="211"/>
      <c r="AG537" s="211"/>
      <c r="AH537" s="211"/>
      <c r="AI537" s="209"/>
      <c r="AK537" s="328">
        <v>163.62</v>
      </c>
      <c r="AM537" s="211"/>
      <c r="AN537" s="211">
        <f>936900+9115.4</f>
        <v>946015.4</v>
      </c>
      <c r="AP537" s="209"/>
      <c r="AQ537" s="712"/>
      <c r="AR537" s="712"/>
      <c r="AS537" s="712"/>
      <c r="AT537" s="712"/>
      <c r="AW537" s="712"/>
      <c r="AX537" s="213"/>
      <c r="AY537" s="211"/>
      <c r="AZ537" s="214"/>
      <c r="BA537" s="214"/>
      <c r="BB537" s="214"/>
      <c r="BC537" s="214"/>
      <c r="BJ537" s="209"/>
    </row>
    <row r="538" s="311" customFormat="1" ht="30" customHeight="1" spans="1:62">
      <c r="A538" s="82" t="s">
        <v>338</v>
      </c>
      <c r="B538" s="82" t="s">
        <v>456</v>
      </c>
      <c r="C538" s="665">
        <v>45846</v>
      </c>
      <c r="D538" s="82" t="s">
        <v>609</v>
      </c>
      <c r="E538" s="714" t="s">
        <v>607</v>
      </c>
      <c r="F538" s="82"/>
      <c r="G538" s="715"/>
      <c r="H538" s="82" t="s">
        <v>93</v>
      </c>
      <c r="I538" s="82"/>
      <c r="J538" s="221">
        <f>SUM(J531:J537)</f>
        <v>787</v>
      </c>
      <c r="K538" s="221"/>
      <c r="L538" s="221">
        <f>SUM(L531:L537)</f>
        <v>4727500</v>
      </c>
      <c r="M538" s="221">
        <f>SUM(M531:M537)</f>
        <v>1418250</v>
      </c>
      <c r="N538" s="82">
        <f>SUM(N531:N537)</f>
        <v>3226832.7</v>
      </c>
      <c r="O538" s="82"/>
      <c r="P538" s="82"/>
      <c r="Q538" s="82"/>
      <c r="R538" s="82"/>
      <c r="S538" s="82"/>
      <c r="T538" s="665"/>
      <c r="U538" s="665">
        <f>T531+60</f>
        <v>45906</v>
      </c>
      <c r="V538" s="665" t="s">
        <v>608</v>
      </c>
      <c r="W538" s="82"/>
      <c r="X538" s="217"/>
      <c r="Y538" s="221">
        <f>SUM(Y531:Y537)</f>
        <v>777.432</v>
      </c>
      <c r="Z538" s="218"/>
      <c r="AA538" s="218">
        <f>SUM(AA531:AA537)</f>
        <v>4475117.4</v>
      </c>
      <c r="AB538" s="218"/>
      <c r="AC538" s="218"/>
      <c r="AD538" s="220"/>
      <c r="AE538" s="218"/>
      <c r="AF538" s="218"/>
      <c r="AG538" s="218"/>
      <c r="AH538" s="218"/>
      <c r="AI538" s="82"/>
      <c r="AJ538" s="82"/>
      <c r="AK538" s="82"/>
      <c r="AL538" s="82"/>
      <c r="AM538" s="218"/>
      <c r="AN538" s="218">
        <f>N538</f>
        <v>3226832.7</v>
      </c>
      <c r="AO538" s="82"/>
      <c r="AP538" s="82"/>
      <c r="AQ538" s="463" t="str">
        <f>V538</f>
        <v>10/09/2025-10/10/2025</v>
      </c>
      <c r="AR538" s="605"/>
      <c r="AS538" s="665"/>
      <c r="AT538" s="665"/>
      <c r="AU538" s="82"/>
      <c r="AV538" s="82"/>
      <c r="AW538" s="665"/>
      <c r="AX538" s="221"/>
      <c r="AY538" s="218"/>
      <c r="AZ538" s="222"/>
      <c r="BA538" s="222"/>
      <c r="BB538" s="222"/>
      <c r="BC538" s="222"/>
      <c r="BD538" s="82"/>
      <c r="BE538" s="82"/>
      <c r="BF538" s="82"/>
      <c r="BG538" s="82"/>
      <c r="BH538" s="82"/>
      <c r="BI538" s="82"/>
      <c r="BJ538" s="82"/>
    </row>
    <row r="539" s="81" customFormat="1" customHeight="1" outlineLevel="1" spans="1:62">
      <c r="A539" s="81" t="s">
        <v>71</v>
      </c>
      <c r="B539" s="81" t="s">
        <v>440</v>
      </c>
      <c r="C539" s="716">
        <v>45847</v>
      </c>
      <c r="D539" s="81" t="s">
        <v>613</v>
      </c>
      <c r="E539" s="215" t="s">
        <v>87</v>
      </c>
      <c r="F539" s="424"/>
      <c r="G539" s="707"/>
      <c r="H539" s="215" t="s">
        <v>71</v>
      </c>
      <c r="I539" s="706"/>
      <c r="J539" s="81">
        <v>1160000</v>
      </c>
      <c r="K539" s="81">
        <f>157.05/1000</f>
        <v>0.15705</v>
      </c>
      <c r="L539" s="211">
        <f>K539*J539</f>
        <v>182178</v>
      </c>
      <c r="M539" s="81">
        <f>L539*0.3</f>
        <v>54653.4</v>
      </c>
      <c r="N539" s="81">
        <v>54653.4</v>
      </c>
      <c r="O539" s="717">
        <f>L539-N539</f>
        <v>127524.6</v>
      </c>
      <c r="P539" s="209"/>
      <c r="Q539" s="209"/>
      <c r="R539" s="81" t="s">
        <v>88</v>
      </c>
      <c r="S539" s="81" t="s">
        <v>614</v>
      </c>
      <c r="T539" s="712">
        <v>45848</v>
      </c>
      <c r="U539" s="712"/>
      <c r="V539" s="712"/>
      <c r="X539" s="210"/>
      <c r="Y539" s="329">
        <v>1140000</v>
      </c>
      <c r="Z539" s="212">
        <v>0.165</v>
      </c>
      <c r="AA539" s="211">
        <f>Y539*Z539</f>
        <v>188100</v>
      </c>
      <c r="AB539" s="211">
        <v>204340</v>
      </c>
      <c r="AC539" s="211"/>
      <c r="AD539" s="212"/>
      <c r="AE539" s="211"/>
      <c r="AF539" s="211"/>
      <c r="AG539" s="211"/>
      <c r="AH539" s="211"/>
      <c r="AI539" s="209"/>
      <c r="AK539" s="329">
        <v>1140000</v>
      </c>
      <c r="AL539" s="81">
        <v>0.15705</v>
      </c>
      <c r="AM539" s="211">
        <f>AL539*AK539</f>
        <v>179037</v>
      </c>
      <c r="AN539" s="211">
        <v>54653.4</v>
      </c>
      <c r="AO539" s="81">
        <f>AM539-AN539</f>
        <v>124383.6</v>
      </c>
      <c r="AP539" s="209"/>
      <c r="AQ539" s="712"/>
      <c r="AR539" s="712"/>
      <c r="AS539" s="712"/>
      <c r="AT539" s="712"/>
      <c r="AW539" s="712"/>
      <c r="AX539" s="329">
        <v>1140000</v>
      </c>
      <c r="AY539" s="81">
        <v>0.15705</v>
      </c>
      <c r="AZ539" s="211">
        <f>AY539*AX539</f>
        <v>179037</v>
      </c>
      <c r="BA539" s="211">
        <v>54653.4</v>
      </c>
      <c r="BB539" s="214"/>
      <c r="BC539" s="214"/>
      <c r="BJ539" s="209"/>
    </row>
    <row r="540" s="81" customFormat="1" customHeight="1" outlineLevel="1" spans="1:62">
      <c r="A540" s="81" t="s">
        <v>71</v>
      </c>
      <c r="C540" s="716"/>
      <c r="E540" s="215"/>
      <c r="F540" s="424"/>
      <c r="G540" s="707"/>
      <c r="H540" s="215"/>
      <c r="I540" s="706"/>
      <c r="L540" s="211"/>
      <c r="O540" s="717"/>
      <c r="P540" s="209"/>
      <c r="Q540" s="209"/>
      <c r="R540" s="578" t="s">
        <v>95</v>
      </c>
      <c r="S540" s="76"/>
      <c r="T540" s="387"/>
      <c r="U540" s="387"/>
      <c r="V540" s="387"/>
      <c r="W540" s="76"/>
      <c r="X540" s="133"/>
      <c r="Y540" s="76"/>
      <c r="Z540" s="140"/>
      <c r="AA540" s="114">
        <f>-(AM539*0.13/1.13)</f>
        <v>-20597.1769911504</v>
      </c>
      <c r="AB540" s="211"/>
      <c r="AC540" s="211"/>
      <c r="AD540" s="212"/>
      <c r="AE540" s="211"/>
      <c r="AF540" s="211"/>
      <c r="AG540" s="211"/>
      <c r="AH540" s="211"/>
      <c r="AI540" s="209"/>
      <c r="AK540" s="718"/>
      <c r="AM540" s="211"/>
      <c r="AN540" s="672"/>
      <c r="AP540" s="209"/>
      <c r="AQ540" s="387"/>
      <c r="AR540" s="387"/>
      <c r="AS540" s="712"/>
      <c r="AT540" s="712"/>
      <c r="AW540" s="712"/>
      <c r="AX540" s="213"/>
      <c r="AY540" s="211"/>
      <c r="AZ540" s="214"/>
      <c r="BA540" s="672"/>
      <c r="BB540" s="214"/>
      <c r="BC540" s="214"/>
      <c r="BJ540" s="209"/>
    </row>
    <row r="541" s="81" customFormat="1" customHeight="1" outlineLevel="1" spans="1:62">
      <c r="A541" s="81" t="s">
        <v>71</v>
      </c>
      <c r="C541" s="716"/>
      <c r="D541" s="81" t="s">
        <v>615</v>
      </c>
      <c r="E541" s="215" t="s">
        <v>616</v>
      </c>
      <c r="F541" s="424"/>
      <c r="G541" s="707"/>
      <c r="H541" s="215"/>
      <c r="I541" s="706"/>
      <c r="J541" s="81">
        <v>58000</v>
      </c>
      <c r="K541" s="81">
        <v>0.26748</v>
      </c>
      <c r="L541" s="211">
        <f>K541*J541</f>
        <v>15513.84</v>
      </c>
      <c r="N541" s="81">
        <v>15513.84</v>
      </c>
      <c r="O541" s="717"/>
      <c r="P541" s="209"/>
      <c r="Q541" s="209"/>
      <c r="T541" s="712"/>
      <c r="U541" s="712"/>
      <c r="V541" s="712"/>
      <c r="X541" s="210"/>
      <c r="Y541" s="81">
        <v>58000</v>
      </c>
      <c r="Z541" s="212">
        <v>0.28</v>
      </c>
      <c r="AA541" s="211">
        <f>Y541*Z541</f>
        <v>16240</v>
      </c>
      <c r="AB541" s="211"/>
      <c r="AC541" s="211"/>
      <c r="AD541" s="212"/>
      <c r="AE541" s="211"/>
      <c r="AF541" s="211"/>
      <c r="AG541" s="211"/>
      <c r="AH541" s="211"/>
      <c r="AI541" s="209"/>
      <c r="AK541" s="81">
        <v>58000</v>
      </c>
      <c r="AL541" s="81">
        <v>0.26748</v>
      </c>
      <c r="AM541" s="211">
        <f>AL541*AK541</f>
        <v>15513.84</v>
      </c>
      <c r="AN541" s="672">
        <v>15513.84</v>
      </c>
      <c r="AO541" s="81">
        <f>AM541-AN541</f>
        <v>0</v>
      </c>
      <c r="AP541" s="209"/>
      <c r="AQ541" s="387"/>
      <c r="AR541" s="387"/>
      <c r="AS541" s="712"/>
      <c r="AT541" s="712"/>
      <c r="AW541" s="712"/>
      <c r="AX541" s="81">
        <v>58000</v>
      </c>
      <c r="AY541" s="81">
        <v>0.26748</v>
      </c>
      <c r="AZ541" s="211">
        <f>AY541*AX541</f>
        <v>15513.84</v>
      </c>
      <c r="BA541" s="672">
        <v>15513.84</v>
      </c>
      <c r="BB541" s="214"/>
      <c r="BC541" s="214"/>
      <c r="BJ541" s="209"/>
    </row>
    <row r="542" s="81" customFormat="1" customHeight="1" outlineLevel="1" spans="1:62">
      <c r="A542" s="81" t="s">
        <v>71</v>
      </c>
      <c r="C542" s="716"/>
      <c r="E542" s="215"/>
      <c r="F542" s="424"/>
      <c r="G542" s="707"/>
      <c r="H542" s="215"/>
      <c r="I542" s="706"/>
      <c r="L542" s="211"/>
      <c r="O542" s="717"/>
      <c r="P542" s="209"/>
      <c r="Q542" s="209"/>
      <c r="R542" s="578" t="s">
        <v>95</v>
      </c>
      <c r="S542" s="76"/>
      <c r="T542" s="387"/>
      <c r="U542" s="387"/>
      <c r="V542" s="387"/>
      <c r="W542" s="76"/>
      <c r="X542" s="133"/>
      <c r="Y542" s="76"/>
      <c r="Z542" s="140"/>
      <c r="AA542" s="114">
        <f>-(AM541*0.13/1.13)</f>
        <v>-1784.77805309735</v>
      </c>
      <c r="AB542" s="211"/>
      <c r="AC542" s="211"/>
      <c r="AD542" s="212"/>
      <c r="AE542" s="211"/>
      <c r="AF542" s="211"/>
      <c r="AG542" s="211"/>
      <c r="AH542" s="211"/>
      <c r="AI542" s="209"/>
      <c r="AK542" s="718"/>
      <c r="AM542" s="211"/>
      <c r="AN542" s="672"/>
      <c r="AP542" s="209"/>
      <c r="AQ542" s="387"/>
      <c r="AR542" s="387"/>
      <c r="AS542" s="712"/>
      <c r="AT542" s="712"/>
      <c r="AW542" s="712"/>
      <c r="AX542" s="213"/>
      <c r="AY542" s="211"/>
      <c r="AZ542" s="214"/>
      <c r="BA542" s="214"/>
      <c r="BB542" s="214"/>
      <c r="BC542" s="214"/>
      <c r="BJ542" s="209"/>
    </row>
    <row r="543" s="424" customFormat="1" ht="14.4" spans="1:62">
      <c r="A543" s="79" t="s">
        <v>71</v>
      </c>
      <c r="B543" s="424" t="s">
        <v>440</v>
      </c>
      <c r="C543" s="719">
        <v>45847</v>
      </c>
      <c r="D543" s="424" t="s">
        <v>613</v>
      </c>
      <c r="E543" s="424" t="str">
        <f>E539</f>
        <v>98.9mm 0.20 #401 SE*2</v>
      </c>
      <c r="G543" s="707"/>
      <c r="H543" s="424" t="s">
        <v>71</v>
      </c>
      <c r="J543" s="708">
        <f>J539</f>
        <v>1160000</v>
      </c>
      <c r="K543" s="708"/>
      <c r="L543" s="708">
        <f>SUM(L539:L541)</f>
        <v>197691.84</v>
      </c>
      <c r="M543" s="708">
        <f>M539</f>
        <v>54653.4</v>
      </c>
      <c r="N543" s="424">
        <f>N539</f>
        <v>54653.4</v>
      </c>
      <c r="O543" s="720">
        <f>O539</f>
        <v>127524.6</v>
      </c>
      <c r="T543" s="709"/>
      <c r="U543" s="709">
        <f>T539+15</f>
        <v>45863</v>
      </c>
      <c r="V543" s="709">
        <v>45879</v>
      </c>
      <c r="X543" s="710" t="s">
        <v>432</v>
      </c>
      <c r="Y543" s="424">
        <f>Y539</f>
        <v>1140000</v>
      </c>
      <c r="Z543" s="691"/>
      <c r="AA543" s="691">
        <f>SUM(AA539:AA542)</f>
        <v>181958.044955752</v>
      </c>
      <c r="AB543" s="691">
        <f>SUM(AB539:AB542)</f>
        <v>204340</v>
      </c>
      <c r="AC543" s="691"/>
      <c r="AD543" s="711"/>
      <c r="AE543" s="691"/>
      <c r="AF543" s="691"/>
      <c r="AG543" s="691"/>
      <c r="AH543" s="691"/>
      <c r="AK543" s="424">
        <f>SUM(AK539:AK541)</f>
        <v>1198000</v>
      </c>
      <c r="AM543" s="424">
        <f>SUM(AM539:AM542)</f>
        <v>194550.84</v>
      </c>
      <c r="AN543" s="424">
        <f>SUM(AN539:AN541)</f>
        <v>70167.24</v>
      </c>
      <c r="AO543" s="424">
        <f>SUM(AO539:AO541)</f>
        <v>124383.6</v>
      </c>
      <c r="AQ543" s="463">
        <f>V543</f>
        <v>45879</v>
      </c>
      <c r="AR543" s="463"/>
      <c r="AS543" s="709"/>
      <c r="AT543" s="709"/>
      <c r="AU543" s="424" t="s">
        <v>617</v>
      </c>
      <c r="AV543" s="424">
        <v>1</v>
      </c>
      <c r="AW543" s="709">
        <v>45894</v>
      </c>
      <c r="AX543" s="708">
        <f>SUM(AX539:AX542)</f>
        <v>1198000</v>
      </c>
      <c r="AY543" s="691"/>
      <c r="AZ543" s="708">
        <f>SUM(AZ539:AZ542)</f>
        <v>194550.84</v>
      </c>
      <c r="BA543" s="708">
        <f>SUM(BA539:BA542)</f>
        <v>70167.24</v>
      </c>
      <c r="BB543" s="721"/>
      <c r="BC543" s="721"/>
    </row>
    <row r="544" s="354" customFormat="1" ht="18" customHeight="1" outlineLevel="1" spans="1:62">
      <c r="A544" s="354" t="s">
        <v>71</v>
      </c>
      <c r="B544" s="354" t="s">
        <v>440</v>
      </c>
      <c r="C544" s="716" t="s">
        <v>618</v>
      </c>
      <c r="D544" s="354" t="s">
        <v>619</v>
      </c>
      <c r="E544" s="722" t="s">
        <v>620</v>
      </c>
      <c r="G544" s="723"/>
      <c r="H544" s="354" t="str">
        <f>H543</f>
        <v>INDEX</v>
      </c>
      <c r="J544" s="340">
        <v>2184000</v>
      </c>
      <c r="K544" s="724">
        <v>0.09038</v>
      </c>
      <c r="L544" s="340">
        <f>J544*K544</f>
        <v>197389.92</v>
      </c>
      <c r="M544" s="340">
        <f>L544*0.3</f>
        <v>59216.976</v>
      </c>
      <c r="N544" s="354">
        <f>59216.98+59216.98+78202.19</f>
        <v>196636.15</v>
      </c>
      <c r="O544" s="354">
        <f>L544-N544</f>
        <v>753.76999999999</v>
      </c>
      <c r="P544" s="725"/>
      <c r="Q544" s="725"/>
      <c r="R544" s="354" t="s">
        <v>88</v>
      </c>
      <c r="S544" s="354" t="s">
        <v>621</v>
      </c>
      <c r="T544" s="716">
        <v>45856</v>
      </c>
      <c r="U544" s="716"/>
      <c r="V544" s="716"/>
      <c r="X544" s="726"/>
      <c r="Y544" s="354">
        <v>2175660</v>
      </c>
      <c r="Z544" s="727">
        <v>0.095</v>
      </c>
      <c r="AA544" s="211">
        <f>Y544*Z544</f>
        <v>206687.7</v>
      </c>
      <c r="AB544" s="728">
        <f>AA544</f>
        <v>206687.7</v>
      </c>
      <c r="AC544" s="728"/>
      <c r="AD544" s="727"/>
      <c r="AE544" s="728"/>
      <c r="AF544" s="728"/>
      <c r="AG544" s="728"/>
      <c r="AH544" s="728"/>
      <c r="AI544" s="725"/>
      <c r="AK544" s="354">
        <v>2175660</v>
      </c>
      <c r="AL544" s="354">
        <v>0.09038</v>
      </c>
      <c r="AM544" s="728"/>
      <c r="AN544" s="728">
        <f>59216.98+59216.98+78202.19</f>
        <v>196636.15</v>
      </c>
      <c r="AO544" s="729">
        <f>AK544*AL544</f>
        <v>196636.1508</v>
      </c>
      <c r="AP544" s="725"/>
      <c r="AQ544" s="716"/>
      <c r="AR544" s="716"/>
      <c r="AS544" s="716"/>
      <c r="AT544" s="716"/>
      <c r="AW544" s="716"/>
      <c r="AX544" s="340"/>
      <c r="AY544" s="728"/>
      <c r="AZ544" s="730"/>
      <c r="BA544" s="730"/>
      <c r="BB544" s="730"/>
      <c r="BC544" s="730"/>
      <c r="BJ544" s="725"/>
    </row>
    <row r="545" s="79" customFormat="1" ht="14.4" spans="1:62">
      <c r="A545" s="79" t="s">
        <v>71</v>
      </c>
      <c r="B545" s="79" t="s">
        <v>440</v>
      </c>
      <c r="C545" s="719" t="s">
        <v>618</v>
      </c>
      <c r="D545" s="79" t="s">
        <v>619</v>
      </c>
      <c r="E545" s="79" t="str">
        <f>E544</f>
        <v>SE diametr 70мм thickness  0,19 GOLD/Alu+ Gold</v>
      </c>
      <c r="G545" s="486"/>
      <c r="H545" s="79" t="s">
        <v>71</v>
      </c>
      <c r="J545" s="194">
        <f>J544</f>
        <v>2184000</v>
      </c>
      <c r="K545" s="194"/>
      <c r="L545" s="194">
        <f>L544</f>
        <v>197389.92</v>
      </c>
      <c r="M545" s="194">
        <f>M544</f>
        <v>59216.976</v>
      </c>
      <c r="N545" s="79">
        <f>N544</f>
        <v>196636.15</v>
      </c>
      <c r="O545" s="79">
        <f>O544</f>
        <v>753.76999999999</v>
      </c>
      <c r="T545" s="463"/>
      <c r="U545" s="463">
        <f>T544+15</f>
        <v>45871</v>
      </c>
      <c r="V545" s="463">
        <v>45884</v>
      </c>
      <c r="X545" s="193" t="s">
        <v>432</v>
      </c>
      <c r="Y545" s="79">
        <f>Y544</f>
        <v>2175660</v>
      </c>
      <c r="Z545" s="192"/>
      <c r="AA545" s="192">
        <f>AA544</f>
        <v>206687.7</v>
      </c>
      <c r="AB545" s="192"/>
      <c r="AC545" s="192"/>
      <c r="AD545" s="196"/>
      <c r="AE545" s="192"/>
      <c r="AF545" s="192"/>
      <c r="AG545" s="192"/>
      <c r="AH545" s="192"/>
      <c r="AM545" s="192"/>
      <c r="AN545" s="218">
        <f>N545</f>
        <v>196636.15</v>
      </c>
      <c r="AQ545" s="463">
        <f>V545</f>
        <v>45884</v>
      </c>
      <c r="AR545" s="463"/>
      <c r="AS545" s="463"/>
      <c r="AT545" s="463" t="s">
        <v>480</v>
      </c>
      <c r="AU545" s="79" t="s">
        <v>622</v>
      </c>
      <c r="AV545" s="79">
        <v>1</v>
      </c>
      <c r="AW545" s="463">
        <v>45913</v>
      </c>
      <c r="AX545" s="194"/>
      <c r="AY545" s="192"/>
      <c r="AZ545" s="150"/>
      <c r="BA545" s="150"/>
      <c r="BB545" s="150"/>
      <c r="BC545" s="150"/>
    </row>
    <row r="546" s="76" customFormat="1" customHeight="1" outlineLevel="1" spans="1:62">
      <c r="A546" s="76" t="s">
        <v>540</v>
      </c>
      <c r="B546" s="81" t="s">
        <v>440</v>
      </c>
      <c r="C546" s="387">
        <v>45856</v>
      </c>
      <c r="D546" s="76" t="s">
        <v>623</v>
      </c>
      <c r="E546" s="76" t="s">
        <v>624</v>
      </c>
      <c r="G546" s="586">
        <f>225585+1253700.214+19491.12</f>
        <v>1498776.334</v>
      </c>
      <c r="H546" s="423" t="s">
        <v>93</v>
      </c>
      <c r="J546" s="129">
        <v>27</v>
      </c>
      <c r="K546" s="129">
        <f>Z546+250</f>
        <v>6000</v>
      </c>
      <c r="L546" s="340">
        <f t="shared" ref="L546:L551" si="59">J546*K546</f>
        <v>162000</v>
      </c>
      <c r="M546" s="127">
        <f t="shared" ref="M546:M551" si="60">L546*0.3</f>
        <v>48600</v>
      </c>
      <c r="N546" s="76">
        <v>162000</v>
      </c>
      <c r="O546" s="199">
        <f t="shared" ref="O546:O551" si="61">L546-N546</f>
        <v>0</v>
      </c>
      <c r="P546" s="91"/>
      <c r="Q546" s="91"/>
      <c r="R546" s="76" t="s">
        <v>88</v>
      </c>
      <c r="S546" s="76" t="s">
        <v>625</v>
      </c>
      <c r="T546" s="387">
        <v>45854</v>
      </c>
      <c r="U546" s="387">
        <f t="shared" ref="U546:U551" si="62">T546+60</f>
        <v>45914</v>
      </c>
      <c r="V546" s="387">
        <v>45920</v>
      </c>
      <c r="X546" s="133" t="s">
        <v>432</v>
      </c>
      <c r="Y546" s="81">
        <v>23.013</v>
      </c>
      <c r="Z546" s="114">
        <v>5750</v>
      </c>
      <c r="AA546" s="114">
        <f t="shared" ref="AA546:AA551" si="63">Y546*Z546</f>
        <v>132324.75</v>
      </c>
      <c r="AB546" s="114"/>
      <c r="AC546" s="114"/>
      <c r="AD546" s="140"/>
      <c r="AE546" s="114"/>
      <c r="AF546" s="114"/>
      <c r="AG546" s="114"/>
      <c r="AH546" s="114"/>
      <c r="AI546" s="91"/>
      <c r="AK546" s="81">
        <v>23.013</v>
      </c>
      <c r="AL546" s="129">
        <v>6000</v>
      </c>
      <c r="AM546" s="114"/>
      <c r="AN546" s="76">
        <v>1253700.314</v>
      </c>
      <c r="AP546" s="91"/>
      <c r="AQ546" s="387"/>
      <c r="AR546" s="387"/>
      <c r="AS546" s="387"/>
      <c r="AT546" s="387" t="s">
        <v>544</v>
      </c>
      <c r="AU546" s="76" t="s">
        <v>626</v>
      </c>
      <c r="AV546" s="76">
        <v>6</v>
      </c>
      <c r="AW546" s="387">
        <v>45955</v>
      </c>
      <c r="AX546" s="129"/>
      <c r="AY546" s="114"/>
      <c r="AZ546" s="127"/>
      <c r="BA546" s="127"/>
      <c r="BB546" s="127"/>
      <c r="BC546" s="127"/>
      <c r="BJ546" s="91"/>
    </row>
    <row r="547" s="76" customFormat="1" customHeight="1" outlineLevel="1" spans="1:62">
      <c r="A547" s="76" t="s">
        <v>540</v>
      </c>
      <c r="B547" s="81" t="s">
        <v>440</v>
      </c>
      <c r="C547" s="387">
        <v>45856</v>
      </c>
      <c r="D547" s="76" t="s">
        <v>623</v>
      </c>
      <c r="E547" s="76" t="s">
        <v>547</v>
      </c>
      <c r="G547" s="586"/>
      <c r="H547" s="423" t="s">
        <v>93</v>
      </c>
      <c r="J547" s="129">
        <v>27</v>
      </c>
      <c r="K547" s="129">
        <f>Z547+250</f>
        <v>6000</v>
      </c>
      <c r="L547" s="340">
        <f t="shared" si="59"/>
        <v>162000</v>
      </c>
      <c r="M547" s="127">
        <f t="shared" si="60"/>
        <v>48600</v>
      </c>
      <c r="N547" s="76">
        <v>162000</v>
      </c>
      <c r="O547" s="199">
        <f t="shared" si="61"/>
        <v>0</v>
      </c>
      <c r="P547" s="91"/>
      <c r="Q547" s="91"/>
      <c r="R547" s="76" t="s">
        <v>88</v>
      </c>
      <c r="S547" s="76" t="s">
        <v>625</v>
      </c>
      <c r="T547" s="387">
        <v>45854</v>
      </c>
      <c r="U547" s="387">
        <f t="shared" si="62"/>
        <v>45914</v>
      </c>
      <c r="V547" s="387">
        <v>45920</v>
      </c>
      <c r="X547" s="133" t="s">
        <v>432</v>
      </c>
      <c r="Y547" s="81">
        <v>34.663</v>
      </c>
      <c r="Z547" s="114">
        <v>5750</v>
      </c>
      <c r="AA547" s="114">
        <f t="shared" si="63"/>
        <v>199312.25</v>
      </c>
      <c r="AB547" s="114"/>
      <c r="AC547" s="114"/>
      <c r="AD547" s="140"/>
      <c r="AE547" s="114"/>
      <c r="AF547" s="114"/>
      <c r="AG547" s="114"/>
      <c r="AH547" s="114"/>
      <c r="AK547" s="81">
        <v>34.663</v>
      </c>
      <c r="AL547" s="129">
        <v>6000</v>
      </c>
      <c r="AM547" s="114"/>
      <c r="AN547" s="76">
        <v>19491.12</v>
      </c>
      <c r="AQ547" s="387"/>
      <c r="AR547" s="387"/>
      <c r="AS547" s="387"/>
      <c r="AT547" s="387" t="s">
        <v>544</v>
      </c>
      <c r="AU547" s="76" t="s">
        <v>627</v>
      </c>
      <c r="AV547" s="76">
        <v>3</v>
      </c>
      <c r="AW547" s="387">
        <v>45959</v>
      </c>
      <c r="AX547" s="129"/>
      <c r="AY547" s="114"/>
      <c r="AZ547" s="127"/>
      <c r="BA547" s="127"/>
      <c r="BB547" s="127"/>
      <c r="BC547" s="127"/>
      <c r="BJ547" s="91"/>
    </row>
    <row r="548" s="76" customFormat="1" customHeight="1" outlineLevel="1" spans="1:62">
      <c r="A548" s="76" t="s">
        <v>540</v>
      </c>
      <c r="B548" s="81" t="s">
        <v>440</v>
      </c>
      <c r="C548" s="387">
        <v>45856</v>
      </c>
      <c r="D548" s="76" t="s">
        <v>623</v>
      </c>
      <c r="E548" s="76" t="s">
        <v>551</v>
      </c>
      <c r="G548" s="586"/>
      <c r="H548" s="423" t="s">
        <v>93</v>
      </c>
      <c r="J548" s="129">
        <v>27</v>
      </c>
      <c r="K548" s="129">
        <f>Z548+250</f>
        <v>6100</v>
      </c>
      <c r="L548" s="340">
        <f t="shared" si="59"/>
        <v>164700</v>
      </c>
      <c r="M548" s="127">
        <f t="shared" si="60"/>
        <v>49410</v>
      </c>
      <c r="N548" s="76">
        <v>164700</v>
      </c>
      <c r="O548" s="199">
        <f t="shared" si="61"/>
        <v>0</v>
      </c>
      <c r="P548" s="91"/>
      <c r="Q548" s="91"/>
      <c r="R548" s="76" t="s">
        <v>88</v>
      </c>
      <c r="S548" s="76" t="s">
        <v>625</v>
      </c>
      <c r="T548" s="387">
        <v>45854</v>
      </c>
      <c r="U548" s="387">
        <f t="shared" si="62"/>
        <v>45914</v>
      </c>
      <c r="V548" s="387">
        <v>45920</v>
      </c>
      <c r="X548" s="133" t="s">
        <v>432</v>
      </c>
      <c r="Y548" s="81">
        <v>28.425</v>
      </c>
      <c r="Z548" s="114">
        <v>5850</v>
      </c>
      <c r="AA548" s="114">
        <f t="shared" si="63"/>
        <v>166286.25</v>
      </c>
      <c r="AB548" s="114"/>
      <c r="AC548" s="114"/>
      <c r="AD548" s="140"/>
      <c r="AE548" s="114"/>
      <c r="AF548" s="114"/>
      <c r="AG548" s="114"/>
      <c r="AH548" s="114"/>
      <c r="AK548" s="81">
        <v>28.425</v>
      </c>
      <c r="AL548" s="129">
        <v>6100</v>
      </c>
      <c r="AM548" s="114"/>
      <c r="AQ548" s="387"/>
      <c r="AR548" s="387"/>
      <c r="AS548" s="387" t="s">
        <v>628</v>
      </c>
      <c r="AT548" s="387"/>
      <c r="AU548" s="76" t="s">
        <v>629</v>
      </c>
      <c r="AV548" s="76">
        <v>1</v>
      </c>
      <c r="AW548" s="387">
        <v>45985</v>
      </c>
      <c r="AX548" s="129"/>
      <c r="AY548" s="114"/>
      <c r="AZ548" s="127"/>
      <c r="BA548" s="127"/>
      <c r="BB548" s="127"/>
      <c r="BC548" s="127"/>
      <c r="BJ548" s="91"/>
    </row>
    <row r="549" s="76" customFormat="1" customHeight="1" outlineLevel="1" spans="1:62">
      <c r="A549" s="76" t="s">
        <v>540</v>
      </c>
      <c r="B549" s="81" t="s">
        <v>440</v>
      </c>
      <c r="C549" s="387">
        <v>45856</v>
      </c>
      <c r="D549" s="76" t="s">
        <v>623</v>
      </c>
      <c r="E549" s="76" t="s">
        <v>630</v>
      </c>
      <c r="G549" s="586"/>
      <c r="H549" s="423" t="s">
        <v>93</v>
      </c>
      <c r="J549" s="129">
        <v>27</v>
      </c>
      <c r="K549" s="129">
        <f>Z549+250</f>
        <v>5750</v>
      </c>
      <c r="L549" s="340">
        <f t="shared" si="59"/>
        <v>155250</v>
      </c>
      <c r="M549" s="127">
        <f t="shared" si="60"/>
        <v>46575</v>
      </c>
      <c r="N549" s="76">
        <v>155250</v>
      </c>
      <c r="O549" s="199">
        <f t="shared" si="61"/>
        <v>0</v>
      </c>
      <c r="P549" s="91"/>
      <c r="Q549" s="91"/>
      <c r="R549" s="76" t="s">
        <v>88</v>
      </c>
      <c r="S549" s="76" t="s">
        <v>625</v>
      </c>
      <c r="T549" s="387">
        <v>45854</v>
      </c>
      <c r="U549" s="387">
        <f t="shared" si="62"/>
        <v>45914</v>
      </c>
      <c r="V549" s="387">
        <v>45920</v>
      </c>
      <c r="X549" s="133" t="s">
        <v>432</v>
      </c>
      <c r="Y549" s="81">
        <f>28.976-19.808</f>
        <v>9.168</v>
      </c>
      <c r="Z549" s="114">
        <v>5500</v>
      </c>
      <c r="AA549" s="114">
        <f t="shared" si="63"/>
        <v>50424</v>
      </c>
      <c r="AB549" s="114"/>
      <c r="AC549" s="114"/>
      <c r="AD549" s="140"/>
      <c r="AE549" s="114"/>
      <c r="AF549" s="114"/>
      <c r="AG549" s="114"/>
      <c r="AH549" s="114"/>
      <c r="AK549" s="81">
        <f>28.976-19.808</f>
        <v>9.168</v>
      </c>
      <c r="AL549" s="129">
        <v>5750</v>
      </c>
      <c r="AM549" s="114"/>
      <c r="AQ549" s="387"/>
      <c r="AR549" s="387"/>
      <c r="AT549" s="387"/>
      <c r="AW549" s="387"/>
      <c r="AX549" s="129"/>
      <c r="AY549" s="114"/>
      <c r="AZ549" s="127"/>
      <c r="BA549" s="127"/>
      <c r="BB549" s="127"/>
      <c r="BC549" s="127"/>
      <c r="BJ549" s="91"/>
    </row>
    <row r="550" s="76" customFormat="1" customHeight="1" outlineLevel="1" spans="1:62">
      <c r="A550" s="76" t="s">
        <v>540</v>
      </c>
      <c r="B550" s="81" t="s">
        <v>440</v>
      </c>
      <c r="C550" s="387">
        <v>45856</v>
      </c>
      <c r="D550" s="76" t="s">
        <v>623</v>
      </c>
      <c r="E550" s="113" t="s">
        <v>559</v>
      </c>
      <c r="G550" s="586"/>
      <c r="H550" s="423" t="s">
        <v>93</v>
      </c>
      <c r="J550" s="129">
        <v>108</v>
      </c>
      <c r="K550" s="129">
        <f>Z550+340</f>
        <v>5570</v>
      </c>
      <c r="L550" s="340">
        <f t="shared" si="59"/>
        <v>601560</v>
      </c>
      <c r="M550" s="127">
        <f t="shared" si="60"/>
        <v>180468</v>
      </c>
      <c r="N550" s="76">
        <f>180468+421092+83385.314</f>
        <v>684945.314</v>
      </c>
      <c r="O550" s="199">
        <f t="shared" si="61"/>
        <v>-83385.314</v>
      </c>
      <c r="P550" s="91"/>
      <c r="Q550" s="91"/>
      <c r="R550" s="76" t="s">
        <v>66</v>
      </c>
      <c r="S550" s="76" t="s">
        <v>631</v>
      </c>
      <c r="T550" s="387">
        <v>45856</v>
      </c>
      <c r="U550" s="387">
        <f t="shared" si="62"/>
        <v>45916</v>
      </c>
      <c r="V550" s="387">
        <v>45920</v>
      </c>
      <c r="X550" s="133" t="s">
        <v>432</v>
      </c>
      <c r="Y550" s="129">
        <v>110.273</v>
      </c>
      <c r="Z550" s="114">
        <v>5230</v>
      </c>
      <c r="AA550" s="114">
        <f t="shared" si="63"/>
        <v>576727.79</v>
      </c>
      <c r="AB550" s="114">
        <f>212000/135*108</f>
        <v>169600</v>
      </c>
      <c r="AC550" s="114">
        <f>AA550-AB550</f>
        <v>407127.79</v>
      </c>
      <c r="AD550" s="140"/>
      <c r="AE550" s="114"/>
      <c r="AF550" s="114"/>
      <c r="AG550" s="114"/>
      <c r="AH550" s="114"/>
      <c r="AI550" s="91"/>
      <c r="AK550" s="76">
        <v>110.448</v>
      </c>
      <c r="AL550" s="129">
        <v>5570</v>
      </c>
      <c r="AM550" s="114"/>
      <c r="AP550" s="91"/>
      <c r="AQ550" s="387"/>
      <c r="AR550" s="387"/>
      <c r="AS550" s="387"/>
      <c r="AT550" s="387"/>
      <c r="AW550" s="387"/>
      <c r="AX550" s="129"/>
      <c r="AY550" s="114"/>
      <c r="AZ550" s="127"/>
      <c r="BA550" s="127"/>
      <c r="BB550" s="127"/>
      <c r="BC550" s="127"/>
      <c r="BJ550" s="91"/>
    </row>
    <row r="551" s="76" customFormat="1" customHeight="1" outlineLevel="1" spans="1:62">
      <c r="A551" s="76" t="s">
        <v>540</v>
      </c>
      <c r="B551" s="81" t="s">
        <v>440</v>
      </c>
      <c r="C551" s="387">
        <v>45856</v>
      </c>
      <c r="D551" s="76" t="s">
        <v>623</v>
      </c>
      <c r="E551" s="76" t="s">
        <v>632</v>
      </c>
      <c r="G551" s="586"/>
      <c r="H551" s="423" t="s">
        <v>93</v>
      </c>
      <c r="J551" s="129">
        <v>27</v>
      </c>
      <c r="K551" s="129">
        <f>Z551+340</f>
        <v>5570</v>
      </c>
      <c r="L551" s="340">
        <f t="shared" si="59"/>
        <v>150390</v>
      </c>
      <c r="M551" s="127">
        <f t="shared" si="60"/>
        <v>45117</v>
      </c>
      <c r="N551" s="76">
        <f>45117+105273</f>
        <v>150390</v>
      </c>
      <c r="O551" s="199">
        <f t="shared" si="61"/>
        <v>0</v>
      </c>
      <c r="P551" s="91"/>
      <c r="Q551" s="91"/>
      <c r="R551" s="76" t="s">
        <v>66</v>
      </c>
      <c r="S551" s="76" t="s">
        <v>631</v>
      </c>
      <c r="T551" s="387">
        <v>45856</v>
      </c>
      <c r="U551" s="387">
        <f t="shared" si="62"/>
        <v>45916</v>
      </c>
      <c r="V551" s="387">
        <v>45920</v>
      </c>
      <c r="X551" s="133" t="s">
        <v>432</v>
      </c>
      <c r="Y551" s="129">
        <v>32.899</v>
      </c>
      <c r="Z551" s="114">
        <v>5230</v>
      </c>
      <c r="AA551" s="114">
        <f t="shared" si="63"/>
        <v>172061.77</v>
      </c>
      <c r="AB551" s="114">
        <f>212000/135*27</f>
        <v>42400</v>
      </c>
      <c r="AC551" s="114">
        <f>AA551-AB551</f>
        <v>129661.77</v>
      </c>
      <c r="AD551" s="140"/>
      <c r="AE551" s="114"/>
      <c r="AF551" s="114"/>
      <c r="AG551" s="114"/>
      <c r="AH551" s="114"/>
      <c r="AK551" s="76">
        <v>27.24</v>
      </c>
      <c r="AL551" s="129">
        <v>5570</v>
      </c>
      <c r="AM551" s="114"/>
      <c r="AQ551" s="387"/>
      <c r="AR551" s="387"/>
      <c r="AS551" s="387"/>
      <c r="AT551" s="387"/>
      <c r="AW551" s="387"/>
      <c r="AX551" s="129"/>
      <c r="AY551" s="114"/>
      <c r="AZ551" s="127"/>
      <c r="BA551" s="127"/>
      <c r="BB551" s="127"/>
      <c r="BC551" s="127"/>
      <c r="BJ551" s="91"/>
    </row>
    <row r="552" s="76" customFormat="1" customHeight="1" outlineLevel="1" spans="1:62">
      <c r="C552" s="387"/>
      <c r="D552" s="578" t="s">
        <v>633</v>
      </c>
      <c r="E552" s="76" t="s">
        <v>624</v>
      </c>
      <c r="G552" s="586"/>
      <c r="H552" s="77"/>
      <c r="J552" s="129"/>
      <c r="K552" s="129"/>
      <c r="L552" s="129"/>
      <c r="M552" s="127"/>
      <c r="N552" s="76">
        <v>19491.12</v>
      </c>
      <c r="O552" s="199"/>
      <c r="P552" s="91"/>
      <c r="Q552" s="91"/>
      <c r="R552" s="76" t="s">
        <v>88</v>
      </c>
      <c r="T552" s="387"/>
      <c r="U552" s="387"/>
      <c r="V552" s="387"/>
      <c r="X552" s="133"/>
      <c r="Y552" s="129"/>
      <c r="Z552" s="114"/>
      <c r="AA552" s="114"/>
      <c r="AB552" s="114"/>
      <c r="AC552" s="114"/>
      <c r="AD552" s="140"/>
      <c r="AE552" s="114"/>
      <c r="AF552" s="114"/>
      <c r="AG552" s="114"/>
      <c r="AH552" s="114"/>
      <c r="AK552" s="76">
        <v>1.943</v>
      </c>
      <c r="AM552" s="114"/>
      <c r="AN552" s="224"/>
      <c r="AQ552" s="387"/>
      <c r="AR552" s="387"/>
      <c r="AS552" s="387"/>
      <c r="AT552" s="387"/>
      <c r="AW552" s="387"/>
      <c r="AX552" s="129"/>
      <c r="AY552" s="114"/>
      <c r="AZ552" s="127"/>
      <c r="BA552" s="127"/>
      <c r="BB552" s="127"/>
      <c r="BC552" s="127"/>
      <c r="BJ552" s="91"/>
    </row>
    <row r="553" s="76" customFormat="1" customHeight="1" outlineLevel="1" spans="1:62">
      <c r="C553" s="387"/>
      <c r="D553" s="578" t="s">
        <v>633</v>
      </c>
      <c r="E553" s="76" t="s">
        <v>547</v>
      </c>
      <c r="G553" s="586"/>
      <c r="H553" s="77"/>
      <c r="J553" s="129"/>
      <c r="K553" s="129"/>
      <c r="L553" s="129"/>
      <c r="M553" s="127"/>
      <c r="O553" s="199"/>
      <c r="P553" s="91"/>
      <c r="Q553" s="91"/>
      <c r="R553" s="76" t="s">
        <v>88</v>
      </c>
      <c r="T553" s="387"/>
      <c r="U553" s="387"/>
      <c r="V553" s="387"/>
      <c r="X553" s="133"/>
      <c r="Y553" s="129"/>
      <c r="Z553" s="114"/>
      <c r="AA553" s="114"/>
      <c r="AB553" s="114"/>
      <c r="AC553" s="114"/>
      <c r="AD553" s="140"/>
      <c r="AE553" s="114"/>
      <c r="AF553" s="114"/>
      <c r="AG553" s="114"/>
      <c r="AH553" s="114"/>
      <c r="AK553" s="76">
        <v>2.68</v>
      </c>
      <c r="AM553" s="114"/>
      <c r="AN553" s="224"/>
      <c r="AQ553" s="387"/>
      <c r="AR553" s="387"/>
      <c r="AS553" s="387"/>
      <c r="AT553" s="387"/>
      <c r="AW553" s="387"/>
      <c r="AX553" s="129"/>
      <c r="AY553" s="114"/>
      <c r="AZ553" s="127"/>
      <c r="BA553" s="127"/>
      <c r="BB553" s="127"/>
      <c r="BC553" s="127"/>
      <c r="BJ553" s="91"/>
    </row>
    <row r="554" s="76" customFormat="1" customHeight="1" outlineLevel="1" spans="1:62">
      <c r="C554" s="387"/>
      <c r="D554" s="578" t="s">
        <v>633</v>
      </c>
      <c r="E554" s="76" t="s">
        <v>630</v>
      </c>
      <c r="G554" s="586"/>
      <c r="H554" s="77"/>
      <c r="J554" s="129"/>
      <c r="K554" s="129"/>
      <c r="L554" s="129"/>
      <c r="M554" s="127"/>
      <c r="O554" s="199"/>
      <c r="P554" s="91"/>
      <c r="Q554" s="91"/>
      <c r="R554" s="76" t="s">
        <v>88</v>
      </c>
      <c r="T554" s="387"/>
      <c r="U554" s="387"/>
      <c r="V554" s="387"/>
      <c r="X554" s="133"/>
      <c r="Y554" s="76">
        <v>19.808</v>
      </c>
      <c r="Z554" s="114"/>
      <c r="AA554" s="114"/>
      <c r="AB554" s="114"/>
      <c r="AC554" s="114"/>
      <c r="AD554" s="140"/>
      <c r="AE554" s="114"/>
      <c r="AF554" s="114"/>
      <c r="AG554" s="114"/>
      <c r="AH554" s="114"/>
      <c r="AK554" s="76">
        <v>10.64</v>
      </c>
      <c r="AM554" s="114"/>
      <c r="AN554" s="224"/>
      <c r="AQ554" s="387"/>
      <c r="AR554" s="387"/>
      <c r="AS554" s="387"/>
      <c r="AT554" s="387"/>
      <c r="AW554" s="387"/>
      <c r="AX554" s="129"/>
      <c r="AY554" s="114"/>
      <c r="AZ554" s="127"/>
      <c r="BA554" s="127"/>
      <c r="BB554" s="127"/>
      <c r="BC554" s="127"/>
      <c r="BJ554" s="91"/>
    </row>
    <row r="555" s="76" customFormat="1" customHeight="1" outlineLevel="1" spans="1:62">
      <c r="C555" s="387"/>
      <c r="D555" s="578" t="s">
        <v>633</v>
      </c>
      <c r="E555" s="113" t="s">
        <v>559</v>
      </c>
      <c r="G555" s="586"/>
      <c r="H555" s="77"/>
      <c r="J555" s="129"/>
      <c r="K555" s="129"/>
      <c r="L555" s="129"/>
      <c r="M555" s="127"/>
      <c r="O555" s="199"/>
      <c r="P555" s="91"/>
      <c r="Q555" s="91"/>
      <c r="R555" s="76" t="s">
        <v>66</v>
      </c>
      <c r="T555" s="387"/>
      <c r="U555" s="387"/>
      <c r="V555" s="387"/>
      <c r="X555" s="133"/>
      <c r="Y555" s="129"/>
      <c r="Z555" s="114"/>
      <c r="AA555" s="114"/>
      <c r="AB555" s="114"/>
      <c r="AC555" s="114"/>
      <c r="AD555" s="140"/>
      <c r="AE555" s="114"/>
      <c r="AF555" s="114"/>
      <c r="AG555" s="114"/>
      <c r="AH555" s="114"/>
      <c r="AK555" s="76">
        <v>8.515</v>
      </c>
      <c r="AM555" s="114"/>
      <c r="AN555" s="224"/>
      <c r="AQ555" s="387"/>
      <c r="AR555" s="387"/>
      <c r="AS555" s="387"/>
      <c r="AT555" s="387"/>
      <c r="AW555" s="387"/>
      <c r="AX555" s="129"/>
      <c r="AY555" s="114"/>
      <c r="AZ555" s="127"/>
      <c r="BA555" s="127"/>
      <c r="BB555" s="127"/>
      <c r="BC555" s="127"/>
      <c r="BJ555" s="91"/>
    </row>
    <row r="556" s="76" customFormat="1" customHeight="1" outlineLevel="1" spans="1:62">
      <c r="C556" s="387"/>
      <c r="D556" s="578" t="s">
        <v>633</v>
      </c>
      <c r="E556" s="76" t="s">
        <v>632</v>
      </c>
      <c r="G556" s="586"/>
      <c r="H556" s="77"/>
      <c r="J556" s="129"/>
      <c r="K556" s="129"/>
      <c r="L556" s="129"/>
      <c r="M556" s="127"/>
      <c r="O556" s="199"/>
      <c r="P556" s="91"/>
      <c r="Q556" s="91"/>
      <c r="R556" s="76" t="s">
        <v>66</v>
      </c>
      <c r="T556" s="387"/>
      <c r="U556" s="387"/>
      <c r="V556" s="387"/>
      <c r="X556" s="133"/>
      <c r="Y556" s="129"/>
      <c r="Z556" s="114"/>
      <c r="AA556" s="114"/>
      <c r="AB556" s="114"/>
      <c r="AC556" s="114"/>
      <c r="AD556" s="140"/>
      <c r="AE556" s="114"/>
      <c r="AF556" s="114"/>
      <c r="AG556" s="114"/>
      <c r="AH556" s="114"/>
      <c r="AK556" s="76">
        <v>6.152</v>
      </c>
      <c r="AM556" s="114"/>
      <c r="AN556" s="224"/>
      <c r="AQ556" s="387"/>
      <c r="AR556" s="387"/>
      <c r="AS556" s="387"/>
      <c r="AT556" s="387"/>
      <c r="AW556" s="387"/>
      <c r="AX556" s="129"/>
      <c r="AY556" s="114"/>
      <c r="AZ556" s="127"/>
      <c r="BA556" s="127"/>
      <c r="BB556" s="127"/>
      <c r="BC556" s="127"/>
      <c r="BJ556" s="91"/>
    </row>
    <row r="557" s="79" customFormat="1" ht="86.4" spans="1:62">
      <c r="A557" s="79" t="s">
        <v>540</v>
      </c>
      <c r="B557" s="79" t="s">
        <v>440</v>
      </c>
      <c r="C557" s="463" t="s">
        <v>634</v>
      </c>
      <c r="D557" s="79" t="s">
        <v>623</v>
      </c>
      <c r="E557" s="116" t="s">
        <v>635</v>
      </c>
      <c r="G557" s="486"/>
      <c r="H557" s="79" t="s">
        <v>93</v>
      </c>
      <c r="J557" s="194">
        <f>SUM(J546:J551)</f>
        <v>243</v>
      </c>
      <c r="K557" s="194"/>
      <c r="L557" s="194">
        <f>SUM(L546:L551)</f>
        <v>1395900</v>
      </c>
      <c r="M557" s="150">
        <f>SUM(M546:M551)</f>
        <v>418770</v>
      </c>
      <c r="N557" s="79">
        <f>SUM(N546:N551)</f>
        <v>1479285.314</v>
      </c>
      <c r="O557" s="226">
        <f>SUM(O546:O551)</f>
        <v>-83385.314</v>
      </c>
      <c r="T557" s="463">
        <f>T551</f>
        <v>45856</v>
      </c>
      <c r="U557" s="463">
        <f>U551</f>
        <v>45916</v>
      </c>
      <c r="V557" s="463">
        <f>V551</f>
        <v>45920</v>
      </c>
      <c r="X557" s="193" t="s">
        <v>432</v>
      </c>
      <c r="Y557" s="79">
        <f>SUM(Y546:Y551)</f>
        <v>238.441</v>
      </c>
      <c r="Z557" s="192"/>
      <c r="AA557" s="79">
        <f>SUM(AA546:AA551)</f>
        <v>1297136.81</v>
      </c>
      <c r="AB557" s="192">
        <f>SUM(AB550:AB551)</f>
        <v>212000</v>
      </c>
      <c r="AC557" s="192"/>
      <c r="AD557" s="196"/>
      <c r="AE557" s="192"/>
      <c r="AF557" s="192"/>
      <c r="AG557" s="192"/>
      <c r="AH557" s="192"/>
      <c r="AM557" s="192"/>
      <c r="AN557" s="218">
        <f>N557</f>
        <v>1479285.314</v>
      </c>
      <c r="AQ557" s="463">
        <f>V557</f>
        <v>45920</v>
      </c>
      <c r="AR557" s="463"/>
      <c r="AS557" s="463"/>
      <c r="AT557" s="463" t="s">
        <v>544</v>
      </c>
      <c r="AW557" s="463"/>
      <c r="AX557" s="194"/>
      <c r="AY557" s="192"/>
      <c r="AZ557" s="150"/>
      <c r="BA557" s="150"/>
      <c r="BB557" s="150"/>
      <c r="BC557" s="150"/>
      <c r="BI557" s="151"/>
    </row>
    <row r="558" s="81" customFormat="1" customHeight="1" outlineLevel="1" spans="1:62">
      <c r="A558" s="81" t="s">
        <v>365</v>
      </c>
      <c r="B558" s="81" t="s">
        <v>572</v>
      </c>
      <c r="C558" s="387">
        <v>45859</v>
      </c>
      <c r="D558" s="81" t="s">
        <v>636</v>
      </c>
      <c r="E558" s="81" t="s">
        <v>637</v>
      </c>
      <c r="G558" s="613">
        <f>529691.4+58217.94+6468.66+1150000</f>
        <v>1744378</v>
      </c>
      <c r="H558" s="423" t="s">
        <v>93</v>
      </c>
      <c r="J558" s="213">
        <v>189</v>
      </c>
      <c r="K558" s="129">
        <f>Z558+340</f>
        <v>6120</v>
      </c>
      <c r="L558" s="340">
        <f>J558*K558</f>
        <v>1156680</v>
      </c>
      <c r="M558" s="213">
        <f>L558*0.3</f>
        <v>347004</v>
      </c>
      <c r="N558" s="81">
        <f>347004+809676</f>
        <v>1156680</v>
      </c>
      <c r="O558" s="199">
        <f>L558-N558</f>
        <v>0</v>
      </c>
      <c r="P558" s="209"/>
      <c r="Q558" s="209"/>
      <c r="R558" s="81" t="s">
        <v>66</v>
      </c>
      <c r="S558" s="81" t="s">
        <v>638</v>
      </c>
      <c r="T558" s="712">
        <v>45862</v>
      </c>
      <c r="U558" s="712">
        <f>T558+45</f>
        <v>45907</v>
      </c>
      <c r="V558" s="712">
        <f>T558+50</f>
        <v>45912</v>
      </c>
      <c r="W558" s="76"/>
      <c r="X558" s="133" t="s">
        <v>355</v>
      </c>
      <c r="Y558" s="81">
        <v>186.563</v>
      </c>
      <c r="Z558" s="211">
        <v>5780</v>
      </c>
      <c r="AA558" s="211">
        <f>Y558*Z558</f>
        <v>1078334.14</v>
      </c>
      <c r="AB558" s="211">
        <v>120000</v>
      </c>
      <c r="AC558" s="211">
        <f>AA558-AB558</f>
        <v>958334.14</v>
      </c>
      <c r="AD558" s="212"/>
      <c r="AE558" s="211"/>
      <c r="AF558" s="211"/>
      <c r="AG558" s="211"/>
      <c r="AH558" s="211"/>
      <c r="AI558" s="209"/>
      <c r="AK558" s="81">
        <v>186.563</v>
      </c>
      <c r="AL558" s="211">
        <f>Z558+340</f>
        <v>6120</v>
      </c>
      <c r="AM558" s="211">
        <f>AK558*AL558</f>
        <v>1141765.56</v>
      </c>
      <c r="AN558" s="81">
        <f>347004+809676</f>
        <v>1156680</v>
      </c>
      <c r="AP558" s="209"/>
      <c r="AQ558" s="712"/>
      <c r="AR558" s="712"/>
      <c r="AS558" s="712"/>
      <c r="AT558" s="712"/>
      <c r="AW558" s="712"/>
      <c r="AX558" s="213"/>
      <c r="AY558" s="211"/>
      <c r="AZ558" s="214"/>
      <c r="BA558" s="214"/>
      <c r="BB558" s="214"/>
      <c r="BC558" s="214"/>
      <c r="BI558" s="731"/>
      <c r="BJ558" s="209"/>
    </row>
    <row r="559" s="81" customFormat="1" customHeight="1" outlineLevel="1" spans="1:62">
      <c r="A559" s="81" t="s">
        <v>365</v>
      </c>
      <c r="B559" s="81" t="s">
        <v>572</v>
      </c>
      <c r="C559" s="387">
        <v>45859</v>
      </c>
      <c r="D559" s="81" t="s">
        <v>636</v>
      </c>
      <c r="E559" s="81" t="s">
        <v>639</v>
      </c>
      <c r="G559" s="613"/>
      <c r="H559" s="423" t="s">
        <v>93</v>
      </c>
      <c r="J559" s="213">
        <v>81</v>
      </c>
      <c r="K559" s="129">
        <f>Z559+340</f>
        <v>6140</v>
      </c>
      <c r="L559" s="340">
        <f>J559*K559</f>
        <v>497340</v>
      </c>
      <c r="M559" s="213">
        <f>L559*0.3</f>
        <v>149202</v>
      </c>
      <c r="N559" s="81">
        <f>149202+340324</f>
        <v>489526</v>
      </c>
      <c r="O559" s="199">
        <f>L559-N559</f>
        <v>7814</v>
      </c>
      <c r="P559" s="209"/>
      <c r="Q559" s="209"/>
      <c r="R559" s="81" t="s">
        <v>66</v>
      </c>
      <c r="S559" s="81" t="s">
        <v>638</v>
      </c>
      <c r="T559" s="712">
        <v>45862</v>
      </c>
      <c r="U559" s="712">
        <f>T559+45</f>
        <v>45907</v>
      </c>
      <c r="V559" s="712">
        <f>T559+50</f>
        <v>45912</v>
      </c>
      <c r="W559" s="76"/>
      <c r="X559" s="133" t="s">
        <v>355</v>
      </c>
      <c r="Y559" s="213">
        <v>79.23</v>
      </c>
      <c r="Z559" s="211">
        <v>5800</v>
      </c>
      <c r="AA559" s="211">
        <f>Y559*Z559</f>
        <v>459534</v>
      </c>
      <c r="AB559" s="211">
        <v>400000</v>
      </c>
      <c r="AC559" s="211">
        <f>AA559-AB559</f>
        <v>59534</v>
      </c>
      <c r="AD559" s="212"/>
      <c r="AE559" s="211"/>
      <c r="AF559" s="211"/>
      <c r="AG559" s="211"/>
      <c r="AH559" s="211"/>
      <c r="AI559" s="209"/>
      <c r="AK559" s="81">
        <v>79.23</v>
      </c>
      <c r="AL559" s="211">
        <f>Z559+340</f>
        <v>6140</v>
      </c>
      <c r="AM559" s="211">
        <f>AK559*AL559</f>
        <v>486472.2</v>
      </c>
      <c r="AN559" s="81">
        <f>149202+340324</f>
        <v>489526</v>
      </c>
      <c r="AP559" s="209"/>
      <c r="AQ559" s="712"/>
      <c r="AR559" s="712"/>
      <c r="AS559" s="712"/>
      <c r="AT559" s="712"/>
      <c r="AW559" s="712"/>
      <c r="AX559" s="213"/>
      <c r="AY559" s="211"/>
      <c r="AZ559" s="214"/>
      <c r="BA559" s="214"/>
      <c r="BB559" s="214"/>
      <c r="BC559" s="214"/>
      <c r="BI559" s="731"/>
      <c r="BJ559" s="209"/>
    </row>
    <row r="560" s="81" customFormat="1" customHeight="1" outlineLevel="1" spans="1:62">
      <c r="A560" s="81" t="s">
        <v>365</v>
      </c>
      <c r="B560" s="81" t="s">
        <v>572</v>
      </c>
      <c r="C560" s="387">
        <v>45859</v>
      </c>
      <c r="D560" s="81" t="s">
        <v>636</v>
      </c>
      <c r="E560" s="81" t="s">
        <v>640</v>
      </c>
      <c r="G560" s="613"/>
      <c r="H560" s="423" t="s">
        <v>93</v>
      </c>
      <c r="J560" s="213">
        <v>54</v>
      </c>
      <c r="K560" s="129">
        <f>Z560+340</f>
        <v>6060</v>
      </c>
      <c r="L560" s="340">
        <f>J560*K560</f>
        <v>327240</v>
      </c>
      <c r="M560" s="213">
        <f>L560*0.3</f>
        <v>98172</v>
      </c>
      <c r="N560" s="81">
        <f>33485.4+58217.94+6468.66+191628.98</f>
        <v>289800.98</v>
      </c>
      <c r="O560" s="199">
        <f>L560-N560</f>
        <v>37439.02</v>
      </c>
      <c r="P560" s="209"/>
      <c r="Q560" s="209"/>
      <c r="R560" s="81" t="s">
        <v>66</v>
      </c>
      <c r="S560" s="81" t="s">
        <v>638</v>
      </c>
      <c r="T560" s="712">
        <v>45862</v>
      </c>
      <c r="U560" s="712">
        <f>T560+45</f>
        <v>45907</v>
      </c>
      <c r="V560" s="712">
        <f>T560+50</f>
        <v>45912</v>
      </c>
      <c r="W560" s="311"/>
      <c r="X560" s="671" t="s">
        <v>355</v>
      </c>
      <c r="Y560" s="213">
        <v>50.787</v>
      </c>
      <c r="Z560" s="211">
        <v>5720</v>
      </c>
      <c r="AA560" s="211">
        <f>Y560*Z560</f>
        <v>290501.64</v>
      </c>
      <c r="AB560" s="211">
        <v>41330</v>
      </c>
      <c r="AC560" s="211">
        <f>AA560-AB560</f>
        <v>249171.64</v>
      </c>
      <c r="AD560" s="212"/>
      <c r="AE560" s="211"/>
      <c r="AF560" s="211"/>
      <c r="AG560" s="211"/>
      <c r="AH560" s="211"/>
      <c r="AI560" s="209"/>
      <c r="AK560" s="81">
        <v>50.787</v>
      </c>
      <c r="AL560" s="211">
        <f>Z560+340</f>
        <v>6060</v>
      </c>
      <c r="AM560" s="211">
        <f>AK560*AL560</f>
        <v>307769.22</v>
      </c>
      <c r="AN560" s="211">
        <f>33485.4+58217.94+6468.66+191628.98</f>
        <v>289800.98</v>
      </c>
      <c r="AP560" s="209"/>
      <c r="AQ560" s="712"/>
      <c r="AR560" s="712"/>
      <c r="AS560" s="712"/>
      <c r="AT560" s="712"/>
      <c r="AW560" s="712"/>
      <c r="AX560" s="213"/>
      <c r="AY560" s="211"/>
      <c r="AZ560" s="214"/>
      <c r="BA560" s="214"/>
      <c r="BB560" s="214"/>
      <c r="BC560" s="214"/>
      <c r="BI560" s="731"/>
      <c r="BJ560" s="209"/>
    </row>
    <row r="561" s="82" customFormat="1" ht="43.2" spans="1:62">
      <c r="A561" s="82" t="s">
        <v>365</v>
      </c>
      <c r="B561" s="82" t="s">
        <v>572</v>
      </c>
      <c r="C561" s="463">
        <v>45859</v>
      </c>
      <c r="D561" s="82" t="s">
        <v>636</v>
      </c>
      <c r="E561" s="714" t="s">
        <v>641</v>
      </c>
      <c r="G561" s="715"/>
      <c r="H561" s="82" t="s">
        <v>93</v>
      </c>
      <c r="J561" s="221">
        <f>SUM(J558:J560)</f>
        <v>324</v>
      </c>
      <c r="K561" s="221"/>
      <c r="L561" s="221">
        <f>SUM(L558:L560)</f>
        <v>1981260</v>
      </c>
      <c r="M561" s="221">
        <f>SUM(M558:M560)</f>
        <v>594378</v>
      </c>
      <c r="N561" s="221">
        <f>SUM(N558:N560)</f>
        <v>1936006.98</v>
      </c>
      <c r="O561" s="221">
        <f>SUM(O558:O560)</f>
        <v>45253.02</v>
      </c>
      <c r="T561" s="665"/>
      <c r="U561" s="665">
        <f>U560</f>
        <v>45907</v>
      </c>
      <c r="V561" s="665">
        <f>V560</f>
        <v>45912</v>
      </c>
      <c r="X561" s="82" t="s">
        <v>355</v>
      </c>
      <c r="Y561" s="221">
        <f>SUM(Y558:Y560)</f>
        <v>316.58</v>
      </c>
      <c r="Z561" s="218"/>
      <c r="AA561" s="221">
        <f>SUM(AA558:AA560)</f>
        <v>1828369.78</v>
      </c>
      <c r="AB561" s="221">
        <f>SUM(AB558:AB560)</f>
        <v>561330</v>
      </c>
      <c r="AC561" s="221">
        <f>SUM(AC558:AC560)</f>
        <v>1267039.78</v>
      </c>
      <c r="AD561" s="220"/>
      <c r="AE561" s="218"/>
      <c r="AF561" s="218"/>
      <c r="AG561" s="218"/>
      <c r="AH561" s="218"/>
      <c r="AK561" s="82">
        <f>SUM(AK558:AK560)</f>
        <v>316.58</v>
      </c>
      <c r="AM561" s="82">
        <f>SUM(AM558:AM560)</f>
        <v>1936006.98</v>
      </c>
      <c r="AN561" s="218">
        <f>N561</f>
        <v>1936006.98</v>
      </c>
      <c r="AQ561" s="463">
        <f>V561</f>
        <v>45912</v>
      </c>
      <c r="AR561" s="605"/>
      <c r="AS561" s="665"/>
      <c r="AT561" s="665"/>
      <c r="AU561" s="82">
        <v>1069110343</v>
      </c>
      <c r="AV561" s="82">
        <v>12</v>
      </c>
      <c r="AW561" s="665">
        <v>45927</v>
      </c>
      <c r="AX561" s="221"/>
      <c r="AY561" s="218"/>
      <c r="AZ561" s="222"/>
      <c r="BA561" s="222"/>
      <c r="BB561" s="222"/>
      <c r="BC561" s="222"/>
      <c r="BI561" s="732"/>
    </row>
    <row r="562" s="76" customFormat="1" customHeight="1" outlineLevel="1" spans="1:62">
      <c r="A562" s="76" t="s">
        <v>401</v>
      </c>
      <c r="B562" s="81" t="s">
        <v>440</v>
      </c>
      <c r="C562" s="387">
        <v>45866</v>
      </c>
      <c r="D562" s="76" t="s">
        <v>642</v>
      </c>
      <c r="E562" s="76" t="s">
        <v>643</v>
      </c>
      <c r="G562" s="479"/>
      <c r="H562" s="76" t="s">
        <v>401</v>
      </c>
      <c r="J562" s="129">
        <v>27</v>
      </c>
      <c r="K562" s="129">
        <v>5780</v>
      </c>
      <c r="L562" s="129">
        <f>J562*K562</f>
        <v>156060</v>
      </c>
      <c r="M562" s="129">
        <f>L562*0.3</f>
        <v>46818</v>
      </c>
      <c r="N562" s="114">
        <f>15606+302.294000000002+143174.646</f>
        <v>159082.94</v>
      </c>
      <c r="O562" s="199">
        <f>L562-N562</f>
        <v>-3022.94</v>
      </c>
      <c r="P562" s="91"/>
      <c r="Q562" s="91"/>
      <c r="R562" s="76" t="s">
        <v>88</v>
      </c>
      <c r="S562" s="76" t="s">
        <v>644</v>
      </c>
      <c r="T562" s="387">
        <v>45864</v>
      </c>
      <c r="U562" s="387">
        <f>T562+60</f>
        <v>45924</v>
      </c>
      <c r="V562" s="387">
        <v>45955</v>
      </c>
      <c r="X562" s="133" t="s">
        <v>355</v>
      </c>
      <c r="Y562" s="76">
        <v>27.523</v>
      </c>
      <c r="Z562" s="114">
        <v>5250</v>
      </c>
      <c r="AA562" s="211">
        <f>Y562*Z562</f>
        <v>144495.75</v>
      </c>
      <c r="AB562" s="114"/>
      <c r="AC562" s="211"/>
      <c r="AD562" s="140"/>
      <c r="AE562" s="114"/>
      <c r="AF562" s="114"/>
      <c r="AG562" s="114"/>
      <c r="AH562" s="114"/>
      <c r="AI562" s="91"/>
      <c r="AK562" s="76">
        <v>27.523</v>
      </c>
      <c r="AL562" s="129">
        <v>5780</v>
      </c>
      <c r="AM562" s="114">
        <f>AL562*AK562</f>
        <v>159082.94</v>
      </c>
      <c r="AN562" s="114">
        <f>15606+302.294000000002+143174.646</f>
        <v>159082.94</v>
      </c>
      <c r="AO562" s="76">
        <f>AM562-AN562</f>
        <v>0</v>
      </c>
      <c r="AP562" s="91"/>
      <c r="AQ562" s="387" t="s">
        <v>436</v>
      </c>
      <c r="AR562" s="387"/>
      <c r="AS562" s="387"/>
      <c r="AT562" s="387" t="s">
        <v>645</v>
      </c>
      <c r="AU562" s="76" t="s">
        <v>646</v>
      </c>
      <c r="AV562" s="76">
        <v>1</v>
      </c>
      <c r="AW562" s="387">
        <v>45953</v>
      </c>
      <c r="AX562" s="76">
        <v>27.523</v>
      </c>
      <c r="AY562" s="114"/>
      <c r="AZ562" s="127"/>
      <c r="BA562" s="127"/>
      <c r="BB562" s="127"/>
      <c r="BC562" s="127"/>
      <c r="BI562" s="75"/>
      <c r="BJ562" s="91"/>
    </row>
    <row r="563" s="76" customFormat="1" customHeight="1" outlineLevel="1" spans="1:62">
      <c r="A563" s="76" t="s">
        <v>401</v>
      </c>
      <c r="B563" s="81" t="s">
        <v>440</v>
      </c>
      <c r="C563" s="387">
        <v>45866</v>
      </c>
      <c r="D563" s="76" t="s">
        <v>642</v>
      </c>
      <c r="E563" s="76" t="s">
        <v>647</v>
      </c>
      <c r="G563" s="479"/>
      <c r="H563" s="76" t="s">
        <v>401</v>
      </c>
      <c r="J563" s="129">
        <v>54</v>
      </c>
      <c r="K563" s="129">
        <v>7280</v>
      </c>
      <c r="L563" s="129">
        <f>J563*K563</f>
        <v>393120</v>
      </c>
      <c r="M563" s="129">
        <f>L563*0.3</f>
        <v>117936</v>
      </c>
      <c r="N563" s="114">
        <f>39312+405315.666</f>
        <v>444627.666</v>
      </c>
      <c r="O563" s="199">
        <f>L563-N563</f>
        <v>-51507.666</v>
      </c>
      <c r="P563" s="91"/>
      <c r="Q563" s="91"/>
      <c r="R563" s="76" t="s">
        <v>88</v>
      </c>
      <c r="S563" s="76" t="s">
        <v>644</v>
      </c>
      <c r="T563" s="387">
        <v>45864</v>
      </c>
      <c r="U563" s="387">
        <f>T563+60</f>
        <v>45924</v>
      </c>
      <c r="V563" s="387">
        <v>45955</v>
      </c>
      <c r="X563" s="133" t="s">
        <v>355</v>
      </c>
      <c r="Y563" s="76">
        <v>54.828</v>
      </c>
      <c r="Z563" s="114">
        <v>6750</v>
      </c>
      <c r="AA563" s="211">
        <f>Y563*Z563</f>
        <v>370089</v>
      </c>
      <c r="AB563" s="114"/>
      <c r="AC563" s="211"/>
      <c r="AD563" s="140"/>
      <c r="AE563" s="114"/>
      <c r="AF563" s="114"/>
      <c r="AG563" s="114"/>
      <c r="AH563" s="114"/>
      <c r="AK563" s="76">
        <v>54.828</v>
      </c>
      <c r="AL563" s="350">
        <v>8109.5</v>
      </c>
      <c r="AM563" s="114">
        <f>AL563*AK563</f>
        <v>444627.666</v>
      </c>
      <c r="AN563" s="114">
        <f>39312+405315.666</f>
        <v>444627.666</v>
      </c>
      <c r="AO563" s="76">
        <f>AM563-AN563</f>
        <v>0</v>
      </c>
      <c r="AQ563" s="387" t="s">
        <v>436</v>
      </c>
      <c r="AR563" s="387"/>
      <c r="AS563" s="387" t="s">
        <v>233</v>
      </c>
      <c r="AT563" s="387"/>
      <c r="AV563" s="76">
        <v>3</v>
      </c>
      <c r="AW563" s="387"/>
      <c r="AX563" s="129"/>
      <c r="AY563" s="114"/>
      <c r="AZ563" s="127"/>
      <c r="BA563" s="127"/>
      <c r="BB563" s="127"/>
      <c r="BC563" s="127"/>
      <c r="BI563" s="75"/>
      <c r="BJ563" s="91"/>
    </row>
    <row r="564" s="76" customFormat="1" customHeight="1" outlineLevel="1" spans="1:62">
      <c r="A564" s="76" t="s">
        <v>401</v>
      </c>
      <c r="B564" s="81" t="s">
        <v>440</v>
      </c>
      <c r="C564" s="387">
        <v>45866</v>
      </c>
      <c r="D564" s="76" t="s">
        <v>642</v>
      </c>
      <c r="E564" s="76" t="s">
        <v>648</v>
      </c>
      <c r="G564" s="479"/>
      <c r="H564" s="76" t="s">
        <v>401</v>
      </c>
      <c r="J564" s="129">
        <v>27</v>
      </c>
      <c r="K564" s="129">
        <v>7130</v>
      </c>
      <c r="L564" s="129">
        <f>J564*K564</f>
        <v>192510</v>
      </c>
      <c r="M564" s="129">
        <f>L564*0.3</f>
        <v>57753</v>
      </c>
      <c r="N564" s="114">
        <f>19251+200240.172</f>
        <v>219491.172</v>
      </c>
      <c r="O564" s="199">
        <f>L564-N564</f>
        <v>-26981.172</v>
      </c>
      <c r="P564" s="91"/>
      <c r="Q564" s="91"/>
      <c r="R564" s="76" t="s">
        <v>88</v>
      </c>
      <c r="S564" s="76" t="s">
        <v>644</v>
      </c>
      <c r="T564" s="387">
        <v>45864</v>
      </c>
      <c r="U564" s="387">
        <f>T564+60</f>
        <v>45924</v>
      </c>
      <c r="V564" s="387">
        <v>45955</v>
      </c>
      <c r="X564" s="133"/>
      <c r="Y564" s="76">
        <v>27.576</v>
      </c>
      <c r="Z564" s="114">
        <v>6600</v>
      </c>
      <c r="AA564" s="211">
        <f>Y564*Z564</f>
        <v>182001.6</v>
      </c>
      <c r="AB564" s="114"/>
      <c r="AC564" s="211"/>
      <c r="AD564" s="140"/>
      <c r="AE564" s="114"/>
      <c r="AF564" s="114"/>
      <c r="AG564" s="114"/>
      <c r="AH564" s="114"/>
      <c r="AK564" s="76">
        <v>27.576</v>
      </c>
      <c r="AL564" s="127">
        <v>7959.5</v>
      </c>
      <c r="AM564" s="114">
        <f>AL564*AK564</f>
        <v>219491.172</v>
      </c>
      <c r="AN564" s="114">
        <f>19251+200240.172</f>
        <v>219491.172</v>
      </c>
      <c r="AO564" s="76">
        <f>AM564-AN564</f>
        <v>0</v>
      </c>
      <c r="AQ564" s="387" t="s">
        <v>436</v>
      </c>
      <c r="AR564" s="387"/>
      <c r="AS564" s="387"/>
      <c r="AT564" s="387"/>
      <c r="AW564" s="387"/>
      <c r="AX564" s="129"/>
      <c r="AY564" s="114"/>
      <c r="AZ564" s="127"/>
      <c r="BA564" s="127"/>
      <c r="BB564" s="127"/>
      <c r="BC564" s="127"/>
      <c r="BI564" s="75"/>
      <c r="BJ564" s="91"/>
    </row>
    <row r="565" s="79" customFormat="1" ht="43.2" spans="1:62">
      <c r="A565" s="79" t="s">
        <v>401</v>
      </c>
      <c r="B565" s="82" t="s">
        <v>440</v>
      </c>
      <c r="C565" s="463">
        <v>45866</v>
      </c>
      <c r="D565" s="79" t="s">
        <v>642</v>
      </c>
      <c r="E565" s="116" t="s">
        <v>649</v>
      </c>
      <c r="G565" s="486"/>
      <c r="H565" s="79" t="s">
        <v>401</v>
      </c>
      <c r="J565" s="192">
        <f>SUM(J562:J564)</f>
        <v>108</v>
      </c>
      <c r="K565" s="194"/>
      <c r="L565" s="192">
        <f>SUM(L562:L564)</f>
        <v>741690</v>
      </c>
      <c r="M565" s="192">
        <f>SUM(M562:M564)</f>
        <v>222507</v>
      </c>
      <c r="N565" s="192">
        <f>SUM(N562:N564)</f>
        <v>823201.778</v>
      </c>
      <c r="O565" s="192">
        <f>SUM(O562:O564)</f>
        <v>-81511.778</v>
      </c>
      <c r="T565" s="463">
        <f>T564</f>
        <v>45864</v>
      </c>
      <c r="U565" s="463">
        <f>U564</f>
        <v>45924</v>
      </c>
      <c r="V565" s="463">
        <f>V564</f>
        <v>45955</v>
      </c>
      <c r="X565" s="193"/>
      <c r="Y565" s="192">
        <f>SUM(Y562:Y564)</f>
        <v>109.927</v>
      </c>
      <c r="Z565" s="192"/>
      <c r="AA565" s="192">
        <f>SUM(AA562:AA564)</f>
        <v>696586.35</v>
      </c>
      <c r="AB565" s="192">
        <v>696586.35</v>
      </c>
      <c r="AC565" s="192">
        <f>SUM(AC562:AC564)</f>
        <v>0</v>
      </c>
      <c r="AD565" s="196"/>
      <c r="AE565" s="192"/>
      <c r="AF565" s="192"/>
      <c r="AG565" s="192"/>
      <c r="AH565" s="192"/>
      <c r="AK565" s="79">
        <f>SUM(AK562:AK564)</f>
        <v>109.927</v>
      </c>
      <c r="AM565" s="192">
        <f>SUM(AM562:AM564)</f>
        <v>823201.778</v>
      </c>
      <c r="AN565" s="192">
        <f>SUM(AN562:AN564)</f>
        <v>823201.778</v>
      </c>
      <c r="AO565" s="79">
        <f>SUM(AO562:AO564)</f>
        <v>0</v>
      </c>
      <c r="AQ565" s="463">
        <f>V565</f>
        <v>45955</v>
      </c>
      <c r="AR565" s="463"/>
      <c r="AS565" s="463"/>
      <c r="AT565" s="463"/>
      <c r="AW565" s="463"/>
      <c r="AX565" s="194"/>
      <c r="AY565" s="192"/>
      <c r="AZ565" s="150"/>
      <c r="BA565" s="150"/>
      <c r="BB565" s="150"/>
      <c r="BC565" s="150"/>
      <c r="BI565" s="151"/>
    </row>
    <row r="566" s="76" customFormat="1" customHeight="1" outlineLevel="1" spans="1:62">
      <c r="A566" s="76" t="s">
        <v>650</v>
      </c>
      <c r="B566" s="76" t="s">
        <v>456</v>
      </c>
      <c r="C566" s="387">
        <v>45867</v>
      </c>
      <c r="D566" s="76" t="s">
        <v>651</v>
      </c>
      <c r="E566" s="76" t="s">
        <v>652</v>
      </c>
      <c r="G566" s="479">
        <f>245124+550284.17+3472.72+82205.2</f>
        <v>881086.09</v>
      </c>
      <c r="H566" s="76" t="s">
        <v>93</v>
      </c>
      <c r="J566" s="129">
        <v>66</v>
      </c>
      <c r="K566" s="129">
        <f>Z566+340</f>
        <v>6190</v>
      </c>
      <c r="L566" s="129">
        <f>J566*K566</f>
        <v>408540</v>
      </c>
      <c r="M566" s="129">
        <f>L566*0.3</f>
        <v>122562</v>
      </c>
      <c r="N566" s="76">
        <f>122562+275142.085</f>
        <v>397704.085</v>
      </c>
      <c r="O566" s="199">
        <f>L566-N566</f>
        <v>10835.915</v>
      </c>
      <c r="P566" s="91"/>
      <c r="Q566" s="91"/>
      <c r="R566" s="76" t="s">
        <v>66</v>
      </c>
      <c r="S566" s="76" t="s">
        <v>653</v>
      </c>
      <c r="T566" s="387">
        <v>45867</v>
      </c>
      <c r="U566" s="387">
        <f>T566+50</f>
        <v>45917</v>
      </c>
      <c r="V566" s="387">
        <v>45917</v>
      </c>
      <c r="X566" s="133" t="s">
        <v>355</v>
      </c>
      <c r="Y566" s="76">
        <v>71.558</v>
      </c>
      <c r="Z566" s="114">
        <v>5850</v>
      </c>
      <c r="AA566" s="211">
        <f>Y566*Z566</f>
        <v>418614.3</v>
      </c>
      <c r="AB566" s="114">
        <v>100000</v>
      </c>
      <c r="AC566" s="114">
        <f>AA566-AB566</f>
        <v>318614.3</v>
      </c>
      <c r="AD566" s="140"/>
      <c r="AE566" s="114"/>
      <c r="AF566" s="114"/>
      <c r="AG566" s="114"/>
      <c r="AH566" s="114"/>
      <c r="AI566" s="91"/>
      <c r="AK566" s="76">
        <v>72.307</v>
      </c>
      <c r="AL566" s="76">
        <f>Z566+340</f>
        <v>6190</v>
      </c>
      <c r="AM566" s="114">
        <f>AK566*AL566</f>
        <v>447580.33</v>
      </c>
      <c r="AN566" s="76">
        <f>122562+275142.085+49876.245</f>
        <v>447580.33</v>
      </c>
      <c r="AO566" s="76">
        <f>AM566-AN566</f>
        <v>0</v>
      </c>
      <c r="AP566" s="91"/>
      <c r="AQ566" s="387"/>
      <c r="AR566" s="387"/>
      <c r="AS566" s="387"/>
      <c r="AT566" s="387"/>
      <c r="AW566" s="387"/>
      <c r="AX566" s="129"/>
      <c r="AY566" s="114"/>
      <c r="AZ566" s="127"/>
      <c r="BA566" s="127"/>
      <c r="BB566" s="127"/>
      <c r="BC566" s="127"/>
      <c r="BI566" s="75"/>
      <c r="BJ566" s="91"/>
    </row>
    <row r="567" s="76" customFormat="1" customHeight="1" outlineLevel="1" spans="1:62">
      <c r="A567" s="76" t="s">
        <v>650</v>
      </c>
      <c r="B567" s="76" t="s">
        <v>456</v>
      </c>
      <c r="C567" s="387">
        <v>45867</v>
      </c>
      <c r="D567" s="76" t="s">
        <v>651</v>
      </c>
      <c r="E567" s="76" t="s">
        <v>654</v>
      </c>
      <c r="G567" s="479"/>
      <c r="H567" s="76" t="s">
        <v>93</v>
      </c>
      <c r="J567" s="129">
        <v>66</v>
      </c>
      <c r="K567" s="129">
        <f>Z567+340</f>
        <v>6190</v>
      </c>
      <c r="L567" s="129">
        <f>J567*K567</f>
        <v>408540</v>
      </c>
      <c r="M567" s="129">
        <f>L567*0.3</f>
        <v>122562</v>
      </c>
      <c r="N567" s="76">
        <f>122562+275142.085</f>
        <v>397704.085</v>
      </c>
      <c r="O567" s="199">
        <f>L567-N567</f>
        <v>10835.915</v>
      </c>
      <c r="P567" s="91"/>
      <c r="Q567" s="91"/>
      <c r="R567" s="76" t="s">
        <v>66</v>
      </c>
      <c r="S567" s="76" t="s">
        <v>653</v>
      </c>
      <c r="T567" s="387">
        <v>45867</v>
      </c>
      <c r="U567" s="387">
        <f>T567+50</f>
        <v>45917</v>
      </c>
      <c r="V567" s="387">
        <v>45917</v>
      </c>
      <c r="X567" s="133" t="s">
        <v>355</v>
      </c>
      <c r="Y567" s="76">
        <v>74.433</v>
      </c>
      <c r="Z567" s="114">
        <v>5850</v>
      </c>
      <c r="AA567" s="211">
        <f>Y567*Z567</f>
        <v>435433.05</v>
      </c>
      <c r="AB567" s="114">
        <f>131660+622387.35</f>
        <v>754047.35</v>
      </c>
      <c r="AC567" s="114">
        <f>AA567-AB567</f>
        <v>-318614.3</v>
      </c>
      <c r="AD567" s="140"/>
      <c r="AE567" s="114"/>
      <c r="AF567" s="114"/>
      <c r="AG567" s="114"/>
      <c r="AH567" s="114"/>
      <c r="AK567" s="76">
        <v>74.681</v>
      </c>
      <c r="AL567" s="76">
        <f>Z567+340</f>
        <v>6190</v>
      </c>
      <c r="AM567" s="114">
        <f>AK567*AL567</f>
        <v>462275.39</v>
      </c>
      <c r="AN567" s="76">
        <f>122562+275142.085+35801.675</f>
        <v>433505.76</v>
      </c>
      <c r="AO567" s="76">
        <f>AM567-AN567</f>
        <v>28769.6299999999</v>
      </c>
      <c r="AQ567" s="387"/>
      <c r="AR567" s="387"/>
      <c r="AS567" s="387"/>
      <c r="AT567" s="387"/>
      <c r="AW567" s="387"/>
      <c r="AX567" s="129"/>
      <c r="AY567" s="114"/>
      <c r="AZ567" s="127"/>
      <c r="BA567" s="127"/>
      <c r="BB567" s="127"/>
      <c r="BC567" s="127"/>
      <c r="BI567" s="75"/>
      <c r="BJ567" s="91"/>
    </row>
    <row r="568" s="79" customFormat="1" ht="28.8" spans="1:62">
      <c r="A568" s="79" t="s">
        <v>650</v>
      </c>
      <c r="B568" s="79" t="s">
        <v>456</v>
      </c>
      <c r="C568" s="463">
        <v>45867</v>
      </c>
      <c r="D568" s="79" t="str">
        <f>D567</f>
        <v>TJTW-78</v>
      </c>
      <c r="E568" s="116" t="s">
        <v>655</v>
      </c>
      <c r="G568" s="486"/>
      <c r="H568" s="79" t="s">
        <v>93</v>
      </c>
      <c r="J568" s="79">
        <f>SUM(J566:J567)</f>
        <v>132</v>
      </c>
      <c r="K568" s="194"/>
      <c r="L568" s="79">
        <f>SUM(L566:L567)</f>
        <v>817080</v>
      </c>
      <c r="M568" s="79">
        <f>SUM(M566:M567)</f>
        <v>245124</v>
      </c>
      <c r="N568" s="79">
        <f>SUM(N566:N567)</f>
        <v>795408.17</v>
      </c>
      <c r="O568" s="79">
        <f>SUM(O566:O567)</f>
        <v>21671.83</v>
      </c>
      <c r="T568" s="463">
        <f>T567</f>
        <v>45867</v>
      </c>
      <c r="U568" s="463">
        <f>U567</f>
        <v>45917</v>
      </c>
      <c r="V568" s="463">
        <f>V567</f>
        <v>45917</v>
      </c>
      <c r="X568" s="193" t="s">
        <v>355</v>
      </c>
      <c r="Y568" s="79">
        <f>SUM(Y566:Y567)</f>
        <v>145.991</v>
      </c>
      <c r="Z568" s="192"/>
      <c r="AA568" s="79">
        <f>SUM(AA566:AA567)</f>
        <v>854047.35</v>
      </c>
      <c r="AB568" s="192">
        <f>SUM(AB566:AB567)</f>
        <v>854047.35</v>
      </c>
      <c r="AC568" s="192">
        <f>SUM(AC566:AC567)</f>
        <v>0</v>
      </c>
      <c r="AD568" s="196"/>
      <c r="AE568" s="192"/>
      <c r="AF568" s="192"/>
      <c r="AG568" s="192"/>
      <c r="AH568" s="192"/>
      <c r="AK568" s="79">
        <f>SUM(AK566:AK567)</f>
        <v>146.988</v>
      </c>
      <c r="AM568" s="79">
        <f>SUM(AM566:AM567)</f>
        <v>909855.72</v>
      </c>
      <c r="AN568" s="192">
        <f>SUM(AN566:AN567)</f>
        <v>881086.09</v>
      </c>
      <c r="AO568" s="79">
        <f>SUM(AO566:AO567)</f>
        <v>28769.6299999999</v>
      </c>
      <c r="AQ568" s="463">
        <f>V568</f>
        <v>45917</v>
      </c>
      <c r="AR568" s="463"/>
      <c r="AS568" s="463"/>
      <c r="AT568" s="463"/>
      <c r="AU568" s="79">
        <v>1069068482</v>
      </c>
      <c r="AV568" s="79">
        <v>5</v>
      </c>
      <c r="AW568" s="463">
        <v>45927</v>
      </c>
      <c r="AX568" s="194"/>
      <c r="AY568" s="192"/>
      <c r="AZ568" s="150"/>
      <c r="BA568" s="150"/>
      <c r="BB568" s="150"/>
      <c r="BC568" s="150"/>
      <c r="BI568" s="151"/>
    </row>
    <row r="569" s="76" customFormat="1" customHeight="1" outlineLevel="1" spans="1:62">
      <c r="A569" s="76" t="s">
        <v>656</v>
      </c>
      <c r="B569" s="76" t="s">
        <v>572</v>
      </c>
      <c r="C569" s="387">
        <v>45869</v>
      </c>
      <c r="D569" s="76" t="s">
        <v>657</v>
      </c>
      <c r="E569" s="76" t="s">
        <v>658</v>
      </c>
      <c r="G569" s="479">
        <f>214488+577583.32</f>
        <v>792071.32</v>
      </c>
      <c r="H569" s="76" t="s">
        <v>93</v>
      </c>
      <c r="J569" s="129">
        <v>54</v>
      </c>
      <c r="K569" s="129">
        <v>6620</v>
      </c>
      <c r="L569" s="129">
        <f>J569*K569</f>
        <v>357480</v>
      </c>
      <c r="M569" s="129">
        <f>L569*0.3</f>
        <v>107244</v>
      </c>
      <c r="N569" s="76">
        <v>107244</v>
      </c>
      <c r="O569" s="199">
        <f>L569-N569</f>
        <v>250236</v>
      </c>
      <c r="P569" s="91"/>
      <c r="Q569" s="91"/>
      <c r="R569" s="76" t="s">
        <v>66</v>
      </c>
      <c r="S569" s="76" t="s">
        <v>659</v>
      </c>
      <c r="T569" s="387">
        <v>45869</v>
      </c>
      <c r="U569" s="387">
        <f>T569+60</f>
        <v>45929</v>
      </c>
      <c r="V569" s="387">
        <v>45929</v>
      </c>
      <c r="X569" s="133" t="s">
        <v>355</v>
      </c>
      <c r="Y569" s="76">
        <v>60.233</v>
      </c>
      <c r="Z569" s="114">
        <v>5935</v>
      </c>
      <c r="AA569" s="211">
        <f>Y569*Z569</f>
        <v>357482.855</v>
      </c>
      <c r="AB569" s="114">
        <v>200000</v>
      </c>
      <c r="AC569" s="114">
        <f>AA569-AB569</f>
        <v>157482.855</v>
      </c>
      <c r="AD569" s="140"/>
      <c r="AE569" s="114"/>
      <c r="AF569" s="114"/>
      <c r="AG569" s="114"/>
      <c r="AH569" s="114"/>
      <c r="AI569" s="91"/>
      <c r="AK569" s="76">
        <v>60.47</v>
      </c>
      <c r="AL569" s="199">
        <f>Z569+340</f>
        <v>6275</v>
      </c>
      <c r="AM569" s="114">
        <f>AL569*AK569</f>
        <v>379449.25</v>
      </c>
      <c r="AN569" s="76">
        <v>107244</v>
      </c>
      <c r="AP569" s="91"/>
      <c r="AQ569" s="387"/>
      <c r="AR569" s="387"/>
      <c r="AS569" s="387"/>
      <c r="AT569" s="387"/>
      <c r="AW569" s="387"/>
      <c r="AX569" s="129"/>
      <c r="AY569" s="114"/>
      <c r="AZ569" s="127"/>
      <c r="BA569" s="127"/>
      <c r="BB569" s="127"/>
      <c r="BC569" s="127"/>
      <c r="BI569" s="75"/>
      <c r="BJ569" s="91"/>
    </row>
    <row r="570" s="76" customFormat="1" customHeight="1" outlineLevel="1" spans="1:62">
      <c r="A570" s="76" t="s">
        <v>656</v>
      </c>
      <c r="B570" s="76" t="s">
        <v>572</v>
      </c>
      <c r="C570" s="387">
        <v>45869</v>
      </c>
      <c r="D570" s="76" t="s">
        <v>657</v>
      </c>
      <c r="E570" s="76" t="s">
        <v>660</v>
      </c>
      <c r="G570" s="479"/>
      <c r="H570" s="76" t="s">
        <v>93</v>
      </c>
      <c r="J570" s="129">
        <v>54</v>
      </c>
      <c r="K570" s="129">
        <v>6620</v>
      </c>
      <c r="L570" s="129">
        <f>J570*K570</f>
        <v>357480</v>
      </c>
      <c r="M570" s="129">
        <f>L570*0.3</f>
        <v>107244</v>
      </c>
      <c r="N570" s="76">
        <v>107244</v>
      </c>
      <c r="O570" s="199">
        <f>L570-N570</f>
        <v>250236</v>
      </c>
      <c r="P570" s="91"/>
      <c r="Q570" s="91"/>
      <c r="R570" s="76" t="s">
        <v>66</v>
      </c>
      <c r="S570" s="76" t="s">
        <v>659</v>
      </c>
      <c r="T570" s="387">
        <v>45869</v>
      </c>
      <c r="U570" s="387">
        <f>T570+60</f>
        <v>45929</v>
      </c>
      <c r="V570" s="387">
        <v>45925</v>
      </c>
      <c r="X570" s="133" t="s">
        <v>355</v>
      </c>
      <c r="Y570" s="76">
        <v>63.586</v>
      </c>
      <c r="Z570" s="114">
        <v>5935</v>
      </c>
      <c r="AA570" s="211">
        <f>Y570*Z570</f>
        <v>377382.91</v>
      </c>
      <c r="AB570" s="114">
        <v>534865.765</v>
      </c>
      <c r="AC570" s="114">
        <f>AA570-AB570</f>
        <v>-157482.855</v>
      </c>
      <c r="AD570" s="140"/>
      <c r="AE570" s="114"/>
      <c r="AF570" s="114"/>
      <c r="AG570" s="114"/>
      <c r="AH570" s="114"/>
      <c r="AK570" s="76">
        <v>64.181</v>
      </c>
      <c r="AL570" s="114">
        <f>Z570+340</f>
        <v>6275</v>
      </c>
      <c r="AM570" s="114">
        <f>AL570*AK570</f>
        <v>402735.775</v>
      </c>
      <c r="AN570" s="76">
        <v>107244</v>
      </c>
      <c r="AQ570" s="387"/>
      <c r="AR570" s="387"/>
      <c r="AS570" s="387"/>
      <c r="AT570" s="387"/>
      <c r="AW570" s="387"/>
      <c r="AX570" s="129"/>
      <c r="AY570" s="114"/>
      <c r="AZ570" s="127"/>
      <c r="BA570" s="127"/>
      <c r="BB570" s="127"/>
      <c r="BC570" s="127"/>
      <c r="BI570" s="75"/>
      <c r="BJ570" s="91"/>
    </row>
    <row r="571" s="83" customFormat="1" ht="28.8" spans="1:62">
      <c r="A571" s="83" t="s">
        <v>656</v>
      </c>
      <c r="B571" s="83" t="s">
        <v>572</v>
      </c>
      <c r="C571" s="463">
        <v>45869</v>
      </c>
      <c r="D571" s="83" t="s">
        <v>657</v>
      </c>
      <c r="E571" s="645" t="s">
        <v>661</v>
      </c>
      <c r="G571" s="606"/>
      <c r="H571" s="83" t="s">
        <v>93</v>
      </c>
      <c r="J571" s="235">
        <f>SUM(J569:J570)</f>
        <v>108</v>
      </c>
      <c r="K571" s="235"/>
      <c r="L571" s="235">
        <f>SUM(L569:L570)</f>
        <v>714960</v>
      </c>
      <c r="M571" s="235">
        <f>SUM(M569:M570)</f>
        <v>214488</v>
      </c>
      <c r="N571" s="235">
        <f>SUM(N569:N570)</f>
        <v>214488</v>
      </c>
      <c r="O571" s="235">
        <f>SUM(O569:O570)</f>
        <v>500472</v>
      </c>
      <c r="T571" s="605"/>
      <c r="U571" s="605"/>
      <c r="V571" s="605">
        <f>V570</f>
        <v>45925</v>
      </c>
      <c r="X571" s="232" t="s">
        <v>355</v>
      </c>
      <c r="Y571" s="235">
        <f>SUM(Y569:Y570)</f>
        <v>123.819</v>
      </c>
      <c r="Z571" s="219"/>
      <c r="AA571" s="235">
        <f>SUM(AA569:AA570)</f>
        <v>734865.765</v>
      </c>
      <c r="AB571" s="235">
        <f>SUM(AB569:AB570)</f>
        <v>734865.765</v>
      </c>
      <c r="AC571" s="235">
        <f>SUM(AC569:AC570)</f>
        <v>0</v>
      </c>
      <c r="AD571" s="234"/>
      <c r="AE571" s="219"/>
      <c r="AF571" s="219"/>
      <c r="AG571" s="219"/>
      <c r="AH571" s="219"/>
      <c r="AK571" s="83">
        <f>SUM(AK569:AK570)</f>
        <v>124.651</v>
      </c>
      <c r="AM571" s="83">
        <f>SUM(AM569:AM570)</f>
        <v>782185.025</v>
      </c>
      <c r="AN571" s="219">
        <f>SUM(AN569:AN570)</f>
        <v>214488</v>
      </c>
      <c r="AQ571" s="463">
        <f>V571</f>
        <v>45925</v>
      </c>
      <c r="AR571" s="605"/>
      <c r="AS571" s="605" t="s">
        <v>233</v>
      </c>
      <c r="AT571" s="605"/>
      <c r="AU571" s="733">
        <v>1069068593</v>
      </c>
      <c r="AV571" s="83">
        <v>5</v>
      </c>
      <c r="AW571" s="605">
        <v>45949</v>
      </c>
      <c r="AX571" s="235"/>
      <c r="AY571" s="219"/>
      <c r="AZ571" s="236"/>
      <c r="BA571" s="236"/>
      <c r="BB571" s="236"/>
      <c r="BC571" s="236"/>
      <c r="BI571" s="734"/>
    </row>
    <row r="572" s="81" customFormat="1" ht="14.4" outlineLevel="1" spans="1:62">
      <c r="A572" s="81" t="s">
        <v>414</v>
      </c>
      <c r="B572" s="81" t="s">
        <v>578</v>
      </c>
      <c r="C572" s="387">
        <v>45873</v>
      </c>
      <c r="D572" s="81" t="s">
        <v>662</v>
      </c>
      <c r="E572" s="81" t="s">
        <v>663</v>
      </c>
      <c r="G572" s="627"/>
      <c r="H572" s="81" t="s">
        <v>75</v>
      </c>
      <c r="J572" s="213">
        <v>20</v>
      </c>
      <c r="K572" s="213">
        <v>7210</v>
      </c>
      <c r="L572" s="129">
        <f t="shared" ref="L572:L577" si="64">J572*K572</f>
        <v>144200</v>
      </c>
      <c r="M572" s="213"/>
      <c r="N572" s="81">
        <v>43260</v>
      </c>
      <c r="O572" s="199">
        <f t="shared" ref="O572:O577" si="65">L572-N572</f>
        <v>100940</v>
      </c>
      <c r="P572" s="209"/>
      <c r="Q572" s="209"/>
      <c r="R572" s="81" t="s">
        <v>88</v>
      </c>
      <c r="S572" s="81" t="s">
        <v>664</v>
      </c>
      <c r="T572" s="712">
        <v>45877</v>
      </c>
      <c r="U572" s="712">
        <f t="shared" ref="U572:U577" si="66">T572+60</f>
        <v>45937</v>
      </c>
      <c r="V572" s="712"/>
      <c r="X572" s="210"/>
      <c r="Y572" s="81">
        <v>15.645</v>
      </c>
      <c r="Z572" s="211">
        <v>5670</v>
      </c>
      <c r="AA572" s="211">
        <f t="shared" ref="AA572:AA587" si="67">Y572*Z572</f>
        <v>88707.15</v>
      </c>
      <c r="AB572" s="211"/>
      <c r="AC572" s="114">
        <f t="shared" ref="AC572:AC587" si="68">AA572-AB572</f>
        <v>88707.15</v>
      </c>
      <c r="AD572" s="212"/>
      <c r="AE572" s="211"/>
      <c r="AF572" s="211"/>
      <c r="AG572" s="211"/>
      <c r="AH572" s="211"/>
      <c r="AI572" s="209"/>
      <c r="AK572" s="81">
        <v>15.645</v>
      </c>
      <c r="AM572" s="211"/>
      <c r="AN572" s="81">
        <v>43260</v>
      </c>
      <c r="AP572" s="209"/>
      <c r="AQ572" s="712" t="s">
        <v>436</v>
      </c>
      <c r="AR572" s="712"/>
      <c r="AS572" s="712"/>
      <c r="AT572" s="712"/>
      <c r="AU572" s="81" t="s">
        <v>665</v>
      </c>
      <c r="AV572" s="81">
        <v>2</v>
      </c>
      <c r="AW572" s="712">
        <v>45991</v>
      </c>
      <c r="AX572" s="213"/>
      <c r="AY572" s="211"/>
      <c r="AZ572" s="214"/>
      <c r="BA572" s="214"/>
      <c r="BB572" s="214"/>
      <c r="BC572" s="214"/>
      <c r="BI572" s="731"/>
      <c r="BJ572" s="209"/>
    </row>
    <row r="573" s="81" customFormat="1" ht="14.4" outlineLevel="1" spans="1:62">
      <c r="A573" s="81" t="s">
        <v>414</v>
      </c>
      <c r="B573" s="81" t="s">
        <v>578</v>
      </c>
      <c r="C573" s="387">
        <v>45873</v>
      </c>
      <c r="D573" s="81" t="s">
        <v>662</v>
      </c>
      <c r="E573" s="81" t="s">
        <v>666</v>
      </c>
      <c r="G573" s="627"/>
      <c r="H573" s="81" t="s">
        <v>75</v>
      </c>
      <c r="J573" s="213">
        <v>10</v>
      </c>
      <c r="K573" s="213">
        <v>6070</v>
      </c>
      <c r="L573" s="129">
        <f t="shared" si="64"/>
        <v>60700</v>
      </c>
      <c r="M573" s="213"/>
      <c r="N573" s="81">
        <v>18210</v>
      </c>
      <c r="O573" s="199">
        <f t="shared" si="65"/>
        <v>42490</v>
      </c>
      <c r="P573" s="209"/>
      <c r="Q573" s="209"/>
      <c r="R573" s="81" t="s">
        <v>88</v>
      </c>
      <c r="S573" s="81" t="s">
        <v>664</v>
      </c>
      <c r="T573" s="712">
        <v>45877</v>
      </c>
      <c r="U573" s="712">
        <f t="shared" si="66"/>
        <v>45937</v>
      </c>
      <c r="V573" s="712"/>
      <c r="X573" s="210"/>
      <c r="Y573" s="81">
        <v>10.507</v>
      </c>
      <c r="Z573" s="211">
        <v>5670</v>
      </c>
      <c r="AA573" s="211">
        <f t="shared" si="67"/>
        <v>59574.69</v>
      </c>
      <c r="AB573" s="211"/>
      <c r="AC573" s="114">
        <f t="shared" si="68"/>
        <v>59574.69</v>
      </c>
      <c r="AD573" s="212"/>
      <c r="AE573" s="211"/>
      <c r="AF573" s="211"/>
      <c r="AG573" s="211"/>
      <c r="AH573" s="211"/>
      <c r="AI573" s="209"/>
      <c r="AK573" s="81">
        <v>10.507</v>
      </c>
      <c r="AM573" s="211"/>
      <c r="AN573" s="81">
        <v>18210</v>
      </c>
      <c r="AP573" s="209"/>
      <c r="AQ573" s="712" t="s">
        <v>436</v>
      </c>
      <c r="AR573" s="712"/>
      <c r="AS573" s="712"/>
      <c r="AT573" s="712"/>
      <c r="AU573" s="81" t="s">
        <v>665</v>
      </c>
      <c r="AV573" s="81">
        <v>7</v>
      </c>
      <c r="AW573" s="712">
        <v>45991</v>
      </c>
      <c r="AX573" s="213"/>
      <c r="AY573" s="211"/>
      <c r="AZ573" s="214"/>
      <c r="BA573" s="214"/>
      <c r="BB573" s="214"/>
      <c r="BC573" s="214"/>
      <c r="BI573" s="731"/>
      <c r="BJ573" s="209"/>
    </row>
    <row r="574" s="81" customFormat="1" ht="14.4" outlineLevel="1" spans="1:62">
      <c r="A574" s="81" t="s">
        <v>414</v>
      </c>
      <c r="B574" s="81" t="s">
        <v>578</v>
      </c>
      <c r="C574" s="387">
        <v>45873</v>
      </c>
      <c r="D574" s="81" t="s">
        <v>662</v>
      </c>
      <c r="E574" s="81" t="s">
        <v>667</v>
      </c>
      <c r="G574" s="627"/>
      <c r="H574" s="81" t="s">
        <v>75</v>
      </c>
      <c r="J574" s="213">
        <v>25</v>
      </c>
      <c r="K574" s="213">
        <v>7210</v>
      </c>
      <c r="L574" s="129">
        <f t="shared" si="64"/>
        <v>180250</v>
      </c>
      <c r="M574" s="213"/>
      <c r="N574" s="81">
        <v>54075</v>
      </c>
      <c r="O574" s="199">
        <f t="shared" si="65"/>
        <v>126175</v>
      </c>
      <c r="P574" s="209"/>
      <c r="Q574" s="209"/>
      <c r="R574" s="81" t="s">
        <v>88</v>
      </c>
      <c r="S574" s="81" t="s">
        <v>664</v>
      </c>
      <c r="T574" s="712">
        <v>45877</v>
      </c>
      <c r="U574" s="712">
        <f t="shared" si="66"/>
        <v>45937</v>
      </c>
      <c r="V574" s="712"/>
      <c r="X574" s="210"/>
      <c r="Y574" s="81">
        <v>23.962</v>
      </c>
      <c r="Z574" s="211">
        <v>5670</v>
      </c>
      <c r="AA574" s="211">
        <f t="shared" si="67"/>
        <v>135864.54</v>
      </c>
      <c r="AB574" s="211"/>
      <c r="AC574" s="114">
        <f t="shared" si="68"/>
        <v>135864.54</v>
      </c>
      <c r="AD574" s="212"/>
      <c r="AE574" s="211"/>
      <c r="AF574" s="211"/>
      <c r="AG574" s="211"/>
      <c r="AH574" s="211"/>
      <c r="AI574" s="209"/>
      <c r="AK574" s="81">
        <v>23.962</v>
      </c>
      <c r="AM574" s="211"/>
      <c r="AN574" s="81">
        <v>54075</v>
      </c>
      <c r="AP574" s="209"/>
      <c r="AQ574" s="712"/>
      <c r="AR574" s="712"/>
      <c r="AS574" s="712"/>
      <c r="AT574" s="712"/>
      <c r="AW574" s="712"/>
      <c r="AX574" s="213"/>
      <c r="AY574" s="211"/>
      <c r="AZ574" s="214"/>
      <c r="BA574" s="214"/>
      <c r="BB574" s="214"/>
      <c r="BC574" s="214"/>
      <c r="BI574" s="731"/>
      <c r="BJ574" s="209"/>
    </row>
    <row r="575" s="81" customFormat="1" ht="14.4" outlineLevel="1" spans="1:62">
      <c r="A575" s="81" t="s">
        <v>414</v>
      </c>
      <c r="B575" s="81" t="s">
        <v>578</v>
      </c>
      <c r="C575" s="387">
        <v>45873</v>
      </c>
      <c r="D575" s="81" t="s">
        <v>662</v>
      </c>
      <c r="E575" s="81" t="s">
        <v>667</v>
      </c>
      <c r="G575" s="627"/>
      <c r="H575" s="81" t="s">
        <v>75</v>
      </c>
      <c r="J575" s="213">
        <v>25</v>
      </c>
      <c r="K575" s="213">
        <v>8060</v>
      </c>
      <c r="L575" s="129">
        <f t="shared" si="64"/>
        <v>201500</v>
      </c>
      <c r="M575" s="213"/>
      <c r="N575" s="81">
        <v>60450</v>
      </c>
      <c r="O575" s="199">
        <f t="shared" si="65"/>
        <v>141050</v>
      </c>
      <c r="P575" s="209"/>
      <c r="Q575" s="209"/>
      <c r="R575" s="81" t="s">
        <v>88</v>
      </c>
      <c r="S575" s="81" t="s">
        <v>664</v>
      </c>
      <c r="T575" s="712">
        <v>45877</v>
      </c>
      <c r="U575" s="712">
        <f t="shared" si="66"/>
        <v>45937</v>
      </c>
      <c r="V575" s="712"/>
      <c r="X575" s="210"/>
      <c r="Y575" s="81">
        <v>24.869</v>
      </c>
      <c r="Z575" s="211">
        <v>5670</v>
      </c>
      <c r="AA575" s="211">
        <f t="shared" si="67"/>
        <v>141007.23</v>
      </c>
      <c r="AB575" s="211"/>
      <c r="AC575" s="114">
        <f t="shared" si="68"/>
        <v>141007.23</v>
      </c>
      <c r="AD575" s="212"/>
      <c r="AE575" s="211"/>
      <c r="AF575" s="211"/>
      <c r="AG575" s="211"/>
      <c r="AH575" s="211"/>
      <c r="AI575" s="209"/>
      <c r="AK575" s="81">
        <v>24.869</v>
      </c>
      <c r="AM575" s="211"/>
      <c r="AN575" s="81">
        <v>60450</v>
      </c>
      <c r="AP575" s="209"/>
      <c r="AQ575" s="712"/>
      <c r="AR575" s="712"/>
      <c r="AS575" s="712"/>
      <c r="AT575" s="712"/>
      <c r="AW575" s="712"/>
      <c r="AX575" s="213"/>
      <c r="AY575" s="211"/>
      <c r="AZ575" s="214"/>
      <c r="BA575" s="214"/>
      <c r="BB575" s="214"/>
      <c r="BC575" s="214"/>
      <c r="BI575" s="731"/>
      <c r="BJ575" s="209"/>
    </row>
    <row r="576" s="81" customFormat="1" ht="14.4" outlineLevel="1" spans="1:62">
      <c r="A576" s="81" t="s">
        <v>414</v>
      </c>
      <c r="B576" s="81" t="s">
        <v>578</v>
      </c>
      <c r="C576" s="387">
        <v>45873</v>
      </c>
      <c r="D576" s="81" t="s">
        <v>662</v>
      </c>
      <c r="E576" s="81" t="s">
        <v>668</v>
      </c>
      <c r="G576" s="627"/>
      <c r="H576" s="81" t="s">
        <v>75</v>
      </c>
      <c r="J576" s="213">
        <v>20</v>
      </c>
      <c r="K576" s="213">
        <v>6730</v>
      </c>
      <c r="L576" s="129">
        <f t="shared" si="64"/>
        <v>134600</v>
      </c>
      <c r="M576" s="213"/>
      <c r="N576" s="289">
        <f>40380+67374.03</f>
        <v>107754.03</v>
      </c>
      <c r="O576" s="199">
        <f t="shared" si="65"/>
        <v>26845.97</v>
      </c>
      <c r="P576" s="209"/>
      <c r="Q576" s="209"/>
      <c r="R576" s="81" t="s">
        <v>88</v>
      </c>
      <c r="S576" s="81" t="s">
        <v>664</v>
      </c>
      <c r="T576" s="712">
        <v>45877</v>
      </c>
      <c r="U576" s="712">
        <f t="shared" si="66"/>
        <v>45937</v>
      </c>
      <c r="V576" s="712"/>
      <c r="X576" s="210"/>
      <c r="Y576" s="81">
        <v>16.011</v>
      </c>
      <c r="Z576" s="211">
        <v>5400</v>
      </c>
      <c r="AA576" s="211">
        <f t="shared" si="67"/>
        <v>86459.4</v>
      </c>
      <c r="AB576" s="211"/>
      <c r="AC576" s="114">
        <f t="shared" si="68"/>
        <v>86459.4</v>
      </c>
      <c r="AD576" s="212"/>
      <c r="AE576" s="211"/>
      <c r="AF576" s="211"/>
      <c r="AG576" s="211"/>
      <c r="AH576" s="211"/>
      <c r="AI576" s="209"/>
      <c r="AK576" s="81">
        <v>16.011</v>
      </c>
      <c r="AM576" s="211"/>
      <c r="AN576" s="289">
        <f>40380+67374.03</f>
        <v>107754.03</v>
      </c>
      <c r="AP576" s="209"/>
      <c r="AQ576" s="712"/>
      <c r="AR576" s="712"/>
      <c r="AS576" s="712"/>
      <c r="AT576" s="712"/>
      <c r="AW576" s="712"/>
      <c r="AX576" s="213"/>
      <c r="AY576" s="211"/>
      <c r="AZ576" s="214"/>
      <c r="BA576" s="214"/>
      <c r="BB576" s="214"/>
      <c r="BC576" s="214"/>
      <c r="BI576" s="731"/>
      <c r="BJ576" s="209"/>
    </row>
    <row r="577" s="81" customFormat="1" ht="14.4" outlineLevel="1" spans="1:69">
      <c r="A577" s="81" t="s">
        <v>414</v>
      </c>
      <c r="B577" s="81" t="s">
        <v>578</v>
      </c>
      <c r="C577" s="387">
        <v>45873</v>
      </c>
      <c r="D577" s="81" t="s">
        <v>662</v>
      </c>
      <c r="E577" s="81" t="s">
        <v>669</v>
      </c>
      <c r="G577" s="627"/>
      <c r="H577" s="81" t="s">
        <v>75</v>
      </c>
      <c r="J577" s="213">
        <v>20</v>
      </c>
      <c r="K577" s="213">
        <v>5800</v>
      </c>
      <c r="L577" s="129">
        <f t="shared" si="64"/>
        <v>116000</v>
      </c>
      <c r="M577" s="213"/>
      <c r="N577" s="81">
        <f>34800+56714.14+205176.16</f>
        <v>296690.3</v>
      </c>
      <c r="O577" s="199">
        <f t="shared" si="65"/>
        <v>-180690.3</v>
      </c>
      <c r="P577" s="209"/>
      <c r="Q577" s="209"/>
      <c r="R577" s="81" t="s">
        <v>88</v>
      </c>
      <c r="S577" s="81" t="s">
        <v>664</v>
      </c>
      <c r="T577" s="712">
        <v>45877</v>
      </c>
      <c r="U577" s="712">
        <f t="shared" si="66"/>
        <v>45937</v>
      </c>
      <c r="V577" s="712"/>
      <c r="X577" s="210"/>
      <c r="Y577" s="81">
        <v>13.969</v>
      </c>
      <c r="Z577" s="211">
        <v>5400</v>
      </c>
      <c r="AA577" s="211">
        <f t="shared" si="67"/>
        <v>75432.6</v>
      </c>
      <c r="AB577" s="211">
        <v>75432.6</v>
      </c>
      <c r="AC577" s="114">
        <f t="shared" si="68"/>
        <v>0</v>
      </c>
      <c r="AD577" s="212"/>
      <c r="AE577" s="211"/>
      <c r="AF577" s="211"/>
      <c r="AG577" s="211"/>
      <c r="AH577" s="211"/>
      <c r="AI577" s="209"/>
      <c r="AK577" s="81">
        <v>13.969</v>
      </c>
      <c r="AM577" s="211">
        <f>AK577*K577</f>
        <v>81020.2</v>
      </c>
      <c r="AN577" s="81">
        <f>34800+56714.14+205176.16</f>
        <v>296690.3</v>
      </c>
      <c r="AP577" s="209"/>
      <c r="AQ577" s="712" t="s">
        <v>436</v>
      </c>
      <c r="AR577" s="712"/>
      <c r="AS577" s="713" t="s">
        <v>413</v>
      </c>
      <c r="AT577" s="712"/>
      <c r="AV577" s="81">
        <v>1</v>
      </c>
      <c r="AW577" s="712" t="s">
        <v>670</v>
      </c>
      <c r="AX577" s="213">
        <v>13.969</v>
      </c>
      <c r="AY577" s="211"/>
      <c r="AZ577" s="214"/>
      <c r="BA577" s="214"/>
      <c r="BB577" s="214"/>
      <c r="BC577" s="214"/>
      <c r="BI577" s="731"/>
      <c r="BJ577" s="209"/>
    </row>
    <row r="578" s="81" customFormat="1" ht="14.4" outlineLevel="1" spans="1:69">
      <c r="C578" s="387"/>
      <c r="D578" s="81" t="s">
        <v>633</v>
      </c>
      <c r="E578" s="81" t="s">
        <v>669</v>
      </c>
      <c r="G578" s="627"/>
      <c r="J578" s="213"/>
      <c r="K578" s="213"/>
      <c r="L578" s="129"/>
      <c r="M578" s="213"/>
      <c r="N578" s="81">
        <f>123604.558+127324.23</f>
        <v>250928.788</v>
      </c>
      <c r="O578" s="199"/>
      <c r="P578" s="209"/>
      <c r="Q578" s="209"/>
      <c r="T578" s="712"/>
      <c r="U578" s="712"/>
      <c r="V578" s="712"/>
      <c r="X578" s="210"/>
      <c r="Y578" s="81">
        <v>2.998</v>
      </c>
      <c r="Z578" s="211">
        <v>5400</v>
      </c>
      <c r="AA578" s="211">
        <f t="shared" si="67"/>
        <v>16189.2</v>
      </c>
      <c r="AB578" s="211"/>
      <c r="AC578" s="114">
        <f t="shared" si="68"/>
        <v>16189.2</v>
      </c>
      <c r="AD578" s="212"/>
      <c r="AE578" s="211"/>
      <c r="AF578" s="211"/>
      <c r="AG578" s="211"/>
      <c r="AH578" s="211"/>
      <c r="AI578" s="209"/>
      <c r="AK578" s="81">
        <v>2.998</v>
      </c>
      <c r="AM578" s="211">
        <f>AK578*K577</f>
        <v>17388.4</v>
      </c>
      <c r="AN578" s="81">
        <f>123604.558+127324.23</f>
        <v>250928.788</v>
      </c>
      <c r="AP578" s="209"/>
      <c r="AQ578" s="712"/>
      <c r="AR578" s="712"/>
      <c r="AS578" s="713"/>
      <c r="AT578" s="712"/>
      <c r="AW578" s="712"/>
      <c r="AX578" s="213"/>
      <c r="AY578" s="211"/>
      <c r="AZ578" s="214"/>
      <c r="BA578" s="214"/>
      <c r="BB578" s="214"/>
      <c r="BC578" s="214"/>
      <c r="BI578" s="731"/>
      <c r="BJ578" s="209"/>
    </row>
    <row r="579" s="81" customFormat="1" ht="14.4" outlineLevel="1" spans="1:69">
      <c r="A579" s="81" t="s">
        <v>414</v>
      </c>
      <c r="B579" s="81" t="s">
        <v>578</v>
      </c>
      <c r="C579" s="387">
        <v>45873</v>
      </c>
      <c r="D579" s="81" t="s">
        <v>662</v>
      </c>
      <c r="E579" s="81" t="s">
        <v>671</v>
      </c>
      <c r="G579" s="627"/>
      <c r="H579" s="81" t="s">
        <v>75</v>
      </c>
      <c r="J579" s="213">
        <v>10</v>
      </c>
      <c r="K579" s="213">
        <v>7210</v>
      </c>
      <c r="L579" s="129">
        <f t="shared" ref="L579:L587" si="69">J579*K579</f>
        <v>72100</v>
      </c>
      <c r="M579" s="213"/>
      <c r="N579" s="81">
        <v>21630</v>
      </c>
      <c r="O579" s="199">
        <f t="shared" ref="O579:O587" si="70">L579-N579</f>
        <v>50470</v>
      </c>
      <c r="P579" s="209"/>
      <c r="Q579" s="209"/>
      <c r="R579" s="81" t="s">
        <v>88</v>
      </c>
      <c r="S579" s="81" t="s">
        <v>664</v>
      </c>
      <c r="T579" s="712">
        <v>45877</v>
      </c>
      <c r="U579" s="712">
        <f t="shared" ref="U579:U587" si="71">T579+60</f>
        <v>45937</v>
      </c>
      <c r="V579" s="712"/>
      <c r="X579" s="210"/>
      <c r="Y579" s="81">
        <v>9.322</v>
      </c>
      <c r="Z579" s="211">
        <v>5670</v>
      </c>
      <c r="AA579" s="211">
        <f t="shared" si="67"/>
        <v>52855.74</v>
      </c>
      <c r="AB579" s="211"/>
      <c r="AC579" s="114">
        <f t="shared" si="68"/>
        <v>52855.74</v>
      </c>
      <c r="AD579" s="212"/>
      <c r="AE579" s="211"/>
      <c r="AF579" s="211"/>
      <c r="AG579" s="211"/>
      <c r="AH579" s="211"/>
      <c r="AI579" s="209"/>
      <c r="AK579" s="81">
        <v>9.322</v>
      </c>
      <c r="AM579" s="211"/>
      <c r="AN579" s="81">
        <v>21630</v>
      </c>
      <c r="AP579" s="209"/>
      <c r="AQ579" s="712"/>
      <c r="AR579" s="712"/>
      <c r="AS579" s="712"/>
      <c r="AT579" s="712"/>
      <c r="AW579" s="712"/>
      <c r="AX579" s="213"/>
      <c r="AY579" s="211"/>
      <c r="AZ579" s="214"/>
      <c r="BA579" s="214"/>
      <c r="BB579" s="214"/>
      <c r="BC579" s="214"/>
      <c r="BI579" s="731"/>
      <c r="BJ579" s="209"/>
    </row>
    <row r="580" s="81" customFormat="1" ht="14.4" outlineLevel="1" spans="1:69">
      <c r="A580" s="81" t="s">
        <v>414</v>
      </c>
      <c r="B580" s="81" t="s">
        <v>578</v>
      </c>
      <c r="C580" s="387">
        <v>45873</v>
      </c>
      <c r="D580" s="81" t="s">
        <v>662</v>
      </c>
      <c r="E580" s="81" t="s">
        <v>671</v>
      </c>
      <c r="G580" s="627"/>
      <c r="H580" s="81" t="s">
        <v>75</v>
      </c>
      <c r="J580" s="213">
        <v>30</v>
      </c>
      <c r="K580" s="213">
        <v>8060</v>
      </c>
      <c r="L580" s="129">
        <f t="shared" si="69"/>
        <v>241800</v>
      </c>
      <c r="M580" s="213"/>
      <c r="N580" s="81">
        <v>72540</v>
      </c>
      <c r="O580" s="199">
        <f t="shared" si="70"/>
        <v>169260</v>
      </c>
      <c r="P580" s="209"/>
      <c r="Q580" s="209"/>
      <c r="R580" s="81" t="s">
        <v>88</v>
      </c>
      <c r="S580" s="81" t="s">
        <v>664</v>
      </c>
      <c r="T580" s="712">
        <v>45877</v>
      </c>
      <c r="U580" s="712">
        <f t="shared" si="71"/>
        <v>45937</v>
      </c>
      <c r="V580" s="712"/>
      <c r="X580" s="210"/>
      <c r="Y580" s="81">
        <v>27.818</v>
      </c>
      <c r="Z580" s="211">
        <v>5670</v>
      </c>
      <c r="AA580" s="211">
        <f t="shared" si="67"/>
        <v>157728.06</v>
      </c>
      <c r="AB580" s="211"/>
      <c r="AC580" s="114">
        <f t="shared" si="68"/>
        <v>157728.06</v>
      </c>
      <c r="AD580" s="212"/>
      <c r="AE580" s="211"/>
      <c r="AF580" s="211"/>
      <c r="AG580" s="211"/>
      <c r="AH580" s="211"/>
      <c r="AI580" s="209"/>
      <c r="AK580" s="81">
        <v>27.818</v>
      </c>
      <c r="AM580" s="211"/>
      <c r="AN580" s="81">
        <v>72540</v>
      </c>
      <c r="AP580" s="209"/>
      <c r="AQ580" s="712"/>
      <c r="AR580" s="712"/>
      <c r="AS580" s="712"/>
      <c r="AT580" s="712"/>
      <c r="AW580" s="712"/>
      <c r="AX580" s="213"/>
      <c r="AY580" s="211"/>
      <c r="AZ580" s="214"/>
      <c r="BA580" s="214"/>
      <c r="BB580" s="214"/>
      <c r="BC580" s="214"/>
      <c r="BI580" s="731"/>
      <c r="BJ580" s="209"/>
    </row>
    <row r="581" s="81" customFormat="1" ht="14.4" outlineLevel="1" spans="1:69">
      <c r="A581" s="81" t="s">
        <v>414</v>
      </c>
      <c r="B581" s="81" t="s">
        <v>578</v>
      </c>
      <c r="C581" s="387">
        <v>45873</v>
      </c>
      <c r="D581" s="81" t="s">
        <v>662</v>
      </c>
      <c r="E581" s="81" t="s">
        <v>672</v>
      </c>
      <c r="G581" s="627"/>
      <c r="H581" s="81" t="s">
        <v>75</v>
      </c>
      <c r="J581" s="213">
        <v>10</v>
      </c>
      <c r="K581" s="213">
        <v>7210</v>
      </c>
      <c r="L581" s="129">
        <f t="shared" si="69"/>
        <v>72100</v>
      </c>
      <c r="M581" s="213"/>
      <c r="N581" s="81">
        <v>21630</v>
      </c>
      <c r="O581" s="199">
        <f t="shared" si="70"/>
        <v>50470</v>
      </c>
      <c r="P581" s="209"/>
      <c r="Q581" s="209"/>
      <c r="R581" s="81" t="s">
        <v>88</v>
      </c>
      <c r="S581" s="81" t="s">
        <v>664</v>
      </c>
      <c r="T581" s="712">
        <v>45877</v>
      </c>
      <c r="U581" s="712">
        <f t="shared" si="71"/>
        <v>45937</v>
      </c>
      <c r="V581" s="712"/>
      <c r="X581" s="210"/>
      <c r="Y581" s="213">
        <v>9.176</v>
      </c>
      <c r="Z581" s="211">
        <v>5670</v>
      </c>
      <c r="AA581" s="211">
        <f t="shared" si="67"/>
        <v>52027.92</v>
      </c>
      <c r="AB581" s="211"/>
      <c r="AC581" s="114">
        <f t="shared" si="68"/>
        <v>52027.92</v>
      </c>
      <c r="AD581" s="212"/>
      <c r="AE581" s="211"/>
      <c r="AF581" s="211"/>
      <c r="AG581" s="211"/>
      <c r="AH581" s="211"/>
      <c r="AI581" s="209"/>
      <c r="AK581" s="213">
        <v>9.176</v>
      </c>
      <c r="AM581" s="211"/>
      <c r="AN581" s="81">
        <v>21630</v>
      </c>
      <c r="AP581" s="209"/>
      <c r="AQ581" s="712"/>
      <c r="AR581" s="712"/>
      <c r="AS581" s="712"/>
      <c r="AT581" s="712"/>
      <c r="AW581" s="712"/>
      <c r="AX581" s="213"/>
      <c r="AY581" s="211"/>
      <c r="AZ581" s="214"/>
      <c r="BA581" s="214"/>
      <c r="BB581" s="214"/>
      <c r="BC581" s="214"/>
      <c r="BI581" s="731"/>
      <c r="BJ581" s="209"/>
    </row>
    <row r="582" s="81" customFormat="1" ht="14.4" outlineLevel="1" spans="1:69">
      <c r="A582" s="81" t="s">
        <v>414</v>
      </c>
      <c r="B582" s="81" t="s">
        <v>578</v>
      </c>
      <c r="C582" s="387">
        <v>45873</v>
      </c>
      <c r="D582" s="81" t="s">
        <v>662</v>
      </c>
      <c r="E582" s="81" t="s">
        <v>672</v>
      </c>
      <c r="G582" s="627"/>
      <c r="H582" s="81" t="s">
        <v>75</v>
      </c>
      <c r="J582" s="213">
        <v>10</v>
      </c>
      <c r="K582" s="213">
        <v>8060</v>
      </c>
      <c r="L582" s="129">
        <f t="shared" si="69"/>
        <v>80600</v>
      </c>
      <c r="M582" s="213"/>
      <c r="N582" s="81">
        <v>24180</v>
      </c>
      <c r="O582" s="199">
        <f t="shared" si="70"/>
        <v>56420</v>
      </c>
      <c r="P582" s="209"/>
      <c r="Q582" s="209"/>
      <c r="R582" s="81" t="s">
        <v>88</v>
      </c>
      <c r="S582" s="81" t="s">
        <v>664</v>
      </c>
      <c r="T582" s="712">
        <v>45877</v>
      </c>
      <c r="U582" s="712">
        <f t="shared" si="71"/>
        <v>45937</v>
      </c>
      <c r="V582" s="712"/>
      <c r="X582" s="210"/>
      <c r="Y582" s="213">
        <v>8.626</v>
      </c>
      <c r="Z582" s="211">
        <v>5670</v>
      </c>
      <c r="AA582" s="211">
        <f t="shared" si="67"/>
        <v>48909.42</v>
      </c>
      <c r="AB582" s="211"/>
      <c r="AC582" s="114">
        <f t="shared" si="68"/>
        <v>48909.42</v>
      </c>
      <c r="AD582" s="212"/>
      <c r="AE582" s="211"/>
      <c r="AF582" s="211"/>
      <c r="AG582" s="211"/>
      <c r="AH582" s="211"/>
      <c r="AI582" s="209"/>
      <c r="AK582" s="213">
        <v>8.626</v>
      </c>
      <c r="AM582" s="211"/>
      <c r="AN582" s="81">
        <v>24180</v>
      </c>
      <c r="AP582" s="209"/>
      <c r="AQ582" s="712"/>
      <c r="AR582" s="712"/>
      <c r="AS582" s="712"/>
      <c r="AT582" s="712"/>
      <c r="AW582" s="712"/>
      <c r="AX582" s="213"/>
      <c r="AY582" s="211"/>
      <c r="AZ582" s="214"/>
      <c r="BA582" s="214"/>
      <c r="BB582" s="214"/>
      <c r="BC582" s="214"/>
      <c r="BI582" s="731"/>
      <c r="BJ582" s="209"/>
    </row>
    <row r="583" s="81" customFormat="1" ht="14.4" outlineLevel="1" spans="1:69">
      <c r="A583" s="81" t="s">
        <v>414</v>
      </c>
      <c r="B583" s="81" t="s">
        <v>578</v>
      </c>
      <c r="C583" s="387">
        <v>45873</v>
      </c>
      <c r="D583" s="81" t="s">
        <v>662</v>
      </c>
      <c r="E583" s="81" t="s">
        <v>673</v>
      </c>
      <c r="G583" s="627"/>
      <c r="H583" s="81" t="s">
        <v>75</v>
      </c>
      <c r="J583" s="213">
        <v>60</v>
      </c>
      <c r="K583" s="213">
        <v>5800</v>
      </c>
      <c r="L583" s="129">
        <f t="shared" si="69"/>
        <v>348000</v>
      </c>
      <c r="M583" s="213"/>
      <c r="N583" s="81">
        <v>104400</v>
      </c>
      <c r="O583" s="199">
        <f t="shared" si="70"/>
        <v>243600</v>
      </c>
      <c r="P583" s="209"/>
      <c r="Q583" s="209"/>
      <c r="R583" s="81" t="s">
        <v>88</v>
      </c>
      <c r="S583" s="81" t="s">
        <v>664</v>
      </c>
      <c r="T583" s="712">
        <v>45877</v>
      </c>
      <c r="U583" s="712">
        <f t="shared" si="71"/>
        <v>45937</v>
      </c>
      <c r="V583" s="712"/>
      <c r="X583" s="210"/>
      <c r="Y583" s="213">
        <v>55.069</v>
      </c>
      <c r="Z583" s="211">
        <v>5400</v>
      </c>
      <c r="AA583" s="211">
        <f t="shared" si="67"/>
        <v>297372.6</v>
      </c>
      <c r="AB583" s="211"/>
      <c r="AC583" s="114">
        <f t="shared" si="68"/>
        <v>297372.6</v>
      </c>
      <c r="AD583" s="212"/>
      <c r="AE583" s="211"/>
      <c r="AF583" s="211"/>
      <c r="AG583" s="211"/>
      <c r="AH583" s="211"/>
      <c r="AI583" s="209"/>
      <c r="AK583" s="81">
        <v>55.069</v>
      </c>
      <c r="AM583" s="211"/>
      <c r="AN583" s="81">
        <v>104400</v>
      </c>
      <c r="AP583" s="209"/>
      <c r="AQ583" s="712"/>
      <c r="AR583" s="712"/>
      <c r="AS583" s="712"/>
      <c r="AT583" s="712"/>
      <c r="AV583" s="81">
        <v>2</v>
      </c>
      <c r="AW583" s="712">
        <v>45978</v>
      </c>
      <c r="AX583" s="213"/>
      <c r="AY583" s="211"/>
      <c r="AZ583" s="214"/>
      <c r="BA583" s="214"/>
      <c r="BB583" s="214"/>
      <c r="BC583" s="214"/>
      <c r="BI583" s="731"/>
      <c r="BJ583" s="209"/>
    </row>
    <row r="584" s="81" customFormat="1" ht="14.4" outlineLevel="1" spans="1:69">
      <c r="A584" s="81" t="s">
        <v>414</v>
      </c>
      <c r="B584" s="81" t="s">
        <v>578</v>
      </c>
      <c r="C584" s="387">
        <v>45873</v>
      </c>
      <c r="D584" s="81" t="s">
        <v>662</v>
      </c>
      <c r="E584" s="81" t="s">
        <v>674</v>
      </c>
      <c r="G584" s="627"/>
      <c r="H584" s="81" t="s">
        <v>75</v>
      </c>
      <c r="J584" s="213">
        <v>20</v>
      </c>
      <c r="K584" s="213">
        <v>7210</v>
      </c>
      <c r="L584" s="129">
        <f t="shared" si="69"/>
        <v>144200</v>
      </c>
      <c r="M584" s="213"/>
      <c r="N584" s="81">
        <v>43260</v>
      </c>
      <c r="O584" s="199">
        <f t="shared" si="70"/>
        <v>100940</v>
      </c>
      <c r="P584" s="209"/>
      <c r="Q584" s="209"/>
      <c r="R584" s="81" t="s">
        <v>88</v>
      </c>
      <c r="S584" s="81" t="s">
        <v>664</v>
      </c>
      <c r="T584" s="712">
        <v>45877</v>
      </c>
      <c r="U584" s="712">
        <f t="shared" si="71"/>
        <v>45937</v>
      </c>
      <c r="V584" s="712"/>
      <c r="X584" s="210"/>
      <c r="Y584" s="213">
        <v>27.473</v>
      </c>
      <c r="Z584" s="211">
        <v>5670</v>
      </c>
      <c r="AA584" s="211">
        <f t="shared" si="67"/>
        <v>155771.91</v>
      </c>
      <c r="AB584" s="211"/>
      <c r="AC584" s="114">
        <f t="shared" si="68"/>
        <v>155771.91</v>
      </c>
      <c r="AD584" s="212"/>
      <c r="AE584" s="211"/>
      <c r="AF584" s="211"/>
      <c r="AG584" s="211"/>
      <c r="AH584" s="211"/>
      <c r="AI584" s="209"/>
      <c r="AK584" s="213">
        <v>27.473</v>
      </c>
      <c r="AM584" s="211"/>
      <c r="AN584" s="81">
        <v>43260</v>
      </c>
      <c r="AP584" s="209"/>
      <c r="AQ584" s="712"/>
      <c r="AR584" s="712"/>
      <c r="AS584" s="712"/>
      <c r="AT584" s="712"/>
      <c r="AW584" s="712"/>
      <c r="AX584" s="213"/>
      <c r="AY584" s="211"/>
      <c r="AZ584" s="214"/>
      <c r="BA584" s="214"/>
      <c r="BB584" s="214"/>
      <c r="BC584" s="214"/>
      <c r="BI584" s="731"/>
      <c r="BJ584" s="209"/>
    </row>
    <row r="585" s="81" customFormat="1" ht="14.4" outlineLevel="1" spans="1:69">
      <c r="A585" s="81" t="s">
        <v>414</v>
      </c>
      <c r="B585" s="81" t="s">
        <v>578</v>
      </c>
      <c r="C585" s="387">
        <v>45873</v>
      </c>
      <c r="D585" s="81" t="s">
        <v>662</v>
      </c>
      <c r="E585" s="81" t="s">
        <v>675</v>
      </c>
      <c r="G585" s="627"/>
      <c r="H585" s="81" t="s">
        <v>75</v>
      </c>
      <c r="J585" s="213">
        <v>20</v>
      </c>
      <c r="K585" s="213">
        <v>6910</v>
      </c>
      <c r="L585" s="129">
        <f t="shared" si="69"/>
        <v>138200</v>
      </c>
      <c r="M585" s="213"/>
      <c r="N585" s="81">
        <f>41460+40675.57</f>
        <v>82135.57</v>
      </c>
      <c r="O585" s="199">
        <f t="shared" si="70"/>
        <v>56064.43</v>
      </c>
      <c r="P585" s="209"/>
      <c r="Q585" s="209"/>
      <c r="R585" s="81" t="s">
        <v>88</v>
      </c>
      <c r="S585" s="81" t="s">
        <v>664</v>
      </c>
      <c r="T585" s="712">
        <v>45877</v>
      </c>
      <c r="U585" s="712">
        <f t="shared" si="71"/>
        <v>45937</v>
      </c>
      <c r="V585" s="712"/>
      <c r="X585" s="210"/>
      <c r="Y585" s="213">
        <v>16.083</v>
      </c>
      <c r="Z585" s="211">
        <v>5490</v>
      </c>
      <c r="AA585" s="211">
        <f t="shared" si="67"/>
        <v>88295.67</v>
      </c>
      <c r="AB585" s="211"/>
      <c r="AC585" s="114">
        <f t="shared" si="68"/>
        <v>88295.67</v>
      </c>
      <c r="AD585" s="212"/>
      <c r="AE585" s="211"/>
      <c r="AF585" s="211"/>
      <c r="AG585" s="211"/>
      <c r="AH585" s="211"/>
      <c r="AI585" s="209"/>
      <c r="AK585" s="213">
        <v>16.083</v>
      </c>
      <c r="AM585" s="211"/>
      <c r="AN585" s="81">
        <f>41460+40675.57</f>
        <v>82135.57</v>
      </c>
      <c r="AP585" s="209"/>
      <c r="AQ585" s="712"/>
      <c r="AR585" s="712"/>
      <c r="AS585" s="712"/>
      <c r="AT585" s="712"/>
      <c r="AW585" s="712"/>
      <c r="AX585" s="213"/>
      <c r="AY585" s="211"/>
      <c r="AZ585" s="214"/>
      <c r="BA585" s="214"/>
      <c r="BB585" s="214"/>
      <c r="BC585" s="214"/>
      <c r="BI585" s="731"/>
      <c r="BJ585" s="209"/>
    </row>
    <row r="586" s="81" customFormat="1" ht="14.4" outlineLevel="1" spans="1:69">
      <c r="A586" s="81" t="s">
        <v>414</v>
      </c>
      <c r="B586" s="81" t="s">
        <v>578</v>
      </c>
      <c r="C586" s="387">
        <v>45873</v>
      </c>
      <c r="D586" s="81" t="s">
        <v>662</v>
      </c>
      <c r="E586" s="81" t="s">
        <v>676</v>
      </c>
      <c r="G586" s="627"/>
      <c r="H586" s="81" t="s">
        <v>75</v>
      </c>
      <c r="J586" s="213">
        <v>30</v>
      </c>
      <c r="K586" s="213">
        <v>6660</v>
      </c>
      <c r="L586" s="129">
        <f t="shared" si="69"/>
        <v>199800</v>
      </c>
      <c r="M586" s="213"/>
      <c r="N586" s="81">
        <f>59940+143545.5</f>
        <v>203485.5</v>
      </c>
      <c r="O586" s="199">
        <f t="shared" si="70"/>
        <v>-3685.5</v>
      </c>
      <c r="P586" s="209"/>
      <c r="Q586" s="209"/>
      <c r="R586" s="81" t="s">
        <v>88</v>
      </c>
      <c r="S586" s="81" t="s">
        <v>664</v>
      </c>
      <c r="T586" s="712">
        <v>45877</v>
      </c>
      <c r="U586" s="712">
        <f t="shared" si="71"/>
        <v>45937</v>
      </c>
      <c r="V586" s="712"/>
      <c r="X586" s="210"/>
      <c r="Y586" s="213">
        <v>29.063</v>
      </c>
      <c r="Z586" s="211">
        <v>5370</v>
      </c>
      <c r="AA586" s="211">
        <f t="shared" si="67"/>
        <v>156068.31</v>
      </c>
      <c r="AB586" s="211"/>
      <c r="AC586" s="114">
        <f t="shared" si="68"/>
        <v>156068.31</v>
      </c>
      <c r="AD586" s="212"/>
      <c r="AE586" s="211"/>
      <c r="AF586" s="211"/>
      <c r="AG586" s="211"/>
      <c r="AH586" s="211"/>
      <c r="AI586" s="209"/>
      <c r="AK586" s="213">
        <v>29.063</v>
      </c>
      <c r="AM586" s="211"/>
      <c r="AN586" s="81">
        <f>59940+143545.5</f>
        <v>203485.5</v>
      </c>
      <c r="AP586" s="209"/>
      <c r="AQ586" s="712"/>
      <c r="AR586" s="712"/>
      <c r="AS586" s="712"/>
      <c r="AT586" s="712"/>
      <c r="AW586" s="712"/>
      <c r="AX586" s="213"/>
      <c r="AY586" s="211"/>
      <c r="AZ586" s="214"/>
      <c r="BA586" s="214"/>
      <c r="BB586" s="214"/>
      <c r="BC586" s="214"/>
      <c r="BI586" s="731"/>
      <c r="BJ586" s="209"/>
    </row>
    <row r="587" s="81" customFormat="1" ht="14.4" outlineLevel="1" spans="1:69">
      <c r="A587" s="81" t="s">
        <v>414</v>
      </c>
      <c r="B587" s="81" t="s">
        <v>578</v>
      </c>
      <c r="C587" s="387">
        <v>45873</v>
      </c>
      <c r="D587" s="81" t="s">
        <v>662</v>
      </c>
      <c r="E587" s="81" t="s">
        <v>677</v>
      </c>
      <c r="G587" s="627"/>
      <c r="H587" s="81" t="s">
        <v>75</v>
      </c>
      <c r="J587" s="213">
        <v>15</v>
      </c>
      <c r="K587" s="213">
        <v>7050</v>
      </c>
      <c r="L587" s="129">
        <f t="shared" si="69"/>
        <v>105750</v>
      </c>
      <c r="M587" s="213"/>
      <c r="N587" s="81">
        <f>31725+144226.45+133636.18+123144.11+132726.01+145986.75</f>
        <v>711444.5</v>
      </c>
      <c r="O587" s="199">
        <f t="shared" si="70"/>
        <v>-605694.5</v>
      </c>
      <c r="P587" s="209"/>
      <c r="Q587" s="209"/>
      <c r="R587" s="81" t="s">
        <v>88</v>
      </c>
      <c r="S587" s="81" t="s">
        <v>664</v>
      </c>
      <c r="T587" s="712">
        <v>45877</v>
      </c>
      <c r="U587" s="712">
        <f t="shared" si="71"/>
        <v>45937</v>
      </c>
      <c r="V587" s="712"/>
      <c r="X587" s="210"/>
      <c r="Y587" s="213">
        <v>15.722</v>
      </c>
      <c r="Z587" s="211">
        <v>5570</v>
      </c>
      <c r="AA587" s="211">
        <f t="shared" si="67"/>
        <v>87571.54</v>
      </c>
      <c r="AB587" s="211"/>
      <c r="AC587" s="114">
        <f t="shared" si="68"/>
        <v>87571.54</v>
      </c>
      <c r="AD587" s="212"/>
      <c r="AE587" s="211"/>
      <c r="AF587" s="211"/>
      <c r="AG587" s="211"/>
      <c r="AH587" s="211"/>
      <c r="AI587" s="209"/>
      <c r="AK587" s="213">
        <v>15.722</v>
      </c>
      <c r="AM587" s="211"/>
      <c r="AN587" s="81">
        <f>31725+144226.45+133636.18+123144.11+132726.01+145986.75</f>
        <v>711444.5</v>
      </c>
      <c r="AP587" s="209"/>
      <c r="AQ587" s="712"/>
      <c r="AR587" s="712"/>
      <c r="AS587" s="712"/>
      <c r="AT587" s="712"/>
      <c r="AW587" s="712"/>
      <c r="AX587" s="213"/>
      <c r="AY587" s="211"/>
      <c r="AZ587" s="214"/>
      <c r="BA587" s="214"/>
      <c r="BB587" s="214"/>
      <c r="BC587" s="214"/>
      <c r="BI587" s="731"/>
      <c r="BJ587" s="209"/>
    </row>
    <row r="588" s="424" customFormat="1" ht="14.4" spans="1:69">
      <c r="A588" s="424" t="s">
        <v>414</v>
      </c>
      <c r="C588" s="463">
        <v>45873</v>
      </c>
      <c r="D588" s="424" t="s">
        <v>662</v>
      </c>
      <c r="G588" s="707"/>
      <c r="H588" s="424" t="s">
        <v>75</v>
      </c>
      <c r="J588" s="708">
        <f>SUM(J572:J587)</f>
        <v>325</v>
      </c>
      <c r="K588" s="708"/>
      <c r="L588" s="708">
        <f>SUM(L572:L587)</f>
        <v>2239800</v>
      </c>
      <c r="M588" s="708">
        <f>SUM(M572:M587)</f>
        <v>0</v>
      </c>
      <c r="N588" s="708">
        <f>SUM(N572:N587)</f>
        <v>2116073.688</v>
      </c>
      <c r="O588" s="708">
        <f>SUM(O572:O587)</f>
        <v>374655.1</v>
      </c>
      <c r="T588" s="709">
        <f>T587</f>
        <v>45877</v>
      </c>
      <c r="U588" s="709">
        <f>U587</f>
        <v>45937</v>
      </c>
      <c r="V588" s="709">
        <v>45966</v>
      </c>
      <c r="W588" s="79"/>
      <c r="X588" s="193" t="s">
        <v>432</v>
      </c>
      <c r="Y588" s="708">
        <f>SUM(Y572:Y587)</f>
        <v>306.313</v>
      </c>
      <c r="Z588" s="691"/>
      <c r="AA588" s="708">
        <f>SUM(AA572:AA587)</f>
        <v>1699835.98</v>
      </c>
      <c r="AB588" s="691"/>
      <c r="AC588" s="691">
        <f>SUM(AC572:AC587)</f>
        <v>1624403.38</v>
      </c>
      <c r="AD588" s="711"/>
      <c r="AE588" s="691"/>
      <c r="AF588" s="691"/>
      <c r="AG588" s="691"/>
      <c r="AH588" s="691"/>
      <c r="AM588" s="691"/>
      <c r="AN588" s="691">
        <f>SUM(AN572:AN587)</f>
        <v>2116073.688</v>
      </c>
      <c r="AQ588" s="463">
        <f>V588</f>
        <v>45966</v>
      </c>
      <c r="AR588" s="463"/>
      <c r="AS588" s="709"/>
      <c r="AT588" s="709"/>
      <c r="AW588" s="709"/>
      <c r="AX588" s="708"/>
      <c r="AY588" s="691"/>
      <c r="AZ588" s="721"/>
      <c r="BA588" s="721"/>
      <c r="BB588" s="721"/>
      <c r="BC588" s="721"/>
      <c r="BI588" s="735"/>
    </row>
    <row r="589" s="354" customFormat="1" ht="14.4" outlineLevel="1" spans="1:69">
      <c r="A589" s="354" t="s">
        <v>338</v>
      </c>
      <c r="B589" s="76" t="s">
        <v>456</v>
      </c>
      <c r="C589" s="387">
        <v>45871</v>
      </c>
      <c r="D589" s="354" t="s">
        <v>678</v>
      </c>
      <c r="E589" s="354" t="s">
        <v>679</v>
      </c>
      <c r="G589" s="723"/>
      <c r="H589" s="354" t="s">
        <v>93</v>
      </c>
      <c r="J589" s="340">
        <v>244</v>
      </c>
      <c r="K589" s="340">
        <f>Z589+280</f>
        <v>6380</v>
      </c>
      <c r="L589" s="340">
        <f>J589*K589</f>
        <v>1556720</v>
      </c>
      <c r="M589" s="340"/>
      <c r="N589" s="354">
        <f>1039940+20752.23+153505.52+92159.1+245757.6</f>
        <v>1552114.45</v>
      </c>
      <c r="P589" s="725"/>
      <c r="Q589" s="725"/>
      <c r="R589" s="354" t="s">
        <v>88</v>
      </c>
      <c r="S589" s="354" t="s">
        <v>680</v>
      </c>
      <c r="T589" s="716">
        <v>45871</v>
      </c>
      <c r="U589" s="716">
        <f>T589+60</f>
        <v>45931</v>
      </c>
      <c r="V589" s="716"/>
      <c r="X589" s="726"/>
      <c r="Y589" s="340">
        <v>241</v>
      </c>
      <c r="Z589" s="728">
        <v>6100</v>
      </c>
      <c r="AA589" s="728">
        <f>Y589*Z589</f>
        <v>1470100</v>
      </c>
      <c r="AB589" s="728"/>
      <c r="AC589" s="728"/>
      <c r="AD589" s="727"/>
      <c r="AE589" s="728"/>
      <c r="AF589" s="728"/>
      <c r="AG589" s="728"/>
      <c r="AH589" s="728"/>
      <c r="AI589" s="725"/>
      <c r="AM589" s="728"/>
      <c r="AN589" s="354">
        <f>1039940+20752.23+153505.52+92159.1+245757.6</f>
        <v>1552114.45</v>
      </c>
      <c r="AP589" s="725"/>
      <c r="AQ589" s="716"/>
      <c r="AR589" s="716"/>
      <c r="AS589" s="716"/>
      <c r="AT589" s="716"/>
      <c r="AW589" s="716"/>
      <c r="AX589" s="340"/>
      <c r="AY589" s="728"/>
      <c r="AZ589" s="730"/>
      <c r="BA589" s="730"/>
      <c r="BB589" s="730"/>
      <c r="BC589" s="730"/>
      <c r="BI589" s="736"/>
      <c r="BJ589" s="725"/>
      <c r="BL589" s="76" t="str">
        <f>D589</f>
        <v>TJTW-80</v>
      </c>
      <c r="BM589" s="76" t="str">
        <f>A589</f>
        <v>KLM</v>
      </c>
      <c r="BN589" s="76"/>
      <c r="BO589" s="76" t="str">
        <f>E589</f>
        <v>0.18*905*be pending 2.8/2.8 T4</v>
      </c>
      <c r="BP589" s="129">
        <f>J589</f>
        <v>244</v>
      </c>
      <c r="BQ589" s="387">
        <f>U589</f>
        <v>45931</v>
      </c>
    </row>
    <row r="590" s="76" customFormat="1" ht="14.4" outlineLevel="1" spans="1:69">
      <c r="A590" s="76" t="s">
        <v>338</v>
      </c>
      <c r="B590" s="76" t="s">
        <v>456</v>
      </c>
      <c r="C590" s="387">
        <v>45871</v>
      </c>
      <c r="D590" s="354" t="s">
        <v>678</v>
      </c>
      <c r="E590" s="76" t="s">
        <v>681</v>
      </c>
      <c r="G590" s="479"/>
      <c r="H590" s="354" t="s">
        <v>93</v>
      </c>
      <c r="J590" s="129">
        <v>27</v>
      </c>
      <c r="K590" s="129">
        <f>Z590+280</f>
        <v>6580</v>
      </c>
      <c r="L590" s="129">
        <f>J590*K590</f>
        <v>177660</v>
      </c>
      <c r="M590" s="129"/>
      <c r="N590" s="76">
        <v>381529.5</v>
      </c>
      <c r="P590" s="91"/>
      <c r="Q590" s="91"/>
      <c r="R590" s="76" t="s">
        <v>88</v>
      </c>
      <c r="S590" s="76" t="s">
        <v>680</v>
      </c>
      <c r="T590" s="387">
        <v>45871</v>
      </c>
      <c r="U590" s="716">
        <f>T590+60</f>
        <v>45931</v>
      </c>
      <c r="V590" s="387"/>
      <c r="X590" s="133"/>
      <c r="Y590" s="129">
        <v>44</v>
      </c>
      <c r="Z590" s="114">
        <v>6300</v>
      </c>
      <c r="AA590" s="114">
        <f>Y590*Z590</f>
        <v>277200</v>
      </c>
      <c r="AB590" s="114"/>
      <c r="AC590" s="114"/>
      <c r="AD590" s="140"/>
      <c r="AE590" s="114"/>
      <c r="AF590" s="114"/>
      <c r="AG590" s="114"/>
      <c r="AH590" s="114"/>
      <c r="AM590" s="114"/>
      <c r="AN590" s="76">
        <v>381529.5</v>
      </c>
      <c r="AQ590" s="387"/>
      <c r="AR590" s="387"/>
      <c r="AS590" s="387"/>
      <c r="AT590" s="387"/>
      <c r="AW590" s="387"/>
      <c r="AX590" s="129"/>
      <c r="AY590" s="114"/>
      <c r="AZ590" s="127"/>
      <c r="BA590" s="127"/>
      <c r="BB590" s="127"/>
      <c r="BC590" s="127"/>
      <c r="BI590" s="75"/>
      <c r="BJ590" s="91"/>
      <c r="BL590" s="76" t="str">
        <f>D590</f>
        <v>TJTW-80</v>
      </c>
      <c r="BM590" s="76" t="str">
        <f>A590</f>
        <v>KLM</v>
      </c>
      <c r="BO590" s="76" t="str">
        <f>E590</f>
        <v>0.17*905*be pending 2.8/2.8 T4</v>
      </c>
      <c r="BP590" s="129">
        <f>J590</f>
        <v>27</v>
      </c>
      <c r="BQ590" s="387">
        <f>U590</f>
        <v>45931</v>
      </c>
    </row>
    <row r="591" s="76" customFormat="1" ht="14.4" outlineLevel="1" spans="1:69">
      <c r="A591" s="76" t="s">
        <v>590</v>
      </c>
      <c r="B591" s="76" t="s">
        <v>456</v>
      </c>
      <c r="C591" s="387">
        <v>45871</v>
      </c>
      <c r="D591" s="354" t="s">
        <v>678</v>
      </c>
      <c r="E591" s="76" t="s">
        <v>682</v>
      </c>
      <c r="G591" s="479"/>
      <c r="H591" s="354" t="s">
        <v>93</v>
      </c>
      <c r="J591" s="129">
        <v>54</v>
      </c>
      <c r="K591" s="129">
        <f>Z591+280</f>
        <v>6380</v>
      </c>
      <c r="L591" s="129">
        <f>J591*K591</f>
        <v>344520</v>
      </c>
      <c r="M591" s="129"/>
      <c r="N591" s="76">
        <v>114840</v>
      </c>
      <c r="P591" s="91"/>
      <c r="Q591" s="91"/>
      <c r="R591" s="76" t="s">
        <v>88</v>
      </c>
      <c r="S591" s="76" t="s">
        <v>680</v>
      </c>
      <c r="T591" s="387">
        <v>45871</v>
      </c>
      <c r="U591" s="716">
        <f>T591+60</f>
        <v>45931</v>
      </c>
      <c r="V591" s="387"/>
      <c r="X591" s="133"/>
      <c r="Y591" s="129">
        <v>54</v>
      </c>
      <c r="Z591" s="114">
        <v>6100</v>
      </c>
      <c r="AA591" s="114">
        <f>Y591*Z591</f>
        <v>329400</v>
      </c>
      <c r="AB591" s="114"/>
      <c r="AC591" s="114"/>
      <c r="AD591" s="140"/>
      <c r="AE591" s="114"/>
      <c r="AF591" s="114"/>
      <c r="AG591" s="114"/>
      <c r="AH591" s="114"/>
      <c r="AM591" s="114"/>
      <c r="AN591" s="76">
        <v>114840</v>
      </c>
      <c r="AQ591" s="387"/>
      <c r="AR591" s="387"/>
      <c r="AS591" s="387"/>
      <c r="AT591" s="387"/>
      <c r="AW591" s="387"/>
      <c r="AX591" s="129"/>
      <c r="AY591" s="114"/>
      <c r="AZ591" s="127"/>
      <c r="BA591" s="127"/>
      <c r="BB591" s="127"/>
      <c r="BC591" s="127"/>
      <c r="BI591" s="75"/>
      <c r="BJ591" s="91"/>
      <c r="BL591" s="76" t="str">
        <f>D591</f>
        <v>TJTW-80</v>
      </c>
      <c r="BM591" s="76" t="str">
        <f>A591</f>
        <v>ATL</v>
      </c>
      <c r="BO591" s="76" t="str">
        <f>E591</f>
        <v>0.18*822*764.2 2.8/2.8 T4</v>
      </c>
      <c r="BP591" s="129">
        <f>J591</f>
        <v>54</v>
      </c>
      <c r="BQ591" s="387">
        <f>U591</f>
        <v>45931</v>
      </c>
    </row>
    <row r="592" s="76" customFormat="1" ht="14.4" outlineLevel="1" spans="1:69">
      <c r="A592" s="76" t="s">
        <v>338</v>
      </c>
      <c r="B592" s="76" t="s">
        <v>456</v>
      </c>
      <c r="C592" s="387">
        <v>45871</v>
      </c>
      <c r="D592" s="354" t="s">
        <v>678</v>
      </c>
      <c r="E592" s="76" t="s">
        <v>683</v>
      </c>
      <c r="G592" s="479"/>
      <c r="H592" s="354" t="s">
        <v>93</v>
      </c>
      <c r="J592" s="129">
        <v>27</v>
      </c>
      <c r="K592" s="129">
        <f>Z592+280</f>
        <v>6580</v>
      </c>
      <c r="L592" s="129">
        <f>J592*K592</f>
        <v>177660</v>
      </c>
      <c r="M592" s="129"/>
      <c r="N592" s="76">
        <v>73932</v>
      </c>
      <c r="P592" s="91"/>
      <c r="Q592" s="91"/>
      <c r="R592" s="76" t="s">
        <v>88</v>
      </c>
      <c r="S592" s="76" t="s">
        <v>680</v>
      </c>
      <c r="T592" s="387">
        <v>45871</v>
      </c>
      <c r="U592" s="716">
        <f>T592+60</f>
        <v>45931</v>
      </c>
      <c r="V592" s="387"/>
      <c r="X592" s="133"/>
      <c r="Y592" s="129">
        <v>34</v>
      </c>
      <c r="Z592" s="114">
        <v>6300</v>
      </c>
      <c r="AA592" s="114">
        <f>Y592*Z592</f>
        <v>214200</v>
      </c>
      <c r="AB592" s="114"/>
      <c r="AC592" s="114"/>
      <c r="AD592" s="140"/>
      <c r="AE592" s="114"/>
      <c r="AF592" s="114"/>
      <c r="AG592" s="114"/>
      <c r="AH592" s="114"/>
      <c r="AM592" s="114"/>
      <c r="AN592" s="114">
        <v>73932</v>
      </c>
      <c r="AQ592" s="387"/>
      <c r="AR592" s="387"/>
      <c r="AS592" s="387"/>
      <c r="AT592" s="387"/>
      <c r="AW592" s="387"/>
      <c r="AX592" s="129"/>
      <c r="AY592" s="114"/>
      <c r="AZ592" s="127"/>
      <c r="BA592" s="127"/>
      <c r="BB592" s="127"/>
      <c r="BC592" s="127"/>
      <c r="BI592" s="75"/>
      <c r="BJ592" s="91"/>
      <c r="BL592" s="76" t="str">
        <f>D592</f>
        <v>TJTW-80</v>
      </c>
      <c r="BM592" s="76" t="str">
        <f>A592</f>
        <v>KLM</v>
      </c>
      <c r="BO592" s="76" t="str">
        <f>E592</f>
        <v>0.17*818*913 2.8/2.8 T4</v>
      </c>
      <c r="BP592" s="129">
        <f>J592</f>
        <v>27</v>
      </c>
      <c r="BQ592" s="387">
        <f>U592</f>
        <v>45931</v>
      </c>
    </row>
    <row r="593" s="79" customFormat="1" ht="14.4" spans="1:69">
      <c r="B593" s="79" t="s">
        <v>456</v>
      </c>
      <c r="C593" s="463"/>
      <c r="D593" s="79" t="s">
        <v>678</v>
      </c>
      <c r="G593" s="486"/>
      <c r="J593" s="194">
        <f>SUM(J589:J592)</f>
        <v>352</v>
      </c>
      <c r="K593" s="194"/>
      <c r="L593" s="194">
        <f>SUM(L589:L592)</f>
        <v>2256560</v>
      </c>
      <c r="M593" s="194">
        <f>SUM(M589:M592)</f>
        <v>0</v>
      </c>
      <c r="N593" s="194">
        <f>SUM(N589:N592)</f>
        <v>2122415.95</v>
      </c>
      <c r="O593" s="194">
        <f>SUM(O589:O592)</f>
        <v>0</v>
      </c>
      <c r="T593" s="463">
        <f>T592</f>
        <v>45871</v>
      </c>
      <c r="U593" s="463">
        <f>U592</f>
        <v>45931</v>
      </c>
      <c r="V593" s="463">
        <v>45933</v>
      </c>
      <c r="X593" s="193"/>
      <c r="Y593" s="194">
        <f>SUM(Y589:Y592)</f>
        <v>373</v>
      </c>
      <c r="Z593" s="192"/>
      <c r="AA593" s="194">
        <f>SUM(AA589:AA592)</f>
        <v>2290900</v>
      </c>
      <c r="AB593" s="194">
        <f>SUM(AB589:AB592)</f>
        <v>0</v>
      </c>
      <c r="AC593" s="192"/>
      <c r="AD593" s="196"/>
      <c r="AE593" s="192"/>
      <c r="AF593" s="192"/>
      <c r="AG593" s="192"/>
      <c r="AH593" s="192"/>
      <c r="AM593" s="192"/>
      <c r="AN593" s="192"/>
      <c r="AQ593" s="463">
        <f>V593</f>
        <v>45933</v>
      </c>
      <c r="AR593" s="463"/>
      <c r="AS593" s="463"/>
      <c r="AT593" s="463"/>
      <c r="AW593" s="463"/>
      <c r="AX593" s="194"/>
      <c r="AY593" s="192"/>
      <c r="AZ593" s="150"/>
      <c r="BA593" s="150"/>
      <c r="BB593" s="150"/>
      <c r="BC593" s="150"/>
      <c r="BI593" s="151"/>
    </row>
    <row r="594" s="76" customFormat="1" ht="14.4" outlineLevel="1" spans="1:69">
      <c r="A594" s="76" t="s">
        <v>338</v>
      </c>
      <c r="B594" s="76" t="s">
        <v>456</v>
      </c>
      <c r="C594" s="387">
        <v>45873</v>
      </c>
      <c r="D594" s="76" t="s">
        <v>684</v>
      </c>
      <c r="E594" s="76" t="s">
        <v>685</v>
      </c>
      <c r="G594" s="479">
        <f>144734.4+337713.6</f>
        <v>482448</v>
      </c>
      <c r="H594" s="76" t="s">
        <v>93</v>
      </c>
      <c r="J594" s="264">
        <v>2097600</v>
      </c>
      <c r="K594" s="129">
        <v>0.23</v>
      </c>
      <c r="L594" s="129">
        <f>J594*K594</f>
        <v>482448</v>
      </c>
      <c r="M594" s="129">
        <f>L594*0.3</f>
        <v>144734.4</v>
      </c>
      <c r="N594" s="76">
        <f>144734.4+337713.6</f>
        <v>482448</v>
      </c>
      <c r="P594" s="91"/>
      <c r="Q594" s="91"/>
      <c r="R594" s="113" t="s">
        <v>148</v>
      </c>
      <c r="T594" s="387">
        <v>45874</v>
      </c>
      <c r="U594" s="387">
        <f>T594+15</f>
        <v>45889</v>
      </c>
      <c r="V594" s="387">
        <v>45891</v>
      </c>
      <c r="X594" s="133" t="s">
        <v>355</v>
      </c>
      <c r="Y594" s="76">
        <v>2097600</v>
      </c>
      <c r="Z594" s="140">
        <v>0.245</v>
      </c>
      <c r="AA594" s="114">
        <f>Y594*Z594</f>
        <v>513912</v>
      </c>
      <c r="AB594" s="114">
        <v>513912</v>
      </c>
      <c r="AC594" s="114"/>
      <c r="AD594" s="140"/>
      <c r="AE594" s="114"/>
      <c r="AF594" s="114"/>
      <c r="AG594" s="114"/>
      <c r="AH594" s="114"/>
      <c r="AI594" s="91"/>
      <c r="AK594" s="76">
        <v>2097600</v>
      </c>
      <c r="AL594" s="129">
        <v>0.23</v>
      </c>
      <c r="AM594" s="114">
        <f>AL594*AK594</f>
        <v>482448</v>
      </c>
      <c r="AN594" s="114">
        <f>144734.4+337713.6</f>
        <v>482448</v>
      </c>
      <c r="AP594" s="91"/>
      <c r="AQ594" s="387"/>
      <c r="AR594" s="387"/>
      <c r="AS594" s="387"/>
      <c r="AT594" s="387"/>
      <c r="AW594" s="387"/>
      <c r="AX594" s="76">
        <v>2097600</v>
      </c>
      <c r="AY594" s="129">
        <v>0.23</v>
      </c>
      <c r="AZ594" s="114">
        <f>AY594*AX594</f>
        <v>482448</v>
      </c>
      <c r="BA594" s="127"/>
      <c r="BB594" s="127"/>
      <c r="BC594" s="127"/>
      <c r="BI594" s="75"/>
      <c r="BJ594" s="91"/>
      <c r="BL594" s="76" t="str">
        <f>D594</f>
        <v>TJTW-81</v>
      </c>
      <c r="BM594" s="76" t="str">
        <f>A594</f>
        <v>KLM</v>
      </c>
      <c r="BO594" s="76" t="str">
        <f>E594</f>
        <v>EOE.99.8mm 0.22 #401</v>
      </c>
      <c r="BP594" s="129">
        <f>J594</f>
        <v>2097600</v>
      </c>
      <c r="BQ594" s="387">
        <f>U594</f>
        <v>45889</v>
      </c>
    </row>
    <row r="595" s="79" customFormat="1" ht="14.4" spans="1:69">
      <c r="A595" s="79" t="s">
        <v>338</v>
      </c>
      <c r="B595" s="79" t="s">
        <v>456</v>
      </c>
      <c r="C595" s="463">
        <v>45873</v>
      </c>
      <c r="D595" s="79" t="str">
        <f>D594</f>
        <v>TJTW-81</v>
      </c>
      <c r="E595" s="79" t="str">
        <f>E594</f>
        <v>EOE.99.8mm 0.22 #401</v>
      </c>
      <c r="G595" s="486"/>
      <c r="H595" s="79" t="s">
        <v>93</v>
      </c>
      <c r="J595" s="579">
        <f>J594</f>
        <v>2097600</v>
      </c>
      <c r="K595" s="194"/>
      <c r="L595" s="194">
        <f>L594</f>
        <v>482448</v>
      </c>
      <c r="M595" s="194">
        <f>M594</f>
        <v>144734.4</v>
      </c>
      <c r="N595" s="79">
        <f>N594</f>
        <v>482448</v>
      </c>
      <c r="T595" s="463">
        <f>T594</f>
        <v>45874</v>
      </c>
      <c r="U595" s="463">
        <f>T595+15</f>
        <v>45889</v>
      </c>
      <c r="V595" s="463">
        <v>45891</v>
      </c>
      <c r="X595" s="193" t="s">
        <v>355</v>
      </c>
      <c r="Y595" s="79">
        <f>Y594</f>
        <v>2097600</v>
      </c>
      <c r="Z595" s="192"/>
      <c r="AA595" s="192">
        <f>AA594</f>
        <v>513912</v>
      </c>
      <c r="AB595" s="192">
        <f>AB594</f>
        <v>513912</v>
      </c>
      <c r="AC595" s="192"/>
      <c r="AD595" s="196"/>
      <c r="AE595" s="192"/>
      <c r="AF595" s="192"/>
      <c r="AG595" s="192"/>
      <c r="AH595" s="192"/>
      <c r="AM595" s="192"/>
      <c r="AN595" s="192">
        <f>SUM(AN594)</f>
        <v>482448</v>
      </c>
      <c r="AQ595" s="463">
        <f>V595</f>
        <v>45891</v>
      </c>
      <c r="AR595" s="463"/>
      <c r="AS595" s="463"/>
      <c r="AT595" s="463"/>
      <c r="AU595" s="79">
        <v>1068790511</v>
      </c>
      <c r="AV595" s="79">
        <v>2</v>
      </c>
      <c r="AW595" s="463">
        <v>45898</v>
      </c>
      <c r="AX595" s="194"/>
      <c r="AY595" s="192"/>
      <c r="AZ595" s="150"/>
      <c r="BA595" s="150"/>
      <c r="BB595" s="150"/>
      <c r="BC595" s="150"/>
      <c r="BI595" s="151"/>
    </row>
    <row r="596" s="76" customFormat="1" ht="14.4" outlineLevel="1" spans="1:69">
      <c r="A596" s="76" t="s">
        <v>338</v>
      </c>
      <c r="B596" s="76" t="s">
        <v>456</v>
      </c>
      <c r="C596" s="387">
        <v>45873</v>
      </c>
      <c r="D596" s="76" t="s">
        <v>686</v>
      </c>
      <c r="E596" s="76" t="s">
        <v>351</v>
      </c>
      <c r="G596" s="479">
        <f>540328</f>
        <v>540328</v>
      </c>
      <c r="H596" s="76" t="s">
        <v>93</v>
      </c>
      <c r="J596" s="264">
        <v>2320000</v>
      </c>
      <c r="K596" s="129">
        <v>0.2329</v>
      </c>
      <c r="L596" s="129">
        <f>J596*K596</f>
        <v>540328</v>
      </c>
      <c r="M596" s="129"/>
      <c r="N596" s="76">
        <v>540328</v>
      </c>
      <c r="P596" s="91"/>
      <c r="Q596" s="91"/>
      <c r="R596" s="76" t="s">
        <v>88</v>
      </c>
      <c r="S596" s="76" t="s">
        <v>687</v>
      </c>
      <c r="T596" s="387">
        <v>45873</v>
      </c>
      <c r="U596" s="387">
        <f>T596+15</f>
        <v>45888</v>
      </c>
      <c r="V596" s="387">
        <v>45900</v>
      </c>
      <c r="X596" s="133" t="s">
        <v>355</v>
      </c>
      <c r="Y596" s="76">
        <v>2283560</v>
      </c>
      <c r="Z596" s="114">
        <v>0.25</v>
      </c>
      <c r="AA596" s="114">
        <f>Y596*Z596</f>
        <v>570890</v>
      </c>
      <c r="AB596" s="114">
        <f>AA596</f>
        <v>570890</v>
      </c>
      <c r="AC596" s="114"/>
      <c r="AD596" s="140"/>
      <c r="AE596" s="114"/>
      <c r="AF596" s="114"/>
      <c r="AG596" s="114"/>
      <c r="AH596" s="114"/>
      <c r="AK596" s="76">
        <v>2283560</v>
      </c>
      <c r="AL596" s="76">
        <v>0.2329</v>
      </c>
      <c r="AM596" s="114">
        <f>AL596*AK596</f>
        <v>531841.124</v>
      </c>
      <c r="AN596" s="114">
        <v>540328</v>
      </c>
      <c r="AQ596" s="387"/>
      <c r="AR596" s="387"/>
      <c r="AS596" s="387"/>
      <c r="AT596" s="387"/>
      <c r="AW596" s="387"/>
      <c r="AX596" s="76">
        <v>2283560</v>
      </c>
      <c r="AY596" s="76">
        <v>0.2329</v>
      </c>
      <c r="AZ596" s="114">
        <f>AY596*AX596</f>
        <v>531841.124</v>
      </c>
      <c r="BA596" s="127"/>
      <c r="BB596" s="127"/>
      <c r="BC596" s="127"/>
      <c r="BI596" s="75"/>
      <c r="BJ596" s="91"/>
      <c r="BL596" s="76" t="str">
        <f>D596</f>
        <v>TJTW-82</v>
      </c>
      <c r="BM596" s="76" t="str">
        <f>A596</f>
        <v>KLM</v>
      </c>
      <c r="BO596" s="76" t="str">
        <f>E596</f>
        <v>EOE.99.8mm 0.21 #401</v>
      </c>
      <c r="BP596" s="129">
        <f>J596</f>
        <v>2320000</v>
      </c>
      <c r="BQ596" s="387">
        <f>U596</f>
        <v>45888</v>
      </c>
    </row>
    <row r="597" s="79" customFormat="1" ht="14.4" spans="1:69">
      <c r="A597" s="79" t="s">
        <v>338</v>
      </c>
      <c r="B597" s="79" t="s">
        <v>456</v>
      </c>
      <c r="C597" s="463">
        <v>45873</v>
      </c>
      <c r="D597" s="79" t="str">
        <f>D596</f>
        <v>TJTW-82</v>
      </c>
      <c r="E597" s="79" t="str">
        <f>E596</f>
        <v>EOE.99.8mm 0.21 #401</v>
      </c>
      <c r="G597" s="486"/>
      <c r="H597" s="79" t="s">
        <v>93</v>
      </c>
      <c r="J597" s="579">
        <f>J596</f>
        <v>2320000</v>
      </c>
      <c r="K597" s="194"/>
      <c r="L597" s="194">
        <f>L596</f>
        <v>540328</v>
      </c>
      <c r="M597" s="194"/>
      <c r="N597" s="79">
        <f>SUM(N596)</f>
        <v>540328</v>
      </c>
      <c r="T597" s="463">
        <v>45873</v>
      </c>
      <c r="U597" s="463">
        <f>T597+15</f>
        <v>45888</v>
      </c>
      <c r="V597" s="463">
        <v>45900</v>
      </c>
      <c r="X597" s="193" t="s">
        <v>355</v>
      </c>
      <c r="Z597" s="192"/>
      <c r="AA597" s="192"/>
      <c r="AB597" s="192"/>
      <c r="AC597" s="192"/>
      <c r="AD597" s="196"/>
      <c r="AE597" s="192"/>
      <c r="AF597" s="192"/>
      <c r="AG597" s="192"/>
      <c r="AH597" s="192"/>
      <c r="AM597" s="192"/>
      <c r="AN597" s="192">
        <f>SUM(AN596)</f>
        <v>540328</v>
      </c>
      <c r="AQ597" s="463">
        <f>V597</f>
        <v>45900</v>
      </c>
      <c r="AR597" s="463"/>
      <c r="AS597" s="463"/>
      <c r="AT597" s="463"/>
      <c r="AU597" s="79">
        <v>1068809099</v>
      </c>
      <c r="AV597" s="79">
        <v>2</v>
      </c>
      <c r="AW597" s="463">
        <v>45914</v>
      </c>
      <c r="AX597" s="194"/>
      <c r="AY597" s="192"/>
      <c r="AZ597" s="150"/>
      <c r="BA597" s="150"/>
      <c r="BB597" s="150"/>
      <c r="BC597" s="150"/>
      <c r="BI597" s="151"/>
    </row>
    <row r="598" s="76" customFormat="1" ht="14.4" spans="1:69">
      <c r="A598" s="76" t="s">
        <v>401</v>
      </c>
      <c r="B598" s="76" t="s">
        <v>440</v>
      </c>
      <c r="C598" s="387">
        <v>45868</v>
      </c>
      <c r="D598" s="76" t="s">
        <v>688</v>
      </c>
      <c r="E598" s="76" t="s">
        <v>689</v>
      </c>
      <c r="G598" s="479"/>
      <c r="H598" s="76" t="s">
        <v>401</v>
      </c>
      <c r="J598" s="129">
        <v>27</v>
      </c>
      <c r="K598" s="129">
        <v>8350</v>
      </c>
      <c r="L598" s="129">
        <f>J598*K598</f>
        <v>225450</v>
      </c>
      <c r="M598" s="129"/>
      <c r="N598" s="114">
        <v>227671.1</v>
      </c>
      <c r="P598" s="91"/>
      <c r="Q598" s="91"/>
      <c r="R598" s="76" t="s">
        <v>88</v>
      </c>
      <c r="S598" s="76" t="s">
        <v>690</v>
      </c>
      <c r="T598" s="387">
        <v>45868</v>
      </c>
      <c r="U598" s="387">
        <f>T598+60</f>
        <v>45928</v>
      </c>
      <c r="V598" s="387"/>
      <c r="X598" s="133" t="s">
        <v>355</v>
      </c>
      <c r="Y598" s="76">
        <v>27.266</v>
      </c>
      <c r="Z598" s="114">
        <v>7700</v>
      </c>
      <c r="AA598" s="114">
        <f>Y598*Z598</f>
        <v>209948.2</v>
      </c>
      <c r="AB598" s="114"/>
      <c r="AC598" s="114"/>
      <c r="AD598" s="140"/>
      <c r="AE598" s="114"/>
      <c r="AF598" s="114"/>
      <c r="AG598" s="114"/>
      <c r="AH598" s="114"/>
      <c r="AI598" s="91"/>
      <c r="AK598" s="76">
        <v>27.266</v>
      </c>
      <c r="AL598" s="76">
        <v>8350</v>
      </c>
      <c r="AM598" s="114">
        <f>AK598*AL598</f>
        <v>227671.1</v>
      </c>
      <c r="AN598" s="114">
        <v>227671.1</v>
      </c>
      <c r="AO598" s="76">
        <f>AM598-AN598</f>
        <v>0</v>
      </c>
      <c r="AP598" s="91"/>
      <c r="AQ598" s="387"/>
      <c r="AR598" s="387"/>
      <c r="AS598" s="387"/>
      <c r="AT598" s="387"/>
      <c r="AW598" s="387"/>
      <c r="AX598" s="76">
        <v>27.266</v>
      </c>
      <c r="AY598" s="76">
        <v>8350</v>
      </c>
      <c r="AZ598" s="114">
        <f>AX598*AY598</f>
        <v>227671.1</v>
      </c>
      <c r="BA598" s="127"/>
      <c r="BB598" s="127"/>
      <c r="BC598" s="127"/>
      <c r="BI598" s="75"/>
      <c r="BJ598" s="91"/>
      <c r="BL598" s="76" t="str">
        <f>D598</f>
        <v>PT-5</v>
      </c>
      <c r="BM598" s="76" t="str">
        <f>A598</f>
        <v>PARTNER</v>
      </c>
      <c r="BO598" s="76" t="str">
        <f>E598</f>
        <v>0.18*800*924 Т5（TH435）2.0/2.0</v>
      </c>
      <c r="BP598" s="129">
        <f>J598</f>
        <v>27</v>
      </c>
      <c r="BQ598" s="387">
        <f>U598</f>
        <v>45928</v>
      </c>
    </row>
    <row r="599" s="79" customFormat="1" ht="14.4" spans="1:69">
      <c r="A599" s="79" t="s">
        <v>401</v>
      </c>
      <c r="B599" s="79" t="s">
        <v>440</v>
      </c>
      <c r="C599" s="463">
        <v>45868</v>
      </c>
      <c r="D599" s="79" t="s">
        <v>688</v>
      </c>
      <c r="E599" s="79" t="str">
        <f>E598</f>
        <v>0.18*800*924 Т5（TH435）2.0/2.0</v>
      </c>
      <c r="G599" s="486"/>
      <c r="H599" s="79" t="str">
        <f>H598</f>
        <v>PARTNER</v>
      </c>
      <c r="J599" s="194">
        <f>J598</f>
        <v>27</v>
      </c>
      <c r="K599" s="194"/>
      <c r="L599" s="194">
        <f>L598</f>
        <v>225450</v>
      </c>
      <c r="M599" s="194"/>
      <c r="N599" s="192">
        <f>SUM(N598)</f>
        <v>227671.1</v>
      </c>
      <c r="T599" s="463">
        <f>T598</f>
        <v>45868</v>
      </c>
      <c r="U599" s="463">
        <f>U598</f>
        <v>45928</v>
      </c>
      <c r="V599" s="463" t="s">
        <v>436</v>
      </c>
      <c r="X599" s="193" t="s">
        <v>355</v>
      </c>
      <c r="Y599" s="79">
        <f>Y598</f>
        <v>27.266</v>
      </c>
      <c r="Z599" s="192"/>
      <c r="AA599" s="192">
        <f>AA598</f>
        <v>209948.2</v>
      </c>
      <c r="AB599" s="192">
        <v>209948.2</v>
      </c>
      <c r="AC599" s="192">
        <f>AA599-AB599</f>
        <v>0</v>
      </c>
      <c r="AD599" s="196"/>
      <c r="AE599" s="192"/>
      <c r="AF599" s="192"/>
      <c r="AG599" s="192"/>
      <c r="AH599" s="192"/>
      <c r="AK599" s="79">
        <f>AK598</f>
        <v>27.266</v>
      </c>
      <c r="AM599" s="192">
        <f>AM598</f>
        <v>227671.1</v>
      </c>
      <c r="AN599" s="192">
        <f>SUM(AN598)</f>
        <v>227671.1</v>
      </c>
      <c r="AQ599" s="463" t="str">
        <f>V599</f>
        <v>ready</v>
      </c>
      <c r="AR599" s="463"/>
      <c r="AS599" s="463"/>
      <c r="AT599" s="463"/>
      <c r="AU599" s="79" t="s">
        <v>691</v>
      </c>
      <c r="AV599" s="79">
        <v>1</v>
      </c>
      <c r="AW599" s="463">
        <v>45930</v>
      </c>
      <c r="AX599" s="194"/>
      <c r="AY599" s="192"/>
      <c r="AZ599" s="150"/>
      <c r="BA599" s="150"/>
      <c r="BB599" s="150"/>
      <c r="BC599" s="150"/>
      <c r="BI599" s="151"/>
    </row>
    <row r="600" s="76" customFormat="1" ht="14.4" spans="1:69">
      <c r="A600" s="76" t="s">
        <v>401</v>
      </c>
      <c r="B600" s="76" t="s">
        <v>440</v>
      </c>
      <c r="C600" s="387">
        <v>45883</v>
      </c>
      <c r="D600" s="76" t="s">
        <v>692</v>
      </c>
      <c r="E600" s="76" t="s">
        <v>689</v>
      </c>
      <c r="G600" s="479"/>
      <c r="H600" s="76" t="s">
        <v>401</v>
      </c>
      <c r="J600" s="129">
        <v>81</v>
      </c>
      <c r="K600" s="129">
        <v>8300</v>
      </c>
      <c r="L600" s="129">
        <f>J600*K600</f>
        <v>672300</v>
      </c>
      <c r="M600" s="129"/>
      <c r="N600" s="253">
        <f>22634+203707</f>
        <v>226341</v>
      </c>
      <c r="O600" s="76">
        <f>L600-N600</f>
        <v>445959</v>
      </c>
      <c r="P600" s="91"/>
      <c r="Q600" s="91"/>
      <c r="R600" s="76" t="s">
        <v>88</v>
      </c>
      <c r="S600" s="76" t="s">
        <v>693</v>
      </c>
      <c r="T600" s="387">
        <v>45883</v>
      </c>
      <c r="U600" s="716">
        <f>T600+60</f>
        <v>45943</v>
      </c>
      <c r="V600" s="387">
        <v>45945</v>
      </c>
      <c r="X600" s="133" t="s">
        <v>355</v>
      </c>
      <c r="Y600" s="129">
        <v>81.519</v>
      </c>
      <c r="Z600" s="114">
        <v>6000</v>
      </c>
      <c r="AA600" s="114">
        <f>Y600*Z600</f>
        <v>489114</v>
      </c>
      <c r="AB600" s="114"/>
      <c r="AC600" s="114"/>
      <c r="AD600" s="140"/>
      <c r="AE600" s="114"/>
      <c r="AF600" s="114"/>
      <c r="AG600" s="114"/>
      <c r="AH600" s="114"/>
      <c r="AI600" s="91"/>
      <c r="AK600" s="76">
        <v>81.519</v>
      </c>
      <c r="AM600" s="114"/>
      <c r="AN600" s="253">
        <f>22634+203707</f>
        <v>226341</v>
      </c>
      <c r="AP600" s="91"/>
      <c r="AQ600" s="387" t="s">
        <v>436</v>
      </c>
      <c r="AR600" s="387"/>
      <c r="AS600" s="387"/>
      <c r="AT600" s="387"/>
      <c r="AU600" s="76" t="s">
        <v>694</v>
      </c>
      <c r="AV600" s="76">
        <v>1</v>
      </c>
      <c r="AW600" s="387">
        <v>45980</v>
      </c>
      <c r="AX600" s="129">
        <v>27.27</v>
      </c>
      <c r="AY600" s="114"/>
      <c r="AZ600" s="127"/>
      <c r="BA600" s="127"/>
      <c r="BB600" s="127"/>
      <c r="BC600" s="127"/>
      <c r="BI600" s="75"/>
      <c r="BJ600" s="91"/>
      <c r="BL600" s="76" t="str">
        <f>D600</f>
        <v>PT-6</v>
      </c>
      <c r="BM600" s="76" t="str">
        <f>A600</f>
        <v>PARTNER</v>
      </c>
      <c r="BO600" s="76" t="str">
        <f>E600</f>
        <v>0.18*800*924 Т5（TH435）2.0/2.0</v>
      </c>
      <c r="BP600" s="129">
        <f>J600</f>
        <v>81</v>
      </c>
      <c r="BQ600" s="387">
        <f>U600</f>
        <v>45943</v>
      </c>
    </row>
    <row r="601" s="76" customFormat="1" ht="14.4" spans="1:69">
      <c r="A601" s="76" t="s">
        <v>401</v>
      </c>
      <c r="C601" s="387"/>
      <c r="D601" s="76" t="s">
        <v>692</v>
      </c>
      <c r="E601" s="76" t="s">
        <v>695</v>
      </c>
      <c r="G601" s="479"/>
      <c r="H601" s="76" t="s">
        <v>401</v>
      </c>
      <c r="J601" s="129">
        <v>108</v>
      </c>
      <c r="K601" s="129">
        <v>8300</v>
      </c>
      <c r="L601" s="129">
        <f>J601*K601</f>
        <v>896400</v>
      </c>
      <c r="M601" s="129"/>
      <c r="N601" s="114">
        <v>732535.98</v>
      </c>
      <c r="O601" s="76">
        <f>L601-N601</f>
        <v>163864.02</v>
      </c>
      <c r="P601" s="91"/>
      <c r="Q601" s="91"/>
      <c r="R601" s="76" t="s">
        <v>88</v>
      </c>
      <c r="S601" s="76" t="s">
        <v>693</v>
      </c>
      <c r="T601" s="387">
        <v>45883</v>
      </c>
      <c r="U601" s="716">
        <f>T601+60</f>
        <v>45943</v>
      </c>
      <c r="V601" s="387"/>
      <c r="X601" s="133"/>
      <c r="Y601" s="129">
        <v>108</v>
      </c>
      <c r="Z601" s="114">
        <v>6000</v>
      </c>
      <c r="AA601" s="114">
        <f>Y601*Z601</f>
        <v>648000</v>
      </c>
      <c r="AB601" s="114"/>
      <c r="AC601" s="114"/>
      <c r="AD601" s="140"/>
      <c r="AE601" s="114"/>
      <c r="AF601" s="114"/>
      <c r="AG601" s="114"/>
      <c r="AH601" s="114"/>
      <c r="AI601" s="91"/>
      <c r="AM601" s="114"/>
      <c r="AN601" s="114">
        <v>732535.98</v>
      </c>
      <c r="AP601" s="91"/>
      <c r="AQ601" s="387"/>
      <c r="AR601" s="387"/>
      <c r="AS601" s="387"/>
      <c r="AT601" s="387"/>
      <c r="AW601" s="387"/>
      <c r="AX601" s="129"/>
      <c r="AY601" s="114"/>
      <c r="AZ601" s="127"/>
      <c r="BA601" s="127"/>
      <c r="BB601" s="127"/>
      <c r="BC601" s="127"/>
      <c r="BI601" s="75"/>
      <c r="BJ601" s="91"/>
      <c r="BL601" s="76" t="str">
        <f>D601</f>
        <v>PT-6</v>
      </c>
      <c r="BM601" s="76" t="str">
        <f>A601</f>
        <v>PARTNER</v>
      </c>
      <c r="BO601" s="76" t="str">
        <f>E601</f>
        <v>0.18*800*944 Т5（TH435）2.0/2.0</v>
      </c>
      <c r="BP601" s="129">
        <f>J601</f>
        <v>108</v>
      </c>
      <c r="BQ601" s="387">
        <f>U601</f>
        <v>45943</v>
      </c>
    </row>
    <row r="602" s="76" customFormat="1" ht="14.4" spans="1:69">
      <c r="A602" s="76" t="s">
        <v>401</v>
      </c>
      <c r="C602" s="387"/>
      <c r="D602" s="76" t="s">
        <v>692</v>
      </c>
      <c r="E602" s="76" t="s">
        <v>696</v>
      </c>
      <c r="G602" s="479"/>
      <c r="H602" s="76" t="s">
        <v>401</v>
      </c>
      <c r="J602" s="129">
        <v>108</v>
      </c>
      <c r="K602" s="129">
        <v>8300</v>
      </c>
      <c r="L602" s="129">
        <f>J602*K602</f>
        <v>896400</v>
      </c>
      <c r="M602" s="129"/>
      <c r="O602" s="76">
        <f>L602-N602</f>
        <v>896400</v>
      </c>
      <c r="P602" s="91"/>
      <c r="Q602" s="91"/>
      <c r="R602" s="76" t="s">
        <v>88</v>
      </c>
      <c r="S602" s="76" t="s">
        <v>693</v>
      </c>
      <c r="T602" s="387">
        <v>45883</v>
      </c>
      <c r="U602" s="716">
        <f>T602+60</f>
        <v>45943</v>
      </c>
      <c r="V602" s="387"/>
      <c r="X602" s="133"/>
      <c r="Y602" s="129">
        <v>108</v>
      </c>
      <c r="Z602" s="114">
        <v>6000</v>
      </c>
      <c r="AA602" s="114">
        <f>Y602*Z602</f>
        <v>648000</v>
      </c>
      <c r="AB602" s="114"/>
      <c r="AC602" s="114"/>
      <c r="AD602" s="140"/>
      <c r="AE602" s="114"/>
      <c r="AF602" s="114"/>
      <c r="AG602" s="114"/>
      <c r="AH602" s="114"/>
      <c r="AI602" s="91"/>
      <c r="AM602" s="114"/>
      <c r="AN602" s="114"/>
      <c r="AP602" s="91"/>
      <c r="AQ602" s="387"/>
      <c r="AR602" s="387"/>
      <c r="AS602" s="387"/>
      <c r="AT602" s="387"/>
      <c r="AW602" s="387"/>
      <c r="AX602" s="129"/>
      <c r="AY602" s="114"/>
      <c r="AZ602" s="127"/>
      <c r="BA602" s="127"/>
      <c r="BB602" s="127"/>
      <c r="BC602" s="127"/>
      <c r="BI602" s="75"/>
      <c r="BJ602" s="91"/>
      <c r="BL602" s="76" t="str">
        <f>D602</f>
        <v>PT-6</v>
      </c>
      <c r="BM602" s="76" t="str">
        <f>A602</f>
        <v>PARTNER</v>
      </c>
      <c r="BO602" s="76" t="str">
        <f>E602</f>
        <v>0.18*860*944 Т5（TH435）2.0/2.0</v>
      </c>
      <c r="BP602" s="129">
        <f>J602</f>
        <v>108</v>
      </c>
      <c r="BQ602" s="387">
        <f>U602</f>
        <v>45943</v>
      </c>
    </row>
    <row r="603" s="79" customFormat="1" ht="14.4" spans="1:69">
      <c r="A603" s="79" t="s">
        <v>401</v>
      </c>
      <c r="B603" s="79" t="s">
        <v>440</v>
      </c>
      <c r="C603" s="463">
        <v>45871</v>
      </c>
      <c r="D603" s="79" t="s">
        <v>692</v>
      </c>
      <c r="E603" s="79" t="str">
        <f>E600</f>
        <v>0.18*800*924 Т5（TH435）2.0/2.0</v>
      </c>
      <c r="G603" s="486"/>
      <c r="H603" s="79" t="str">
        <f>H600</f>
        <v>PARTNER</v>
      </c>
      <c r="J603" s="194">
        <f>SUM(J600:J602)</f>
        <v>297</v>
      </c>
      <c r="K603" s="194"/>
      <c r="L603" s="194">
        <f>SUM(L600:L602)</f>
        <v>2465100</v>
      </c>
      <c r="M603" s="194"/>
      <c r="N603" s="79">
        <f>SUM(N600:N602)</f>
        <v>958876.98</v>
      </c>
      <c r="O603" s="79">
        <f>SUM(O600:O602)</f>
        <v>1506223.02</v>
      </c>
      <c r="R603" s="79" t="s">
        <v>88</v>
      </c>
      <c r="T603" s="463">
        <f>T600</f>
        <v>45883</v>
      </c>
      <c r="U603" s="719">
        <f>T603+60</f>
        <v>45943</v>
      </c>
      <c r="V603" s="463">
        <v>45933</v>
      </c>
      <c r="X603" s="193"/>
      <c r="Y603" s="194">
        <f>SUM(Y600:Y602)</f>
        <v>297.519</v>
      </c>
      <c r="Z603" s="192"/>
      <c r="AA603" s="194">
        <f>SUM(AA600:AA602)</f>
        <v>1785114</v>
      </c>
      <c r="AB603" s="192"/>
      <c r="AC603" s="192"/>
      <c r="AD603" s="196"/>
      <c r="AE603" s="192"/>
      <c r="AF603" s="192"/>
      <c r="AG603" s="192"/>
      <c r="AH603" s="192"/>
      <c r="AM603" s="192"/>
      <c r="AN603" s="192"/>
      <c r="AQ603" s="463">
        <f>V603</f>
        <v>45933</v>
      </c>
      <c r="AR603" s="463"/>
      <c r="AS603" s="463"/>
      <c r="AT603" s="463"/>
      <c r="AW603" s="463"/>
      <c r="AX603" s="194"/>
      <c r="AY603" s="192"/>
      <c r="AZ603" s="150"/>
      <c r="BA603" s="150"/>
      <c r="BB603" s="150"/>
      <c r="BC603" s="150"/>
      <c r="BI603" s="151"/>
    </row>
    <row r="604" s="76" customFormat="1" ht="14.4" spans="1:69">
      <c r="A604" s="76" t="s">
        <v>697</v>
      </c>
      <c r="B604" s="76" t="s">
        <v>578</v>
      </c>
      <c r="C604" s="387">
        <v>45888</v>
      </c>
      <c r="D604" s="76" t="s">
        <v>698</v>
      </c>
      <c r="E604" s="76" t="s">
        <v>699</v>
      </c>
      <c r="G604" s="479">
        <f>82189.8+286496.58+2831.36</f>
        <v>371517.74</v>
      </c>
      <c r="H604" s="76" t="s">
        <v>93</v>
      </c>
      <c r="J604" s="129">
        <v>15</v>
      </c>
      <c r="K604" s="129">
        <f>Z604+340</f>
        <v>5530</v>
      </c>
      <c r="L604" s="129">
        <f>J604*K604</f>
        <v>82950</v>
      </c>
      <c r="M604" s="129">
        <f>L604*0.3</f>
        <v>24885</v>
      </c>
      <c r="N604" s="76">
        <v>286496.58</v>
      </c>
      <c r="O604" s="199">
        <f>L604-N604</f>
        <v>-203546.58</v>
      </c>
      <c r="P604" s="91"/>
      <c r="Q604" s="91"/>
      <c r="R604" s="76" t="s">
        <v>66</v>
      </c>
      <c r="S604" s="76" t="s">
        <v>700</v>
      </c>
      <c r="T604" s="387">
        <v>45891</v>
      </c>
      <c r="U604" s="387">
        <f>C604+60</f>
        <v>45948</v>
      </c>
      <c r="V604" s="387"/>
      <c r="X604" s="133" t="s">
        <v>90</v>
      </c>
      <c r="Y604" s="76">
        <v>20.679</v>
      </c>
      <c r="Z604" s="114">
        <v>5190</v>
      </c>
      <c r="AA604" s="114">
        <f>Y604*Z604</f>
        <v>107324.01</v>
      </c>
      <c r="AB604" s="114">
        <v>93420</v>
      </c>
      <c r="AC604" s="114">
        <f>AA604-AB604</f>
        <v>13904.01</v>
      </c>
      <c r="AD604" s="140"/>
      <c r="AE604" s="114"/>
      <c r="AF604" s="114"/>
      <c r="AG604" s="114"/>
      <c r="AH604" s="114"/>
      <c r="AI604" s="91"/>
      <c r="AK604" s="76">
        <v>20.46</v>
      </c>
      <c r="AM604" s="114"/>
      <c r="AN604" s="114">
        <v>286496.58</v>
      </c>
      <c r="AP604" s="91"/>
      <c r="AQ604" s="387" t="s">
        <v>548</v>
      </c>
      <c r="AR604" s="387"/>
      <c r="AS604" s="387" t="s">
        <v>701</v>
      </c>
      <c r="AT604" s="387"/>
      <c r="AU604" s="76" t="s">
        <v>702</v>
      </c>
      <c r="AV604" s="76">
        <v>3</v>
      </c>
      <c r="AW604" s="387"/>
      <c r="AX604" s="129"/>
      <c r="AY604" s="114"/>
      <c r="AZ604" s="127"/>
      <c r="BA604" s="127"/>
      <c r="BB604" s="127"/>
      <c r="BC604" s="127"/>
      <c r="BI604" s="75"/>
      <c r="BJ604" s="91"/>
      <c r="BL604" s="76" t="str">
        <f>D604</f>
        <v>TJTW-83</v>
      </c>
      <c r="BM604" s="76" t="str">
        <f>A604</f>
        <v>INT</v>
      </c>
      <c r="BO604" s="76" t="str">
        <f>E604</f>
        <v>0.30*790*855 2.0/2.0 T3 BA</v>
      </c>
      <c r="BP604" s="129">
        <f>J604</f>
        <v>15</v>
      </c>
      <c r="BQ604" s="387">
        <f>U604</f>
        <v>45948</v>
      </c>
    </row>
    <row r="605" s="76" customFormat="1" ht="14.4" spans="1:69">
      <c r="A605" s="76" t="s">
        <v>697</v>
      </c>
      <c r="B605" s="76" t="s">
        <v>578</v>
      </c>
      <c r="C605" s="387">
        <v>45888</v>
      </c>
      <c r="D605" s="76" t="s">
        <v>698</v>
      </c>
      <c r="E605" s="76" t="s">
        <v>703</v>
      </c>
      <c r="G605" s="479"/>
      <c r="H605" s="76" t="s">
        <v>93</v>
      </c>
      <c r="J605" s="129">
        <v>15</v>
      </c>
      <c r="K605" s="129">
        <f>Z605+340</f>
        <v>5530</v>
      </c>
      <c r="L605" s="129">
        <f>J605*K605</f>
        <v>82950</v>
      </c>
      <c r="M605" s="129">
        <f>L605*0.3</f>
        <v>24885</v>
      </c>
      <c r="N605" s="76">
        <v>2831.36</v>
      </c>
      <c r="O605" s="199">
        <f>L605-N605</f>
        <v>80118.64</v>
      </c>
      <c r="P605" s="91"/>
      <c r="Q605" s="91"/>
      <c r="R605" s="76" t="s">
        <v>66</v>
      </c>
      <c r="S605" s="76" t="s">
        <v>700</v>
      </c>
      <c r="T605" s="387">
        <v>45891</v>
      </c>
      <c r="U605" s="387">
        <f>C605+60</f>
        <v>45948</v>
      </c>
      <c r="V605" s="387"/>
      <c r="X605" s="133" t="s">
        <v>90</v>
      </c>
      <c r="Y605" s="76">
        <v>20.51</v>
      </c>
      <c r="Z605" s="114">
        <v>5190</v>
      </c>
      <c r="AA605" s="114">
        <f>Y605*Z605</f>
        <v>106446.9</v>
      </c>
      <c r="AB605" s="114">
        <v>293354.37</v>
      </c>
      <c r="AC605" s="114">
        <f>AA605-AB605</f>
        <v>-186907.47</v>
      </c>
      <c r="AD605" s="140"/>
      <c r="AE605" s="114"/>
      <c r="AF605" s="114"/>
      <c r="AG605" s="114"/>
      <c r="AH605" s="114"/>
      <c r="AK605" s="76">
        <v>20.157</v>
      </c>
      <c r="AM605" s="114"/>
      <c r="AN605" s="114">
        <v>2831.36</v>
      </c>
      <c r="AQ605" s="387"/>
      <c r="AR605" s="387"/>
      <c r="AS605" s="387"/>
      <c r="AT605" s="387"/>
      <c r="AW605" s="387"/>
      <c r="AX605" s="129"/>
      <c r="AY605" s="114"/>
      <c r="AZ605" s="127"/>
      <c r="BA605" s="127"/>
      <c r="BB605" s="127"/>
      <c r="BC605" s="127"/>
      <c r="BI605" s="75"/>
      <c r="BJ605" s="91"/>
      <c r="BL605" s="76" t="str">
        <f>D605</f>
        <v>TJTW-83</v>
      </c>
      <c r="BM605" s="76" t="str">
        <f>A605</f>
        <v>INT</v>
      </c>
      <c r="BO605" s="76" t="str">
        <f>E605</f>
        <v>0.30*770*850 2.0/2.0 T3 BA</v>
      </c>
      <c r="BP605" s="129">
        <f>J605</f>
        <v>15</v>
      </c>
      <c r="BQ605" s="387">
        <f>U605</f>
        <v>45948</v>
      </c>
    </row>
    <row r="606" s="76" customFormat="1" ht="14.4" spans="1:69">
      <c r="A606" s="76" t="s">
        <v>697</v>
      </c>
      <c r="B606" s="76" t="s">
        <v>578</v>
      </c>
      <c r="C606" s="387">
        <v>45888</v>
      </c>
      <c r="D606" s="76" t="s">
        <v>698</v>
      </c>
      <c r="E606" s="76" t="s">
        <v>704</v>
      </c>
      <c r="G606" s="479"/>
      <c r="H606" s="76" t="s">
        <v>93</v>
      </c>
      <c r="J606" s="129">
        <v>15</v>
      </c>
      <c r="K606" s="129">
        <f>Z606+340</f>
        <v>5530</v>
      </c>
      <c r="L606" s="129">
        <f>J606*K606</f>
        <v>82950</v>
      </c>
      <c r="M606" s="129">
        <f>L606*0.3</f>
        <v>24885</v>
      </c>
      <c r="O606" s="199">
        <f>L606-N606</f>
        <v>82950</v>
      </c>
      <c r="P606" s="91"/>
      <c r="Q606" s="91"/>
      <c r="R606" s="76" t="s">
        <v>66</v>
      </c>
      <c r="S606" s="76" t="s">
        <v>700</v>
      </c>
      <c r="T606" s="387">
        <v>45891</v>
      </c>
      <c r="U606" s="387">
        <f>C606+60</f>
        <v>45948</v>
      </c>
      <c r="V606" s="387"/>
      <c r="X606" s="133" t="s">
        <v>90</v>
      </c>
      <c r="Y606" s="76">
        <v>16.625</v>
      </c>
      <c r="Z606" s="114">
        <v>5190</v>
      </c>
      <c r="AA606" s="114">
        <f>Y606*Z606</f>
        <v>86283.75</v>
      </c>
      <c r="AB606" s="114"/>
      <c r="AC606" s="114">
        <f>AA606-AB606</f>
        <v>86283.75</v>
      </c>
      <c r="AD606" s="140"/>
      <c r="AE606" s="114"/>
      <c r="AF606" s="114"/>
      <c r="AG606" s="114"/>
      <c r="AH606" s="114"/>
      <c r="AK606" s="76">
        <v>16.678</v>
      </c>
      <c r="AM606" s="114"/>
      <c r="AN606" s="114"/>
      <c r="AQ606" s="387"/>
      <c r="AR606" s="387"/>
      <c r="AS606" s="387"/>
      <c r="AT606" s="387"/>
      <c r="AW606" s="387"/>
      <c r="AX606" s="129"/>
      <c r="AY606" s="114"/>
      <c r="AZ606" s="127"/>
      <c r="BA606" s="127"/>
      <c r="BB606" s="127"/>
      <c r="BC606" s="127"/>
      <c r="BI606" s="75"/>
      <c r="BJ606" s="91"/>
      <c r="BL606" s="76" t="str">
        <f>D606</f>
        <v>TJTW-83</v>
      </c>
      <c r="BM606" s="76" t="str">
        <f>A606</f>
        <v>INT</v>
      </c>
      <c r="BO606" s="76" t="str">
        <f>E606</f>
        <v>0.30*1000*665 2.0/2.0 T3 BA</v>
      </c>
      <c r="BP606" s="129">
        <f>J606</f>
        <v>15</v>
      </c>
      <c r="BQ606" s="387">
        <f>U606</f>
        <v>45948</v>
      </c>
    </row>
    <row r="607" s="76" customFormat="1" ht="14.4" spans="1:69">
      <c r="A607" s="76" t="s">
        <v>697</v>
      </c>
      <c r="B607" s="76" t="s">
        <v>578</v>
      </c>
      <c r="C607" s="387">
        <v>45888</v>
      </c>
      <c r="D607" s="76" t="s">
        <v>698</v>
      </c>
      <c r="E607" s="76" t="s">
        <v>705</v>
      </c>
      <c r="G607" s="479"/>
      <c r="H607" s="76" t="s">
        <v>93</v>
      </c>
      <c r="J607" s="129">
        <v>15</v>
      </c>
      <c r="K607" s="129">
        <f>Z607+340</f>
        <v>5530</v>
      </c>
      <c r="L607" s="129">
        <f>J607*K607</f>
        <v>82950</v>
      </c>
      <c r="M607" s="129">
        <f>L607*0.3</f>
        <v>24885</v>
      </c>
      <c r="O607" s="199">
        <f>L607-N607</f>
        <v>82950</v>
      </c>
      <c r="P607" s="91"/>
      <c r="Q607" s="91"/>
      <c r="R607" s="76" t="s">
        <v>66</v>
      </c>
      <c r="S607" s="76" t="s">
        <v>700</v>
      </c>
      <c r="T607" s="387">
        <v>45891</v>
      </c>
      <c r="U607" s="387">
        <f>C607+60</f>
        <v>45948</v>
      </c>
      <c r="V607" s="387"/>
      <c r="X607" s="133" t="s">
        <v>90</v>
      </c>
      <c r="Y607" s="76">
        <v>16.709</v>
      </c>
      <c r="Z607" s="114">
        <v>5190</v>
      </c>
      <c r="AA607" s="114">
        <f>Y607*Z607</f>
        <v>86719.71</v>
      </c>
      <c r="AB607" s="114"/>
      <c r="AC607" s="114">
        <f>AA607-AB607</f>
        <v>86719.71</v>
      </c>
      <c r="AD607" s="140"/>
      <c r="AE607" s="114"/>
      <c r="AF607" s="114"/>
      <c r="AG607" s="114"/>
      <c r="AH607" s="114"/>
      <c r="AK607" s="76">
        <v>16.716</v>
      </c>
      <c r="AM607" s="114"/>
      <c r="AN607" s="114"/>
      <c r="AQ607" s="387"/>
      <c r="AR607" s="387"/>
      <c r="AS607" s="387"/>
      <c r="AT607" s="387"/>
      <c r="AW607" s="387"/>
      <c r="AX607" s="129"/>
      <c r="AY607" s="114"/>
      <c r="AZ607" s="127"/>
      <c r="BA607" s="127"/>
      <c r="BB607" s="127"/>
      <c r="BC607" s="127"/>
      <c r="BI607" s="75"/>
      <c r="BJ607" s="91"/>
      <c r="BL607" s="76" t="str">
        <f>D607</f>
        <v>TJTW-83</v>
      </c>
      <c r="BM607" s="76" t="str">
        <f>A607</f>
        <v>INT</v>
      </c>
      <c r="BO607" s="76" t="str">
        <f>E607</f>
        <v>0.30*960*640 2.0/2.0 T3 BA</v>
      </c>
      <c r="BP607" s="129">
        <f>J607</f>
        <v>15</v>
      </c>
      <c r="BQ607" s="387">
        <f>U607</f>
        <v>45948</v>
      </c>
    </row>
    <row r="608" s="79" customFormat="1" ht="14.4" spans="1:69">
      <c r="A608" s="79" t="s">
        <v>697</v>
      </c>
      <c r="B608" s="79" t="s">
        <v>578</v>
      </c>
      <c r="C608" s="463">
        <v>45888</v>
      </c>
      <c r="D608" s="79" t="s">
        <v>698</v>
      </c>
      <c r="G608" s="486"/>
      <c r="H608" s="79" t="s">
        <v>93</v>
      </c>
      <c r="J608" s="194">
        <f>SUM(J604:J607)</f>
        <v>60</v>
      </c>
      <c r="K608" s="194"/>
      <c r="L608" s="194">
        <f>SUM(L604:L607)</f>
        <v>331800</v>
      </c>
      <c r="M608" s="194">
        <f>SUM(M604:M607)</f>
        <v>99540</v>
      </c>
      <c r="N608" s="194">
        <f>SUM(N604:N607)</f>
        <v>289327.94</v>
      </c>
      <c r="O608" s="194">
        <f>SUM(O604:O607)</f>
        <v>42472.06</v>
      </c>
      <c r="T608" s="463">
        <f>T607</f>
        <v>45891</v>
      </c>
      <c r="U608" s="463">
        <f>C608+60</f>
        <v>45948</v>
      </c>
      <c r="V608" s="463">
        <v>45941</v>
      </c>
      <c r="X608" s="193" t="s">
        <v>441</v>
      </c>
      <c r="Y608" s="194">
        <f>SUM(Y604:Y607)</f>
        <v>74.523</v>
      </c>
      <c r="Z608" s="194">
        <f>SUM(Z604:Z607)</f>
        <v>20760</v>
      </c>
      <c r="AA608" s="194">
        <f>SUM(AA604:AA607)</f>
        <v>386774.37</v>
      </c>
      <c r="AB608" s="194">
        <f>SUM(AB604:AB607)</f>
        <v>386774.37</v>
      </c>
      <c r="AC608" s="194">
        <f>SUM(AC604:AC607)</f>
        <v>0</v>
      </c>
      <c r="AD608" s="196"/>
      <c r="AE608" s="192"/>
      <c r="AF608" s="192"/>
      <c r="AG608" s="192"/>
      <c r="AH608" s="192"/>
      <c r="AK608" s="194">
        <f>SUM(AK604:AK607)</f>
        <v>74.011</v>
      </c>
      <c r="AM608" s="192"/>
      <c r="AN608" s="192"/>
      <c r="AQ608" s="463">
        <f>V608</f>
        <v>45941</v>
      </c>
      <c r="AR608" s="463"/>
      <c r="AS608" s="463"/>
      <c r="AT608" s="463"/>
      <c r="AW608" s="463"/>
      <c r="AX608" s="194"/>
      <c r="AY608" s="192"/>
      <c r="AZ608" s="150"/>
      <c r="BA608" s="150"/>
      <c r="BB608" s="150"/>
      <c r="BC608" s="150"/>
      <c r="BI608" s="151"/>
    </row>
    <row r="609" s="76" customFormat="1" customHeight="1" spans="1:69">
      <c r="A609" s="81" t="s">
        <v>706</v>
      </c>
      <c r="B609" s="137" t="s">
        <v>440</v>
      </c>
      <c r="C609" s="387" t="s">
        <v>707</v>
      </c>
      <c r="D609" s="76" t="s">
        <v>708</v>
      </c>
      <c r="E609" s="76" t="s">
        <v>709</v>
      </c>
      <c r="G609" s="479">
        <f>230850+235305+550935+4502.68</f>
        <v>1021592.68</v>
      </c>
      <c r="H609" s="76" t="s">
        <v>93</v>
      </c>
      <c r="J609" s="129">
        <v>40</v>
      </c>
      <c r="K609" s="129">
        <v>5950</v>
      </c>
      <c r="L609" s="129">
        <f>J609*K609</f>
        <v>238000</v>
      </c>
      <c r="M609" s="129">
        <f>L609*0.3</f>
        <v>71400</v>
      </c>
      <c r="N609" s="114">
        <f>230850+72292.5+8032.5+48489.15+38990.35+39672</f>
        <v>438326.5</v>
      </c>
      <c r="O609" s="199">
        <f>L609-N609</f>
        <v>-200326.5</v>
      </c>
      <c r="P609" s="91"/>
      <c r="Q609" s="91"/>
      <c r="R609" s="76" t="s">
        <v>88</v>
      </c>
      <c r="S609" s="76" t="s">
        <v>710</v>
      </c>
      <c r="T609" s="387">
        <v>45883</v>
      </c>
      <c r="U609" s="387">
        <f>T609+60</f>
        <v>45943</v>
      </c>
      <c r="V609" s="387"/>
      <c r="X609" s="133" t="s">
        <v>90</v>
      </c>
      <c r="Y609" s="114">
        <v>40</v>
      </c>
      <c r="Z609" s="114">
        <v>5700</v>
      </c>
      <c r="AA609" s="114">
        <f>Y609*Z609</f>
        <v>228000</v>
      </c>
      <c r="AB609" s="114"/>
      <c r="AC609" s="114">
        <f>AA609-AB609</f>
        <v>228000</v>
      </c>
      <c r="AD609" s="140"/>
      <c r="AE609" s="114"/>
      <c r="AF609" s="114"/>
      <c r="AG609" s="114"/>
      <c r="AH609" s="114"/>
      <c r="AM609" s="114"/>
      <c r="AN609" s="114">
        <f>230850+72292.5+8032.5+48489.15+38990.35+39672</f>
        <v>438326.5</v>
      </c>
      <c r="AQ609" s="387">
        <v>45950</v>
      </c>
      <c r="AR609" s="387"/>
      <c r="AS609" s="387" t="s">
        <v>701</v>
      </c>
      <c r="AT609" s="387"/>
      <c r="AU609" s="76" t="s">
        <v>711</v>
      </c>
      <c r="AV609" s="76">
        <v>1</v>
      </c>
      <c r="AW609" s="387">
        <v>45958</v>
      </c>
      <c r="AX609" s="129"/>
      <c r="AY609" s="114"/>
      <c r="AZ609" s="127"/>
      <c r="BA609" s="127"/>
      <c r="BB609" s="127"/>
      <c r="BC609" s="127"/>
      <c r="BI609" s="75"/>
      <c r="BJ609" s="91"/>
      <c r="BL609" s="76" t="str">
        <f t="shared" ref="BL609:BL614" si="72">D609</f>
        <v>TJTW-85</v>
      </c>
      <c r="BM609" s="76" t="str">
        <f t="shared" ref="BM609:BM614" si="73">A609</f>
        <v>SPC</v>
      </c>
      <c r="BO609" s="76" t="str">
        <f t="shared" ref="BO609:BO614" si="74">E609</f>
        <v>0.20*963*837.5 2.8/2.8 T3BA</v>
      </c>
      <c r="BP609" s="129">
        <f t="shared" ref="BP609:BP614" si="75">J609</f>
        <v>40</v>
      </c>
      <c r="BQ609" s="387">
        <f t="shared" ref="BQ609:BQ614" si="76">U609</f>
        <v>45943</v>
      </c>
    </row>
    <row r="610" s="76" customFormat="1" customHeight="1" spans="1:69">
      <c r="A610" s="81" t="s">
        <v>706</v>
      </c>
      <c r="B610" s="137" t="s">
        <v>440</v>
      </c>
      <c r="C610" s="387" t="s">
        <v>707</v>
      </c>
      <c r="D610" s="76" t="s">
        <v>708</v>
      </c>
      <c r="E610" s="76" t="s">
        <v>712</v>
      </c>
      <c r="G610" s="479"/>
      <c r="H610" s="76" t="s">
        <v>93</v>
      </c>
      <c r="J610" s="129">
        <v>95</v>
      </c>
      <c r="K610" s="129">
        <f>5620+250</f>
        <v>5870</v>
      </c>
      <c r="L610" s="129">
        <f>J610*K610</f>
        <v>557650</v>
      </c>
      <c r="M610" s="129">
        <f>L610*0.3</f>
        <v>167295</v>
      </c>
      <c r="N610" s="114">
        <f>235305+142641+15849</f>
        <v>393795</v>
      </c>
      <c r="O610" s="199">
        <f>L610-N610</f>
        <v>163855</v>
      </c>
      <c r="P610" s="91"/>
      <c r="Q610" s="91"/>
      <c r="R610" s="76" t="s">
        <v>88</v>
      </c>
      <c r="S610" s="76" t="s">
        <v>710</v>
      </c>
      <c r="T610" s="387">
        <v>45883</v>
      </c>
      <c r="U610" s="387">
        <f>T610+60</f>
        <v>45943</v>
      </c>
      <c r="V610" s="387"/>
      <c r="X610" s="133" t="s">
        <v>355</v>
      </c>
      <c r="Y610" s="114">
        <v>95</v>
      </c>
      <c r="Z610" s="114">
        <v>5620</v>
      </c>
      <c r="AA610" s="114">
        <f>Y610*Z610</f>
        <v>533900</v>
      </c>
      <c r="AB610" s="114"/>
      <c r="AC610" s="114">
        <f>AA610-AB610</f>
        <v>533900</v>
      </c>
      <c r="AD610" s="140"/>
      <c r="AE610" s="114"/>
      <c r="AF610" s="114"/>
      <c r="AG610" s="114"/>
      <c r="AH610" s="114"/>
      <c r="AM610" s="114"/>
      <c r="AN610" s="114">
        <f>235305+142641+15849</f>
        <v>393795</v>
      </c>
      <c r="AQ610" s="387">
        <v>45966</v>
      </c>
      <c r="AR610" s="387"/>
      <c r="AS610" s="387"/>
      <c r="AT610" s="387"/>
      <c r="AU610" s="76" t="s">
        <v>713</v>
      </c>
      <c r="AV610" s="76">
        <v>2</v>
      </c>
      <c r="AW610" s="387">
        <v>45979</v>
      </c>
      <c r="AX610" s="129"/>
      <c r="AY610" s="114"/>
      <c r="AZ610" s="127"/>
      <c r="BA610" s="127"/>
      <c r="BB610" s="127"/>
      <c r="BC610" s="127"/>
      <c r="BI610" s="75"/>
      <c r="BJ610" s="91"/>
      <c r="BL610" s="76" t="str">
        <f t="shared" si="72"/>
        <v>TJTW-85</v>
      </c>
      <c r="BM610" s="76" t="str">
        <f t="shared" si="73"/>
        <v>SPC</v>
      </c>
      <c r="BO610" s="76" t="str">
        <f t="shared" si="74"/>
        <v>0.18*870*946 2.0/2.0 T3BA</v>
      </c>
      <c r="BP610" s="129">
        <f t="shared" si="75"/>
        <v>95</v>
      </c>
      <c r="BQ610" s="387">
        <f t="shared" si="76"/>
        <v>45943</v>
      </c>
    </row>
    <row r="611" s="76" customFormat="1" customHeight="1" spans="1:69">
      <c r="A611" s="81" t="s">
        <v>706</v>
      </c>
      <c r="B611" s="137" t="s">
        <v>440</v>
      </c>
      <c r="C611" s="387" t="s">
        <v>707</v>
      </c>
      <c r="D611" s="76" t="s">
        <v>708</v>
      </c>
      <c r="E611" s="76" t="s">
        <v>714</v>
      </c>
      <c r="G611" s="479"/>
      <c r="H611" s="76" t="s">
        <v>93</v>
      </c>
      <c r="J611" s="129">
        <v>190</v>
      </c>
      <c r="K611" s="129">
        <v>5780</v>
      </c>
      <c r="L611" s="129">
        <f>J611*K611</f>
        <v>1098200</v>
      </c>
      <c r="M611" s="129">
        <f>L611*0.3</f>
        <v>329460</v>
      </c>
      <c r="N611" s="114">
        <f>550935+210681+23409+5722.2</f>
        <v>790747.2</v>
      </c>
      <c r="O611" s="199">
        <f>L611-N611</f>
        <v>307452.8</v>
      </c>
      <c r="P611" s="91"/>
      <c r="Q611" s="91"/>
      <c r="R611" s="76" t="s">
        <v>88</v>
      </c>
      <c r="S611" s="76" t="s">
        <v>710</v>
      </c>
      <c r="T611" s="387">
        <v>45883</v>
      </c>
      <c r="U611" s="387">
        <f>T611+60</f>
        <v>45943</v>
      </c>
      <c r="V611" s="387"/>
      <c r="X611" s="133"/>
      <c r="Y611" s="114">
        <v>190</v>
      </c>
      <c r="Z611" s="114">
        <v>5530</v>
      </c>
      <c r="AA611" s="114">
        <f>Y611*Z611</f>
        <v>1050700</v>
      </c>
      <c r="AB611" s="114"/>
      <c r="AC611" s="114">
        <f>AA611-AB611</f>
        <v>1050700</v>
      </c>
      <c r="AD611" s="140"/>
      <c r="AE611" s="114"/>
      <c r="AF611" s="114"/>
      <c r="AG611" s="114"/>
      <c r="AH611" s="114"/>
      <c r="AK611" s="76">
        <v>15.28</v>
      </c>
      <c r="AM611" s="114"/>
      <c r="AN611" s="114">
        <f>550935+210681+23409+5722.2</f>
        <v>790747.2</v>
      </c>
      <c r="AQ611" s="387">
        <v>45992</v>
      </c>
      <c r="AR611" s="387"/>
      <c r="AS611" s="387"/>
      <c r="AT611" s="387"/>
      <c r="AU611" s="189" t="s">
        <v>715</v>
      </c>
      <c r="AV611" s="76">
        <v>4</v>
      </c>
      <c r="AW611" s="387">
        <v>46012</v>
      </c>
      <c r="AX611" s="129"/>
      <c r="AY611" s="114"/>
      <c r="AZ611" s="127"/>
      <c r="BA611" s="127"/>
      <c r="BB611" s="127"/>
      <c r="BC611" s="127"/>
      <c r="BI611" s="75"/>
      <c r="BJ611" s="91"/>
      <c r="BL611" s="76" t="str">
        <f t="shared" si="72"/>
        <v>TJTW-85</v>
      </c>
      <c r="BM611" s="76" t="str">
        <f t="shared" si="73"/>
        <v>SPC</v>
      </c>
      <c r="BO611" s="76" t="str">
        <f t="shared" si="74"/>
        <v>0.20*875*890 2.0/2.0 T3BA</v>
      </c>
      <c r="BP611" s="129">
        <f t="shared" si="75"/>
        <v>190</v>
      </c>
      <c r="BQ611" s="387">
        <f t="shared" si="76"/>
        <v>45943</v>
      </c>
    </row>
    <row r="612" s="76" customFormat="1" customHeight="1" spans="1:69">
      <c r="A612" s="81" t="s">
        <v>706</v>
      </c>
      <c r="B612" s="137" t="s">
        <v>440</v>
      </c>
      <c r="C612" s="387" t="s">
        <v>707</v>
      </c>
      <c r="D612" s="76" t="s">
        <v>708</v>
      </c>
      <c r="E612" s="76" t="s">
        <v>716</v>
      </c>
      <c r="G612" s="479"/>
      <c r="H612" s="76" t="s">
        <v>93</v>
      </c>
      <c r="J612" s="129">
        <v>54</v>
      </c>
      <c r="K612" s="129">
        <v>5660</v>
      </c>
      <c r="L612" s="129">
        <f>J612*K612</f>
        <v>305640</v>
      </c>
      <c r="M612" s="129">
        <f>L612*0.3</f>
        <v>91692</v>
      </c>
      <c r="N612" s="114">
        <f>4502.68+68769+7641</f>
        <v>80912.68</v>
      </c>
      <c r="O612" s="199">
        <f>L612-N612</f>
        <v>224727.32</v>
      </c>
      <c r="P612" s="91"/>
      <c r="Q612" s="91"/>
      <c r="R612" s="76" t="s">
        <v>88</v>
      </c>
      <c r="S612" s="76" t="s">
        <v>710</v>
      </c>
      <c r="T612" s="387">
        <v>45883</v>
      </c>
      <c r="U612" s="387">
        <f>T612+60</f>
        <v>45943</v>
      </c>
      <c r="V612" s="387"/>
      <c r="X612" s="133"/>
      <c r="Y612" s="114">
        <v>54</v>
      </c>
      <c r="Z612" s="114">
        <v>5410</v>
      </c>
      <c r="AA612" s="114">
        <f>Y612*Z612</f>
        <v>292140</v>
      </c>
      <c r="AB612" s="114"/>
      <c r="AC612" s="114">
        <f>AA612-AB612</f>
        <v>292140</v>
      </c>
      <c r="AD612" s="140"/>
      <c r="AE612" s="114"/>
      <c r="AF612" s="114"/>
      <c r="AG612" s="114"/>
      <c r="AH612" s="114"/>
      <c r="AK612" s="76">
        <v>11.316</v>
      </c>
      <c r="AM612" s="114"/>
      <c r="AN612" s="114">
        <f>4502.68+68769+7641</f>
        <v>80912.68</v>
      </c>
      <c r="AQ612" s="387">
        <v>46023</v>
      </c>
      <c r="AR612" s="387"/>
      <c r="AS612" s="387"/>
      <c r="AT612" s="387"/>
      <c r="AV612" s="76">
        <v>4</v>
      </c>
      <c r="AW612" s="387"/>
      <c r="AX612" s="129"/>
      <c r="AY612" s="114"/>
      <c r="AZ612" s="127"/>
      <c r="BA612" s="127"/>
      <c r="BB612" s="127"/>
      <c r="BC612" s="127"/>
      <c r="BI612" s="75"/>
      <c r="BJ612" s="91"/>
      <c r="BL612" s="76" t="str">
        <f t="shared" si="72"/>
        <v>TJTW-85</v>
      </c>
      <c r="BM612" s="76" t="str">
        <f t="shared" si="73"/>
        <v>SPC</v>
      </c>
      <c r="BO612" s="76" t="str">
        <f t="shared" si="74"/>
        <v>0.22*875*975 2.0/2.0 T3BA</v>
      </c>
      <c r="BP612" s="129">
        <f t="shared" si="75"/>
        <v>54</v>
      </c>
      <c r="BQ612" s="387">
        <f t="shared" si="76"/>
        <v>45943</v>
      </c>
    </row>
    <row r="613" s="76" customFormat="1" customHeight="1" spans="1:69">
      <c r="A613" s="81" t="s">
        <v>706</v>
      </c>
      <c r="B613" s="137" t="s">
        <v>440</v>
      </c>
      <c r="C613" s="387" t="s">
        <v>707</v>
      </c>
      <c r="D613" s="76" t="s">
        <v>708</v>
      </c>
      <c r="E613" s="76" t="s">
        <v>717</v>
      </c>
      <c r="G613" s="479"/>
      <c r="H613" s="76" t="s">
        <v>93</v>
      </c>
      <c r="J613" s="129">
        <v>27</v>
      </c>
      <c r="K613" s="129">
        <v>5660</v>
      </c>
      <c r="L613" s="129">
        <f>J613*K613</f>
        <v>152820</v>
      </c>
      <c r="M613" s="129">
        <f>L613*0.3</f>
        <v>45846</v>
      </c>
      <c r="N613" s="114">
        <f>68769+9028.53+7641+24032.21+372322.46+31188.73</f>
        <v>512981.93</v>
      </c>
      <c r="O613" s="199">
        <f>L613-N613</f>
        <v>-360161.93</v>
      </c>
      <c r="P613" s="91"/>
      <c r="Q613" s="91"/>
      <c r="R613" s="76" t="s">
        <v>88</v>
      </c>
      <c r="S613" s="76" t="s">
        <v>710</v>
      </c>
      <c r="T613" s="387">
        <v>45883</v>
      </c>
      <c r="U613" s="387">
        <f>T613+60</f>
        <v>45943</v>
      </c>
      <c r="V613" s="387"/>
      <c r="X613" s="133"/>
      <c r="Y613" s="114">
        <v>27</v>
      </c>
      <c r="Z613" s="114">
        <v>5410</v>
      </c>
      <c r="AA613" s="114">
        <f>Y613*Z613</f>
        <v>146070</v>
      </c>
      <c r="AB613" s="114"/>
      <c r="AC613" s="114">
        <f>AA613-AB613</f>
        <v>146070</v>
      </c>
      <c r="AD613" s="140"/>
      <c r="AE613" s="114"/>
      <c r="AF613" s="114"/>
      <c r="AG613" s="114"/>
      <c r="AH613" s="114"/>
      <c r="AM613" s="114"/>
      <c r="AN613" s="114">
        <f>68769+9028.53+7641+24032.21+372322.46+31188.73</f>
        <v>512981.93</v>
      </c>
      <c r="AQ613" s="387">
        <v>46053</v>
      </c>
      <c r="AR613" s="387"/>
      <c r="AS613" s="387"/>
      <c r="AT613" s="387"/>
      <c r="AV613" s="76">
        <v>4</v>
      </c>
      <c r="AW613" s="387"/>
      <c r="AX613" s="129"/>
      <c r="AY613" s="114"/>
      <c r="AZ613" s="127"/>
      <c r="BA613" s="127"/>
      <c r="BB613" s="127"/>
      <c r="BC613" s="127"/>
      <c r="BI613" s="75"/>
      <c r="BJ613" s="91"/>
      <c r="BL613" s="76" t="str">
        <f t="shared" si="72"/>
        <v>TJTW-85</v>
      </c>
      <c r="BM613" s="76" t="str">
        <f t="shared" si="73"/>
        <v>SPC</v>
      </c>
      <c r="BO613" s="76" t="str">
        <f t="shared" si="74"/>
        <v>0.22*870*860 2.0/2.0 T3BA</v>
      </c>
      <c r="BP613" s="129">
        <f t="shared" si="75"/>
        <v>27</v>
      </c>
      <c r="BQ613" s="387">
        <f t="shared" si="76"/>
        <v>45943</v>
      </c>
    </row>
    <row r="614" s="76" customFormat="1" customHeight="1" spans="1:69">
      <c r="A614" s="77"/>
      <c r="B614" s="137"/>
      <c r="C614" s="387"/>
      <c r="G614" s="479"/>
      <c r="J614" s="129"/>
      <c r="K614" s="129"/>
      <c r="L614" s="129"/>
      <c r="M614" s="129"/>
      <c r="O614" s="199"/>
      <c r="P614" s="91"/>
      <c r="Q614" s="91"/>
      <c r="T614" s="387"/>
      <c r="U614" s="387"/>
      <c r="V614" s="387"/>
      <c r="X614" s="133"/>
      <c r="Y614" s="114"/>
      <c r="Z614" s="114"/>
      <c r="AA614" s="114"/>
      <c r="AB614" s="114"/>
      <c r="AC614" s="114"/>
      <c r="AD614" s="140"/>
      <c r="AE614" s="114"/>
      <c r="AF614" s="114"/>
      <c r="AG614" s="114"/>
      <c r="AH614" s="114"/>
      <c r="AM614" s="114"/>
      <c r="AN614" s="114"/>
      <c r="AQ614" s="387">
        <v>46084</v>
      </c>
      <c r="AR614" s="387"/>
      <c r="AS614" s="387"/>
      <c r="AT614" s="387"/>
      <c r="AV614" s="76">
        <v>4</v>
      </c>
      <c r="AW614" s="387"/>
      <c r="AX614" s="129"/>
      <c r="AY614" s="114"/>
      <c r="AZ614" s="127"/>
      <c r="BA614" s="127"/>
      <c r="BB614" s="127"/>
      <c r="BC614" s="127"/>
      <c r="BI614" s="75"/>
      <c r="BJ614" s="91"/>
      <c r="BL614" s="76">
        <f t="shared" si="72"/>
        <v>0</v>
      </c>
      <c r="BM614" s="76">
        <f t="shared" si="73"/>
        <v>0</v>
      </c>
      <c r="BO614" s="76">
        <f t="shared" si="74"/>
        <v>0</v>
      </c>
      <c r="BP614" s="129">
        <f t="shared" si="75"/>
        <v>0</v>
      </c>
      <c r="BQ614" s="387">
        <f t="shared" si="76"/>
        <v>0</v>
      </c>
    </row>
    <row r="615" s="79" customFormat="1" customHeight="1" spans="1:69">
      <c r="A615" s="420" t="s">
        <v>706</v>
      </c>
      <c r="B615" s="79" t="s">
        <v>440</v>
      </c>
      <c r="C615" s="463" t="s">
        <v>707</v>
      </c>
      <c r="D615" s="79" t="s">
        <v>708</v>
      </c>
      <c r="G615" s="486"/>
      <c r="H615" s="79" t="s">
        <v>93</v>
      </c>
      <c r="J615" s="194">
        <f>SUM(J609:J613)</f>
        <v>406</v>
      </c>
      <c r="K615" s="194"/>
      <c r="L615" s="194">
        <f>SUM(L609:L613)</f>
        <v>2352310</v>
      </c>
      <c r="M615" s="194">
        <f>SUM(M609:M613)</f>
        <v>705693</v>
      </c>
      <c r="N615" s="194">
        <f>SUM(N609:N613)</f>
        <v>2216763.31</v>
      </c>
      <c r="O615" s="194">
        <f>SUM(O609:O613)</f>
        <v>135546.69</v>
      </c>
      <c r="R615" s="79" t="s">
        <v>88</v>
      </c>
      <c r="T615" s="463">
        <f>T613</f>
        <v>45883</v>
      </c>
      <c r="U615" s="463">
        <f>U613</f>
        <v>45943</v>
      </c>
      <c r="V615" s="463">
        <v>45943</v>
      </c>
      <c r="X615" s="193"/>
      <c r="Y615" s="194">
        <f>SUM(Y609:Y613)</f>
        <v>406</v>
      </c>
      <c r="Z615" s="194">
        <f>SUM(Z609:Z613)</f>
        <v>27670</v>
      </c>
      <c r="AA615" s="194">
        <f>SUM(AA609:AA613)</f>
        <v>2250810</v>
      </c>
      <c r="AB615" s="194">
        <f>SUM(AB609:AB613)</f>
        <v>0</v>
      </c>
      <c r="AC615" s="194">
        <f>SUM(AC609:AC613)</f>
        <v>2250810</v>
      </c>
      <c r="AD615" s="196"/>
      <c r="AE615" s="192"/>
      <c r="AF615" s="192"/>
      <c r="AG615" s="192"/>
      <c r="AH615" s="192"/>
      <c r="AM615" s="192"/>
      <c r="AN615" s="192"/>
      <c r="AQ615" s="463">
        <f>V615</f>
        <v>45943</v>
      </c>
      <c r="AR615" s="463"/>
      <c r="AS615" s="463"/>
      <c r="AT615" s="463"/>
      <c r="AW615" s="463"/>
      <c r="AX615" s="194"/>
      <c r="AY615" s="192"/>
      <c r="AZ615" s="150"/>
      <c r="BA615" s="150"/>
      <c r="BB615" s="150"/>
      <c r="BC615" s="150"/>
      <c r="BI615" s="151"/>
    </row>
    <row r="616" s="76" customFormat="1" customHeight="1" spans="1:69">
      <c r="A616" s="76" t="s">
        <v>540</v>
      </c>
      <c r="B616" s="137" t="s">
        <v>440</v>
      </c>
      <c r="C616" s="387">
        <v>45888</v>
      </c>
      <c r="D616" s="76" t="s">
        <v>718</v>
      </c>
      <c r="E616" s="76" t="s">
        <v>719</v>
      </c>
      <c r="G616" s="479">
        <f>1341387+109249.83</f>
        <v>1450636.83</v>
      </c>
      <c r="H616" s="76" t="s">
        <v>93</v>
      </c>
      <c r="J616" s="129">
        <v>81</v>
      </c>
      <c r="K616" s="129">
        <f>5920+250</f>
        <v>6170</v>
      </c>
      <c r="L616" s="114">
        <f>J616*K616</f>
        <v>499770</v>
      </c>
      <c r="M616" s="129">
        <f>L616*0.3</f>
        <v>149931</v>
      </c>
      <c r="N616" s="253">
        <f>449793+62236.79</f>
        <v>512029.79</v>
      </c>
      <c r="O616" s="199">
        <f>L616-N616</f>
        <v>-12259.79</v>
      </c>
      <c r="P616" s="91"/>
      <c r="Q616" s="91"/>
      <c r="R616" s="76" t="s">
        <v>88</v>
      </c>
      <c r="S616" s="76" t="s">
        <v>720</v>
      </c>
      <c r="T616" s="387">
        <v>45888</v>
      </c>
      <c r="U616" s="387">
        <f>T616+60</f>
        <v>45948</v>
      </c>
      <c r="V616" s="387">
        <v>45966</v>
      </c>
      <c r="X616" s="133" t="s">
        <v>432</v>
      </c>
      <c r="Y616" s="114">
        <v>81</v>
      </c>
      <c r="Z616" s="114">
        <v>5920</v>
      </c>
      <c r="AA616" s="114">
        <f>Y616*Z616</f>
        <v>479520</v>
      </c>
      <c r="AB616" s="114"/>
      <c r="AC616" s="114">
        <f>AA616-AB616</f>
        <v>479520</v>
      </c>
      <c r="AD616" s="140"/>
      <c r="AE616" s="114"/>
      <c r="AF616" s="114"/>
      <c r="AG616" s="114"/>
      <c r="AH616" s="114"/>
      <c r="AI616" s="91"/>
      <c r="AK616" s="76">
        <v>82.987</v>
      </c>
      <c r="AL616" s="129">
        <f>5920+250</f>
        <v>6170</v>
      </c>
      <c r="AM616" s="114">
        <f>AL616*AK616</f>
        <v>512029.79</v>
      </c>
      <c r="AN616" s="253">
        <f>449793+62236.79</f>
        <v>512029.79</v>
      </c>
      <c r="AO616" s="76">
        <f>AM616-AN616</f>
        <v>0</v>
      </c>
      <c r="AP616" s="91"/>
      <c r="AQ616" s="387"/>
      <c r="AR616" s="387"/>
      <c r="AS616" s="387"/>
      <c r="AT616" s="387"/>
      <c r="AU616" s="76" t="s">
        <v>721</v>
      </c>
      <c r="AV616" s="76">
        <v>9</v>
      </c>
      <c r="AW616" s="387">
        <v>45989</v>
      </c>
      <c r="AX616" s="129"/>
      <c r="AY616" s="114"/>
      <c r="AZ616" s="127"/>
      <c r="BA616" s="127"/>
      <c r="BB616" s="127"/>
      <c r="BC616" s="127"/>
      <c r="BI616" s="75"/>
      <c r="BJ616" s="91"/>
      <c r="BL616" s="76" t="str">
        <f>D616</f>
        <v>TJTW-86</v>
      </c>
      <c r="BM616" s="76" t="str">
        <f>A616</f>
        <v>SKV</v>
      </c>
      <c r="BO616" s="76" t="str">
        <f>E616</f>
        <v>0.16*892*808.4 2.0/2.0 T4BA</v>
      </c>
      <c r="BP616" s="129">
        <f>J616</f>
        <v>81</v>
      </c>
      <c r="BQ616" s="387">
        <f>U616</f>
        <v>45948</v>
      </c>
    </row>
    <row r="617" s="76" customFormat="1" customHeight="1" spans="1:69">
      <c r="A617" s="76" t="s">
        <v>540</v>
      </c>
      <c r="B617" s="137" t="s">
        <v>440</v>
      </c>
      <c r="C617" s="387">
        <v>45888</v>
      </c>
      <c r="D617" s="76" t="s">
        <v>718</v>
      </c>
      <c r="E617" s="76" t="s">
        <v>559</v>
      </c>
      <c r="G617" s="479"/>
      <c r="H617" s="76" t="s">
        <v>93</v>
      </c>
      <c r="J617" s="129">
        <v>162</v>
      </c>
      <c r="K617" s="129">
        <f>5680+250</f>
        <v>5930</v>
      </c>
      <c r="L617" s="114">
        <f>J617*K617</f>
        <v>960660</v>
      </c>
      <c r="M617" s="129">
        <f>L617*0.3</f>
        <v>288198</v>
      </c>
      <c r="N617" s="253">
        <f>864594+47013.04</f>
        <v>911607.04</v>
      </c>
      <c r="O617" s="199">
        <f>L617-N617</f>
        <v>49052.96</v>
      </c>
      <c r="P617" s="91"/>
      <c r="Q617" s="91"/>
      <c r="R617" s="76" t="s">
        <v>722</v>
      </c>
      <c r="S617" s="76" t="s">
        <v>720</v>
      </c>
      <c r="T617" s="387">
        <v>45888</v>
      </c>
      <c r="U617" s="387">
        <f>T617+60</f>
        <v>45948</v>
      </c>
      <c r="V617" s="387">
        <v>45966</v>
      </c>
      <c r="X617" s="133" t="s">
        <v>432</v>
      </c>
      <c r="Y617" s="114">
        <v>162</v>
      </c>
      <c r="Z617" s="114">
        <v>5680</v>
      </c>
      <c r="AA617" s="114">
        <f>Y617*Z617</f>
        <v>920160</v>
      </c>
      <c r="AB617" s="114"/>
      <c r="AC617" s="114">
        <f>AA617-AB617</f>
        <v>920160</v>
      </c>
      <c r="AD617" s="140"/>
      <c r="AE617" s="114"/>
      <c r="AF617" s="114"/>
      <c r="AG617" s="114"/>
      <c r="AH617" s="114"/>
      <c r="AK617" s="76">
        <v>153.728</v>
      </c>
      <c r="AL617" s="129">
        <f>5680+250</f>
        <v>5930</v>
      </c>
      <c r="AM617" s="114">
        <f>AL617*AK617</f>
        <v>911607.04</v>
      </c>
      <c r="AN617" s="253">
        <f>864594+47013.04</f>
        <v>911607.04</v>
      </c>
      <c r="AO617" s="76">
        <f>AM617-AN617</f>
        <v>0</v>
      </c>
      <c r="AQ617" s="387"/>
      <c r="AR617" s="387"/>
      <c r="AS617" s="387"/>
      <c r="AT617" s="387"/>
      <c r="AW617" s="387"/>
      <c r="AX617" s="129"/>
      <c r="AY617" s="114"/>
      <c r="AZ617" s="127"/>
      <c r="BA617" s="127"/>
      <c r="BB617" s="127"/>
      <c r="BC617" s="127"/>
      <c r="BI617" s="75"/>
      <c r="BJ617" s="91"/>
      <c r="BL617" s="76" t="str">
        <f>D617</f>
        <v>TJTW-86</v>
      </c>
      <c r="BM617" s="76" t="str">
        <f>A617</f>
        <v>SKV</v>
      </c>
      <c r="BO617" s="76" t="str">
        <f>E617</f>
        <v>0.15*868*872.4 1.0/1.0 DR9</v>
      </c>
      <c r="BP617" s="129">
        <f>J617</f>
        <v>162</v>
      </c>
      <c r="BQ617" s="387">
        <f>U617</f>
        <v>45948</v>
      </c>
    </row>
    <row r="618" s="79" customFormat="1" customHeight="1" spans="1:69">
      <c r="A618" s="79" t="s">
        <v>540</v>
      </c>
      <c r="B618" s="79" t="s">
        <v>440</v>
      </c>
      <c r="C618" s="463">
        <v>45888</v>
      </c>
      <c r="D618" s="79" t="s">
        <v>718</v>
      </c>
      <c r="G618" s="486"/>
      <c r="H618" s="79" t="s">
        <v>93</v>
      </c>
      <c r="J618" s="194">
        <f>SUM(J616:J617)</f>
        <v>243</v>
      </c>
      <c r="K618" s="194"/>
      <c r="L618" s="194">
        <f>SUM(L616:L617)</f>
        <v>1460430</v>
      </c>
      <c r="M618" s="194">
        <f>SUM(M616:M617)</f>
        <v>438129</v>
      </c>
      <c r="N618" s="194">
        <f>SUM(N616:N617)</f>
        <v>1423636.83</v>
      </c>
      <c r="O618" s="194">
        <f>SUM(O616:O617)</f>
        <v>36793.17</v>
      </c>
      <c r="R618" s="79" t="s">
        <v>88</v>
      </c>
      <c r="T618" s="463">
        <f>T617</f>
        <v>45888</v>
      </c>
      <c r="U618" s="463">
        <f>U617</f>
        <v>45948</v>
      </c>
      <c r="V618" s="463">
        <v>45966</v>
      </c>
      <c r="X618" s="193" t="s">
        <v>432</v>
      </c>
      <c r="Y618" s="194">
        <f>SUM(Y616:Y617)</f>
        <v>243</v>
      </c>
      <c r="Z618" s="194">
        <f>SUM(Z616:Z617)</f>
        <v>11600</v>
      </c>
      <c r="AA618" s="194">
        <f>SUM(AA616:AA617)</f>
        <v>1399680</v>
      </c>
      <c r="AB618" s="194">
        <f>SUM(AB616:AB617)</f>
        <v>0</v>
      </c>
      <c r="AC618" s="194">
        <f>SUM(AC616:AC617)</f>
        <v>1399680</v>
      </c>
      <c r="AD618" s="196"/>
      <c r="AE618" s="192"/>
      <c r="AF618" s="192"/>
      <c r="AG618" s="192"/>
      <c r="AH618" s="192"/>
      <c r="AK618" s="79">
        <f>SUM(AK616:AK617)</f>
        <v>236.715</v>
      </c>
      <c r="AM618" s="192">
        <f>SUM(AM616:AM617)</f>
        <v>1423636.83</v>
      </c>
      <c r="AN618" s="192">
        <f>SUM(AN616:AN617)</f>
        <v>1423636.83</v>
      </c>
      <c r="AQ618" s="463">
        <f>V618</f>
        <v>45966</v>
      </c>
      <c r="AR618" s="463"/>
      <c r="AS618" s="463"/>
      <c r="AT618" s="463"/>
      <c r="AW618" s="463"/>
      <c r="AX618" s="194"/>
      <c r="AY618" s="192"/>
      <c r="AZ618" s="150"/>
      <c r="BA618" s="150"/>
      <c r="BB618" s="150"/>
      <c r="BC618" s="150"/>
      <c r="BI618" s="151"/>
    </row>
    <row r="619" s="76" customFormat="1" customHeight="1" spans="1:69">
      <c r="C619" s="387"/>
      <c r="D619" s="76" t="s">
        <v>723</v>
      </c>
      <c r="E619" s="76" t="s">
        <v>605</v>
      </c>
      <c r="G619" s="479">
        <f>217250</f>
        <v>217250</v>
      </c>
      <c r="H619" s="76" t="s">
        <v>93</v>
      </c>
      <c r="J619" s="129">
        <v>35</v>
      </c>
      <c r="K619" s="129">
        <v>6500</v>
      </c>
      <c r="L619" s="114">
        <f>J619*K619</f>
        <v>227500</v>
      </c>
      <c r="M619" s="129"/>
      <c r="O619" s="199">
        <f>L619-N619</f>
        <v>227500</v>
      </c>
      <c r="P619" s="91"/>
      <c r="Q619" s="91"/>
      <c r="T619" s="387"/>
      <c r="U619" s="387"/>
      <c r="V619" s="387"/>
      <c r="X619" s="133"/>
      <c r="Z619" s="114"/>
      <c r="AA619" s="114"/>
      <c r="AB619" s="114"/>
      <c r="AC619" s="114"/>
      <c r="AD619" s="140"/>
      <c r="AE619" s="114"/>
      <c r="AF619" s="114"/>
      <c r="AG619" s="114"/>
      <c r="AH619" s="114"/>
      <c r="AI619" s="91"/>
      <c r="AM619" s="114"/>
      <c r="AN619" s="114"/>
      <c r="AP619" s="91"/>
      <c r="AQ619" s="387"/>
      <c r="AR619" s="387"/>
      <c r="AS619" s="387"/>
      <c r="AT619" s="387"/>
      <c r="AW619" s="387"/>
      <c r="AX619" s="129"/>
      <c r="AY619" s="114"/>
      <c r="AZ619" s="127"/>
      <c r="BA619" s="127"/>
      <c r="BB619" s="127"/>
      <c r="BC619" s="127"/>
      <c r="BI619" s="75"/>
      <c r="BJ619" s="91"/>
      <c r="BL619" s="76" t="str">
        <f>D619</f>
        <v>TJTW-999-1</v>
      </c>
      <c r="BM619" s="76">
        <f>A619</f>
        <v>0</v>
      </c>
      <c r="BO619" s="76" t="str">
        <f>E619</f>
        <v>0.18*905*669.5 T4 2.8/2.8</v>
      </c>
      <c r="BP619" s="129">
        <f>J619</f>
        <v>35</v>
      </c>
      <c r="BQ619" s="387">
        <f>U619</f>
        <v>0</v>
      </c>
    </row>
    <row r="620" s="79" customFormat="1" customHeight="1" spans="1:69">
      <c r="C620" s="463"/>
      <c r="D620" s="79" t="s">
        <v>723</v>
      </c>
      <c r="E620" s="79" t="str">
        <f>E619</f>
        <v>0.18*905*669.5 T4 2.8/2.8</v>
      </c>
      <c r="G620" s="486"/>
      <c r="H620" s="79" t="s">
        <v>93</v>
      </c>
      <c r="J620" s="194">
        <f>J619</f>
        <v>35</v>
      </c>
      <c r="K620" s="194"/>
      <c r="L620" s="194">
        <f>L619</f>
        <v>227500</v>
      </c>
      <c r="M620" s="194"/>
      <c r="N620" s="79">
        <f>N619</f>
        <v>0</v>
      </c>
      <c r="O620" s="79">
        <f>O619</f>
        <v>227500</v>
      </c>
      <c r="T620" s="463"/>
      <c r="U620" s="463"/>
      <c r="V620" s="463"/>
      <c r="X620" s="193"/>
      <c r="Z620" s="192"/>
      <c r="AA620" s="192"/>
      <c r="AB620" s="192"/>
      <c r="AC620" s="192"/>
      <c r="AD620" s="196"/>
      <c r="AE620" s="192"/>
      <c r="AF620" s="192"/>
      <c r="AG620" s="192"/>
      <c r="AH620" s="192"/>
      <c r="AM620" s="192"/>
      <c r="AN620" s="192">
        <f>SUM(AN619)</f>
        <v>0</v>
      </c>
      <c r="AQ620" s="463"/>
      <c r="AR620" s="463"/>
      <c r="AS620" s="463"/>
      <c r="AT620" s="463"/>
      <c r="AW620" s="463"/>
      <c r="AX620" s="194"/>
      <c r="AY620" s="192"/>
      <c r="AZ620" s="150"/>
      <c r="BA620" s="150"/>
      <c r="BB620" s="150"/>
      <c r="BC620" s="150"/>
      <c r="BI620" s="151"/>
    </row>
    <row r="621" s="76" customFormat="1" customHeight="1" spans="1:69">
      <c r="A621" s="76" t="s">
        <v>71</v>
      </c>
      <c r="B621" s="76" t="s">
        <v>440</v>
      </c>
      <c r="C621" s="387"/>
      <c r="D621" s="76" t="s">
        <v>724</v>
      </c>
      <c r="E621" s="76" t="s">
        <v>87</v>
      </c>
      <c r="F621" s="84"/>
      <c r="G621" s="479"/>
      <c r="H621" s="76" t="s">
        <v>71</v>
      </c>
      <c r="I621" s="84"/>
      <c r="J621" s="264">
        <v>1160000</v>
      </c>
      <c r="K621" s="143">
        <v>0.15705</v>
      </c>
      <c r="L621" s="114">
        <f>J621*K621</f>
        <v>182178</v>
      </c>
      <c r="M621" s="129">
        <f>L621*0.3</f>
        <v>54653.4</v>
      </c>
      <c r="N621" s="253">
        <f>54653.4+127524.6</f>
        <v>182178</v>
      </c>
      <c r="O621" s="76">
        <f>L621-N621</f>
        <v>0</v>
      </c>
      <c r="P621" s="91"/>
      <c r="Q621" s="91"/>
      <c r="R621" s="76" t="s">
        <v>88</v>
      </c>
      <c r="S621" s="76" t="s">
        <v>725</v>
      </c>
      <c r="T621" s="387">
        <v>45892</v>
      </c>
      <c r="U621" s="387">
        <f>T621+15</f>
        <v>45907</v>
      </c>
      <c r="V621" s="385">
        <v>45915</v>
      </c>
      <c r="W621" s="224"/>
      <c r="X621" s="133" t="s">
        <v>355</v>
      </c>
      <c r="Y621" s="76">
        <v>1160000</v>
      </c>
      <c r="Z621" s="140">
        <v>0.165</v>
      </c>
      <c r="AA621" s="114">
        <f>Y621*Z621</f>
        <v>191400</v>
      </c>
      <c r="AB621" s="114"/>
      <c r="AC621" s="114"/>
      <c r="AD621" s="90"/>
      <c r="AE621" s="86"/>
      <c r="AF621" s="86"/>
      <c r="AG621" s="86"/>
      <c r="AH621" s="86"/>
      <c r="AI621" s="91"/>
      <c r="AJ621" s="84"/>
      <c r="AK621" s="76">
        <v>1160000</v>
      </c>
      <c r="AL621" s="76">
        <v>0.15705</v>
      </c>
      <c r="AM621" s="114">
        <f>AL621*AK621</f>
        <v>182178</v>
      </c>
      <c r="AN621" s="253">
        <f>54653.4+127524.6</f>
        <v>182178</v>
      </c>
      <c r="AO621" s="76">
        <f>AM621-AN621</f>
        <v>0</v>
      </c>
      <c r="AP621" s="91"/>
      <c r="AQ621" s="387"/>
      <c r="AR621" s="387"/>
      <c r="AS621" s="387"/>
      <c r="AT621" s="387"/>
      <c r="AW621" s="387"/>
      <c r="AX621" s="76">
        <v>1160000</v>
      </c>
      <c r="AY621" s="76">
        <v>0.15705</v>
      </c>
      <c r="AZ621" s="114">
        <f>AY621*AX621</f>
        <v>182178</v>
      </c>
      <c r="BA621" s="127"/>
      <c r="BB621" s="127"/>
      <c r="BC621" s="127"/>
      <c r="BI621" s="75"/>
      <c r="BJ621" s="91"/>
      <c r="BL621" s="76" t="str">
        <f>D621</f>
        <v>INTW-12</v>
      </c>
      <c r="BM621" s="76" t="str">
        <f>A621</f>
        <v>INDEX</v>
      </c>
      <c r="BO621" s="76" t="str">
        <f>E621</f>
        <v>98.9mm 0.20 #401 SE*2</v>
      </c>
      <c r="BP621" s="129">
        <f>J621</f>
        <v>1160000</v>
      </c>
      <c r="BQ621" s="387">
        <f>U621</f>
        <v>45907</v>
      </c>
    </row>
    <row r="622" s="83" customFormat="1" customHeight="1" spans="1:69">
      <c r="A622" s="83" t="s">
        <v>71</v>
      </c>
      <c r="B622" s="83" t="s">
        <v>440</v>
      </c>
      <c r="C622" s="605"/>
      <c r="D622" s="83" t="s">
        <v>724</v>
      </c>
      <c r="E622" s="83" t="s">
        <v>87</v>
      </c>
      <c r="F622" s="84"/>
      <c r="G622" s="606"/>
      <c r="H622" s="83" t="s">
        <v>71</v>
      </c>
      <c r="I622" s="84"/>
      <c r="J622" s="667">
        <f>J621</f>
        <v>1160000</v>
      </c>
      <c r="K622" s="737">
        <f>K621</f>
        <v>0.15705</v>
      </c>
      <c r="L622" s="235">
        <f>L621</f>
        <v>182178</v>
      </c>
      <c r="M622" s="235">
        <f>SUM(M621)</f>
        <v>54653.4</v>
      </c>
      <c r="N622" s="83">
        <f>SUM(N621)</f>
        <v>182178</v>
      </c>
      <c r="O622" s="83">
        <f>SUM(O621)</f>
        <v>0</v>
      </c>
      <c r="R622" s="83" t="s">
        <v>88</v>
      </c>
      <c r="S622" s="83" t="str">
        <f>S621</f>
        <v>ZM20250823-A1</v>
      </c>
      <c r="T622" s="605">
        <f>T621</f>
        <v>45892</v>
      </c>
      <c r="U622" s="605">
        <f>U621</f>
        <v>45907</v>
      </c>
      <c r="V622" s="605">
        <v>45915</v>
      </c>
      <c r="X622" s="232" t="s">
        <v>355</v>
      </c>
      <c r="Y622" s="83">
        <f>Y621</f>
        <v>1160000</v>
      </c>
      <c r="Z622" s="219"/>
      <c r="AA622" s="219">
        <f>AA621</f>
        <v>191400</v>
      </c>
      <c r="AB622" s="219"/>
      <c r="AC622" s="219"/>
      <c r="AD622" s="90"/>
      <c r="AE622" s="86"/>
      <c r="AF622" s="86"/>
      <c r="AG622" s="86"/>
      <c r="AH622" s="86"/>
      <c r="AJ622" s="84"/>
      <c r="AK622" s="83">
        <f>AK621</f>
        <v>1160000</v>
      </c>
      <c r="AM622" s="219">
        <f>AM621</f>
        <v>182178</v>
      </c>
      <c r="AN622" s="219">
        <f>SUM(AN621)</f>
        <v>182178</v>
      </c>
      <c r="AO622" s="83">
        <f>AO621</f>
        <v>0</v>
      </c>
      <c r="AQ622" s="463">
        <f>V622</f>
        <v>45915</v>
      </c>
      <c r="AR622" s="605"/>
      <c r="AS622" s="605"/>
      <c r="AT622" s="605"/>
      <c r="AW622" s="605"/>
      <c r="AX622" s="235"/>
      <c r="AY622" s="219"/>
      <c r="AZ622" s="236"/>
      <c r="BA622" s="236"/>
      <c r="BB622" s="236"/>
      <c r="BC622" s="236"/>
      <c r="BI622" s="734"/>
    </row>
    <row r="623" s="76" customFormat="1" customHeight="1" spans="1:69">
      <c r="A623" s="76" t="s">
        <v>540</v>
      </c>
      <c r="B623" s="137" t="s">
        <v>440</v>
      </c>
      <c r="C623" s="387">
        <v>45895</v>
      </c>
      <c r="D623" s="76" t="s">
        <v>726</v>
      </c>
      <c r="E623" s="76" t="s">
        <v>727</v>
      </c>
      <c r="G623" s="479">
        <f>284200</f>
        <v>284200</v>
      </c>
      <c r="H623" s="76" t="s">
        <v>93</v>
      </c>
      <c r="J623" s="264">
        <v>1160000</v>
      </c>
      <c r="K623" s="143">
        <v>0.224</v>
      </c>
      <c r="L623" s="114">
        <f>J623*K623</f>
        <v>259840</v>
      </c>
      <c r="M623" s="129"/>
      <c r="P623" s="91"/>
      <c r="Q623" s="91"/>
      <c r="R623" s="76" t="s">
        <v>88</v>
      </c>
      <c r="S623" s="76" t="s">
        <v>728</v>
      </c>
      <c r="T623" s="387">
        <v>45894</v>
      </c>
      <c r="U623" s="387">
        <f>T623+15</f>
        <v>45909</v>
      </c>
      <c r="V623" s="387">
        <v>45926</v>
      </c>
      <c r="X623" s="133" t="s">
        <v>355</v>
      </c>
      <c r="Y623" s="76">
        <v>1160000</v>
      </c>
      <c r="Z623" s="140">
        <v>0.245</v>
      </c>
      <c r="AA623" s="114">
        <f>Y623*Z623</f>
        <v>284200</v>
      </c>
      <c r="AB623" s="114"/>
      <c r="AC623" s="114"/>
      <c r="AD623" s="140"/>
      <c r="AE623" s="114"/>
      <c r="AF623" s="114"/>
      <c r="AG623" s="114"/>
      <c r="AH623" s="114"/>
      <c r="AK623" s="76">
        <v>1160000</v>
      </c>
      <c r="AL623" s="76">
        <v>0.224</v>
      </c>
      <c r="AM623" s="114">
        <f>AL623*AK623</f>
        <v>259840</v>
      </c>
      <c r="AN623" s="114"/>
      <c r="AP623" s="91"/>
      <c r="AQ623" s="387"/>
      <c r="AR623" s="387"/>
      <c r="AS623" s="387"/>
      <c r="AT623" s="387" t="s">
        <v>544</v>
      </c>
      <c r="AU623" s="76" t="s">
        <v>729</v>
      </c>
      <c r="AV623" s="76">
        <v>1</v>
      </c>
      <c r="AW623" s="387">
        <v>45935</v>
      </c>
      <c r="AX623" s="76">
        <v>1160000</v>
      </c>
      <c r="AY623" s="76">
        <v>0.224</v>
      </c>
      <c r="AZ623" s="114">
        <f>AY623*AX623</f>
        <v>259840</v>
      </c>
      <c r="BA623" s="127"/>
      <c r="BB623" s="127"/>
      <c r="BC623" s="127"/>
      <c r="BI623" s="75"/>
      <c r="BJ623" s="91"/>
      <c r="BL623" s="76" t="str">
        <f>D623</f>
        <v>TJTW-87</v>
      </c>
      <c r="BM623" s="76" t="str">
        <f>A623</f>
        <v>SKV</v>
      </c>
      <c r="BO623" s="76" t="str">
        <f>E623</f>
        <v>EOE 98.9mm 0.21 #401</v>
      </c>
      <c r="BP623" s="129">
        <f>J623</f>
        <v>1160000</v>
      </c>
      <c r="BQ623" s="387">
        <f>U623</f>
        <v>45909</v>
      </c>
    </row>
    <row r="624" s="79" customFormat="1" customHeight="1" spans="1:69">
      <c r="A624" s="79" t="s">
        <v>540</v>
      </c>
      <c r="B624" s="225" t="s">
        <v>440</v>
      </c>
      <c r="C624" s="463">
        <v>45895</v>
      </c>
      <c r="D624" s="79" t="s">
        <v>726</v>
      </c>
      <c r="E624" s="79" t="s">
        <v>727</v>
      </c>
      <c r="G624" s="486"/>
      <c r="H624" s="79" t="s">
        <v>93</v>
      </c>
      <c r="J624" s="194">
        <f>J623</f>
        <v>1160000</v>
      </c>
      <c r="K624" s="194"/>
      <c r="L624" s="194">
        <f>L623</f>
        <v>259840</v>
      </c>
      <c r="M624" s="194"/>
      <c r="R624" s="79" t="s">
        <v>88</v>
      </c>
      <c r="S624" s="79" t="s">
        <v>730</v>
      </c>
      <c r="T624" s="463">
        <f>T623</f>
        <v>45894</v>
      </c>
      <c r="U624" s="463">
        <f>U623</f>
        <v>45909</v>
      </c>
      <c r="V624" s="463">
        <f>V623</f>
        <v>45926</v>
      </c>
      <c r="X624" s="193" t="s">
        <v>355</v>
      </c>
      <c r="Y624" s="79">
        <f>Y623</f>
        <v>1160000</v>
      </c>
      <c r="Z624" s="192"/>
      <c r="AA624" s="192">
        <f>AA623</f>
        <v>284200</v>
      </c>
      <c r="AB624" s="192"/>
      <c r="AC624" s="192"/>
      <c r="AD624" s="196"/>
      <c r="AE624" s="192"/>
      <c r="AF624" s="192"/>
      <c r="AG624" s="192"/>
      <c r="AH624" s="192"/>
      <c r="AK624" s="79">
        <f>AK623</f>
        <v>1160000</v>
      </c>
      <c r="AM624" s="192">
        <f>AM623</f>
        <v>259840</v>
      </c>
      <c r="AN624" s="192"/>
      <c r="AQ624" s="463">
        <f>V624</f>
        <v>45926</v>
      </c>
      <c r="AR624" s="463"/>
      <c r="AS624" s="463"/>
      <c r="AT624" s="79" t="str">
        <f>AT623</f>
        <v>ODESSA</v>
      </c>
      <c r="AU624" s="79" t="s">
        <v>729</v>
      </c>
      <c r="AV624" s="79">
        <f>AV623</f>
        <v>1</v>
      </c>
      <c r="AW624" s="463">
        <f>AW623</f>
        <v>45935</v>
      </c>
      <c r="AX624" s="194"/>
      <c r="AY624" s="192"/>
      <c r="AZ624" s="150"/>
      <c r="BA624" s="150"/>
      <c r="BB624" s="150"/>
      <c r="BC624" s="150"/>
      <c r="BI624" s="151"/>
    </row>
    <row r="625" s="76" customFormat="1" customHeight="1" spans="1:69">
      <c r="A625" s="76" t="s">
        <v>338</v>
      </c>
      <c r="B625" s="137" t="s">
        <v>456</v>
      </c>
      <c r="C625" s="387">
        <v>45902</v>
      </c>
      <c r="D625" s="76" t="s">
        <v>731</v>
      </c>
      <c r="E625" s="76" t="s">
        <v>727</v>
      </c>
      <c r="G625" s="479">
        <f>531012+9316</f>
        <v>540328</v>
      </c>
      <c r="H625" s="76" t="s">
        <v>93</v>
      </c>
      <c r="J625" s="264">
        <v>2280000</v>
      </c>
      <c r="K625" s="143">
        <v>0.2329</v>
      </c>
      <c r="L625" s="114">
        <f>J625*K625</f>
        <v>531012</v>
      </c>
      <c r="M625" s="129">
        <f>L625*0.3</f>
        <v>159303.6</v>
      </c>
      <c r="N625" s="76">
        <f>531012+9316</f>
        <v>540328</v>
      </c>
      <c r="P625" s="91"/>
      <c r="Q625" s="91"/>
      <c r="R625" s="76" t="s">
        <v>88</v>
      </c>
      <c r="S625" s="76" t="s">
        <v>732</v>
      </c>
      <c r="T625" s="387">
        <v>45904</v>
      </c>
      <c r="U625" s="387">
        <f>T625+15</f>
        <v>45919</v>
      </c>
      <c r="V625" s="387">
        <v>45939</v>
      </c>
      <c r="X625" s="133" t="s">
        <v>355</v>
      </c>
      <c r="Y625" s="264">
        <v>2280000</v>
      </c>
      <c r="Z625" s="140">
        <v>0.25</v>
      </c>
      <c r="AA625" s="114">
        <f>Y625*Z625</f>
        <v>570000</v>
      </c>
      <c r="AB625" s="114"/>
      <c r="AC625" s="114"/>
      <c r="AD625" s="140"/>
      <c r="AE625" s="114"/>
      <c r="AF625" s="114"/>
      <c r="AG625" s="114"/>
      <c r="AH625" s="114"/>
      <c r="AM625" s="114"/>
      <c r="AN625" s="114">
        <f>531012+9316</f>
        <v>540328</v>
      </c>
      <c r="AP625" s="91"/>
      <c r="AQ625" s="387"/>
      <c r="AR625" s="387"/>
      <c r="AS625" s="387"/>
      <c r="AT625" s="387" t="s">
        <v>298</v>
      </c>
      <c r="AU625" s="76">
        <v>1069535639</v>
      </c>
      <c r="AV625" s="76">
        <v>2</v>
      </c>
      <c r="AW625" s="387">
        <v>45969</v>
      </c>
      <c r="AX625" s="129"/>
      <c r="AY625" s="114"/>
      <c r="AZ625" s="127"/>
      <c r="BA625" s="127"/>
      <c r="BB625" s="127"/>
      <c r="BC625" s="127"/>
      <c r="BI625" s="75"/>
      <c r="BJ625" s="91"/>
      <c r="BL625" s="76" t="str">
        <f>D625</f>
        <v>TJTW-88</v>
      </c>
      <c r="BM625" s="76" t="str">
        <f>A625</f>
        <v>KLM</v>
      </c>
      <c r="BO625" s="76" t="str">
        <f>E625</f>
        <v>EOE 98.9mm 0.21 #401</v>
      </c>
      <c r="BP625" s="129">
        <f>J625</f>
        <v>2280000</v>
      </c>
      <c r="BQ625" s="387">
        <f>U625</f>
        <v>45919</v>
      </c>
    </row>
    <row r="626" s="79" customFormat="1" customHeight="1" spans="1:69">
      <c r="A626" s="79" t="s">
        <v>338</v>
      </c>
      <c r="B626" s="225" t="s">
        <v>456</v>
      </c>
      <c r="C626" s="463">
        <v>45902</v>
      </c>
      <c r="D626" s="79" t="s">
        <v>731</v>
      </c>
      <c r="E626" s="79" t="s">
        <v>727</v>
      </c>
      <c r="G626" s="486"/>
      <c r="H626" s="79" t="s">
        <v>93</v>
      </c>
      <c r="J626" s="194">
        <f>J625</f>
        <v>2280000</v>
      </c>
      <c r="K626" s="194"/>
      <c r="L626" s="194">
        <f>L625</f>
        <v>531012</v>
      </c>
      <c r="M626" s="194">
        <f>SUM(M625)</f>
        <v>159303.6</v>
      </c>
      <c r="T626" s="463">
        <f>T625</f>
        <v>45904</v>
      </c>
      <c r="U626" s="463">
        <f>U625</f>
        <v>45919</v>
      </c>
      <c r="V626" s="463">
        <f>V625</f>
        <v>45939</v>
      </c>
      <c r="X626" s="193" t="s">
        <v>355</v>
      </c>
      <c r="Y626" s="579">
        <f>Y625</f>
        <v>2280000</v>
      </c>
      <c r="Z626" s="192"/>
      <c r="AA626" s="579">
        <f>AA625</f>
        <v>570000</v>
      </c>
      <c r="AB626" s="192"/>
      <c r="AC626" s="192"/>
      <c r="AD626" s="196"/>
      <c r="AE626" s="192"/>
      <c r="AF626" s="192"/>
      <c r="AG626" s="192"/>
      <c r="AH626" s="192"/>
      <c r="AM626" s="192"/>
      <c r="AN626" s="192"/>
      <c r="AQ626" s="463">
        <f>V626</f>
        <v>45939</v>
      </c>
      <c r="AR626" s="463"/>
      <c r="AS626" s="463"/>
      <c r="AT626" s="79" t="str">
        <f>AT625</f>
        <v>Klaipeda</v>
      </c>
      <c r="AU626" s="79">
        <f>AU625</f>
        <v>1069535639</v>
      </c>
      <c r="AV626" s="79">
        <f>AV625</f>
        <v>2</v>
      </c>
      <c r="AW626" s="463">
        <f>AW625</f>
        <v>45969</v>
      </c>
      <c r="AX626" s="194"/>
      <c r="AY626" s="192"/>
      <c r="AZ626" s="150"/>
      <c r="BA626" s="150"/>
      <c r="BB626" s="150"/>
      <c r="BC626" s="150"/>
      <c r="BI626" s="151"/>
    </row>
    <row r="627" s="76" customFormat="1" customHeight="1" spans="1:69">
      <c r="A627" s="76" t="s">
        <v>71</v>
      </c>
      <c r="B627" s="76" t="s">
        <v>440</v>
      </c>
      <c r="C627" s="387"/>
      <c r="D627" s="76" t="s">
        <v>733</v>
      </c>
      <c r="E627" s="76" t="s">
        <v>87</v>
      </c>
      <c r="G627" s="479"/>
      <c r="H627" s="76" t="s">
        <v>71</v>
      </c>
      <c r="J627" s="264">
        <f>1160000*3</f>
        <v>3480000</v>
      </c>
      <c r="K627" s="143">
        <v>0.15705</v>
      </c>
      <c r="L627" s="114">
        <f>J627*K627</f>
        <v>546534</v>
      </c>
      <c r="M627" s="129">
        <f>L627*0.3</f>
        <v>163960.2</v>
      </c>
      <c r="P627" s="91"/>
      <c r="Q627" s="91"/>
      <c r="R627" s="76" t="s">
        <v>88</v>
      </c>
      <c r="S627" s="76" t="s">
        <v>730</v>
      </c>
      <c r="T627" s="387">
        <v>45894</v>
      </c>
      <c r="U627" s="387">
        <f>T627+15</f>
        <v>45909</v>
      </c>
      <c r="V627" s="385">
        <v>45917</v>
      </c>
      <c r="W627" s="224"/>
      <c r="X627" s="133" t="s">
        <v>355</v>
      </c>
      <c r="Y627" s="76">
        <f>1160000*3</f>
        <v>3480000</v>
      </c>
      <c r="Z627" s="140">
        <v>0.165</v>
      </c>
      <c r="AA627" s="114">
        <f>Y627*Z627</f>
        <v>574200</v>
      </c>
      <c r="AB627" s="114"/>
      <c r="AC627" s="114"/>
      <c r="AD627" s="140"/>
      <c r="AE627" s="114"/>
      <c r="AF627" s="114"/>
      <c r="AG627" s="114"/>
      <c r="AH627" s="114"/>
      <c r="AM627" s="114"/>
      <c r="AN627" s="114"/>
      <c r="AQ627" s="387"/>
      <c r="AR627" s="387"/>
      <c r="AS627" s="387"/>
      <c r="AT627" s="387"/>
      <c r="AW627" s="387"/>
      <c r="AX627" s="129"/>
      <c r="AY627" s="114"/>
      <c r="AZ627" s="127"/>
      <c r="BA627" s="127"/>
      <c r="BB627" s="127"/>
      <c r="BC627" s="127"/>
      <c r="BI627" s="75"/>
      <c r="BJ627" s="91"/>
      <c r="BL627" s="76" t="str">
        <f>D627</f>
        <v>INTW-13</v>
      </c>
      <c r="BM627" s="76" t="str">
        <f>A627</f>
        <v>INDEX</v>
      </c>
      <c r="BO627" s="76" t="str">
        <f>E627</f>
        <v>98.9mm 0.20 #401 SE*2</v>
      </c>
      <c r="BP627" s="129">
        <f>J627</f>
        <v>3480000</v>
      </c>
      <c r="BQ627" s="387">
        <f>U627</f>
        <v>45909</v>
      </c>
    </row>
    <row r="628" s="76" customFormat="1" customHeight="1" spans="1:69">
      <c r="A628" s="76" t="s">
        <v>71</v>
      </c>
      <c r="B628" s="76" t="s">
        <v>440</v>
      </c>
      <c r="C628" s="387"/>
      <c r="D628" s="76" t="s">
        <v>734</v>
      </c>
      <c r="G628" s="479"/>
      <c r="J628" s="264">
        <v>1160000</v>
      </c>
      <c r="K628" s="143">
        <v>0.15705</v>
      </c>
      <c r="L628" s="114">
        <f>J628*K628</f>
        <v>182178</v>
      </c>
      <c r="M628" s="129">
        <f>L628*0.3</f>
        <v>54653.4</v>
      </c>
      <c r="N628" s="306">
        <f>54653.4+123860.62</f>
        <v>178514.02</v>
      </c>
      <c r="O628" s="76">
        <f>L628-N628</f>
        <v>3663.98000000001</v>
      </c>
      <c r="P628" s="91"/>
      <c r="Q628" s="91"/>
      <c r="T628" s="387"/>
      <c r="U628" s="387"/>
      <c r="V628" s="385" t="s">
        <v>436</v>
      </c>
      <c r="W628" s="224"/>
      <c r="X628" s="133" t="s">
        <v>355</v>
      </c>
      <c r="Y628" s="76">
        <v>1136670</v>
      </c>
      <c r="Z628" s="140">
        <v>0.165</v>
      </c>
      <c r="AA628" s="114">
        <f>Y628*Z628</f>
        <v>187550.55</v>
      </c>
      <c r="AB628" s="114">
        <v>187550.55</v>
      </c>
      <c r="AC628" s="114">
        <f>AA628-AB628</f>
        <v>0</v>
      </c>
      <c r="AD628" s="140"/>
      <c r="AE628" s="114"/>
      <c r="AF628" s="114"/>
      <c r="AG628" s="114"/>
      <c r="AH628" s="114"/>
      <c r="AK628" s="76">
        <v>1136670</v>
      </c>
      <c r="AL628" s="143">
        <v>0.15705</v>
      </c>
      <c r="AM628" s="114">
        <f>AK628*AL628</f>
        <v>178514.0235</v>
      </c>
      <c r="AN628" s="306">
        <f>54653.4+123860.62</f>
        <v>178514.02</v>
      </c>
      <c r="AO628" s="76">
        <f>AM628-AN628</f>
        <v>0.0034999999916181</v>
      </c>
      <c r="AQ628" s="387" t="s">
        <v>436</v>
      </c>
      <c r="AR628" s="387"/>
      <c r="AS628" s="387"/>
      <c r="AT628" s="387" t="s">
        <v>735</v>
      </c>
      <c r="AV628" s="76">
        <v>1</v>
      </c>
      <c r="AW628" s="387">
        <v>45930</v>
      </c>
      <c r="AX628" s="76">
        <v>1136670</v>
      </c>
      <c r="AY628" s="143">
        <v>0.15705</v>
      </c>
      <c r="AZ628" s="114">
        <f>AX628*AY628</f>
        <v>178514.0235</v>
      </c>
      <c r="BA628" s="127"/>
      <c r="BB628" s="127"/>
      <c r="BC628" s="127"/>
      <c r="BI628" s="75"/>
      <c r="BJ628" s="91"/>
      <c r="BL628" s="76" t="str">
        <f>D628</f>
        <v>INTW-13-1</v>
      </c>
      <c r="BM628" s="76" t="str">
        <f>A628</f>
        <v>INDEX</v>
      </c>
      <c r="BO628" s="76">
        <f>E628</f>
        <v>0</v>
      </c>
      <c r="BP628" s="129">
        <f>J628</f>
        <v>1160000</v>
      </c>
      <c r="BQ628" s="387">
        <f>U628</f>
        <v>0</v>
      </c>
    </row>
    <row r="629" s="76" customFormat="1" customHeight="1" spans="1:69">
      <c r="A629" s="76" t="s">
        <v>71</v>
      </c>
      <c r="B629" s="76" t="s">
        <v>440</v>
      </c>
      <c r="C629" s="387"/>
      <c r="D629" s="76" t="s">
        <v>736</v>
      </c>
      <c r="G629" s="479"/>
      <c r="J629" s="264">
        <v>1160000</v>
      </c>
      <c r="K629" s="143">
        <v>0.15705</v>
      </c>
      <c r="L629" s="114">
        <f>J629*K629</f>
        <v>182178</v>
      </c>
      <c r="M629" s="129">
        <f>L629*0.3</f>
        <v>54653.4</v>
      </c>
      <c r="N629" s="76">
        <v>182178</v>
      </c>
      <c r="O629" s="76">
        <f>L629-N629</f>
        <v>0</v>
      </c>
      <c r="P629" s="91"/>
      <c r="Q629" s="91"/>
      <c r="T629" s="387"/>
      <c r="U629" s="387">
        <v>45979</v>
      </c>
      <c r="V629" s="385">
        <v>45955</v>
      </c>
      <c r="W629" s="224"/>
      <c r="X629" s="133"/>
      <c r="Z629" s="140"/>
      <c r="AA629" s="114"/>
      <c r="AB629" s="114"/>
      <c r="AC629" s="114"/>
      <c r="AD629" s="140"/>
      <c r="AE629" s="114"/>
      <c r="AF629" s="114"/>
      <c r="AG629" s="114"/>
      <c r="AH629" s="114"/>
      <c r="AK629" s="345">
        <v>1160000</v>
      </c>
      <c r="AL629" s="345">
        <v>0.15705</v>
      </c>
      <c r="AM629" s="114">
        <f>AK629*AL629</f>
        <v>182178</v>
      </c>
      <c r="AN629" s="114">
        <v>182178</v>
      </c>
      <c r="AO629" s="76">
        <f>AM629-AN629</f>
        <v>0</v>
      </c>
      <c r="AQ629" s="387" t="s">
        <v>436</v>
      </c>
      <c r="AR629" s="387"/>
      <c r="AS629" s="387"/>
      <c r="AT629" s="387"/>
      <c r="AU629" s="76">
        <v>3273187</v>
      </c>
      <c r="AV629" s="76">
        <v>1</v>
      </c>
      <c r="AW629" s="387">
        <v>45986</v>
      </c>
      <c r="AX629" s="129"/>
      <c r="AY629" s="114"/>
      <c r="AZ629" s="127"/>
      <c r="BA629" s="127"/>
      <c r="BB629" s="127"/>
      <c r="BC629" s="127"/>
      <c r="BI629" s="75"/>
      <c r="BJ629" s="91"/>
      <c r="BL629" s="76" t="str">
        <f>D629</f>
        <v>INTW-13-2</v>
      </c>
      <c r="BM629" s="76" t="str">
        <f>A629</f>
        <v>INDEX</v>
      </c>
      <c r="BO629" s="76">
        <f>E629</f>
        <v>0</v>
      </c>
      <c r="BP629" s="129">
        <f>J629</f>
        <v>1160000</v>
      </c>
      <c r="BQ629" s="387">
        <f>U629</f>
        <v>45979</v>
      </c>
    </row>
    <row r="630" s="76" customFormat="1" customHeight="1" spans="1:69">
      <c r="A630" s="76" t="s">
        <v>71</v>
      </c>
      <c r="B630" s="76" t="s">
        <v>440</v>
      </c>
      <c r="C630" s="387"/>
      <c r="D630" s="76" t="s">
        <v>737</v>
      </c>
      <c r="G630" s="479"/>
      <c r="J630" s="264">
        <v>1160000</v>
      </c>
      <c r="K630" s="143">
        <v>0.15705</v>
      </c>
      <c r="L630" s="114">
        <f>J630*K630</f>
        <v>182178</v>
      </c>
      <c r="M630" s="129">
        <f>L630*0.3</f>
        <v>54653.4</v>
      </c>
      <c r="N630" s="76">
        <v>182178</v>
      </c>
      <c r="O630" s="76">
        <f>L630-N630</f>
        <v>0</v>
      </c>
      <c r="P630" s="91"/>
      <c r="Q630" s="91"/>
      <c r="T630" s="387"/>
      <c r="U630" s="387">
        <v>46009</v>
      </c>
      <c r="V630" s="385">
        <v>45986</v>
      </c>
      <c r="W630" s="224"/>
      <c r="X630" s="133"/>
      <c r="Z630" s="140"/>
      <c r="AA630" s="114"/>
      <c r="AB630" s="114"/>
      <c r="AC630" s="114"/>
      <c r="AD630" s="140"/>
      <c r="AE630" s="114"/>
      <c r="AF630" s="114"/>
      <c r="AG630" s="114"/>
      <c r="AH630" s="114"/>
      <c r="AK630" s="264">
        <v>1160000</v>
      </c>
      <c r="AL630" s="143">
        <v>0.15705</v>
      </c>
      <c r="AM630" s="114">
        <f>AK630*AL630</f>
        <v>182178</v>
      </c>
      <c r="AN630" s="76">
        <v>182178</v>
      </c>
      <c r="AO630" s="76">
        <f>AM630-AN630</f>
        <v>0</v>
      </c>
      <c r="AQ630" s="387"/>
      <c r="AR630" s="387"/>
      <c r="AS630" s="387"/>
      <c r="AT630" s="387"/>
      <c r="AW630" s="387"/>
      <c r="AX630" s="129"/>
      <c r="AY630" s="114"/>
      <c r="AZ630" s="127"/>
      <c r="BA630" s="127"/>
      <c r="BB630" s="127"/>
      <c r="BC630" s="127"/>
      <c r="BI630" s="75"/>
      <c r="BJ630" s="91"/>
      <c r="BL630" s="76" t="str">
        <f>D630</f>
        <v>INTW-13-3</v>
      </c>
      <c r="BM630" s="76" t="str">
        <f>A630</f>
        <v>INDEX</v>
      </c>
      <c r="BO630" s="76">
        <f>E630</f>
        <v>0</v>
      </c>
      <c r="BP630" s="129">
        <f>J630</f>
        <v>1160000</v>
      </c>
      <c r="BQ630" s="387">
        <f>U630</f>
        <v>46009</v>
      </c>
    </row>
    <row r="631" s="79" customFormat="1" customHeight="1" spans="1:69">
      <c r="A631" s="79" t="s">
        <v>71</v>
      </c>
      <c r="C631" s="463"/>
      <c r="D631" s="79" t="s">
        <v>733</v>
      </c>
      <c r="E631" s="79" t="s">
        <v>87</v>
      </c>
      <c r="G631" s="486"/>
      <c r="H631" s="79" t="s">
        <v>71</v>
      </c>
      <c r="J631" s="194">
        <f>J627</f>
        <v>3480000</v>
      </c>
      <c r="K631" s="194"/>
      <c r="L631" s="194">
        <f>L627</f>
        <v>546534</v>
      </c>
      <c r="M631" s="194"/>
      <c r="R631" s="463" t="str">
        <f>R627</f>
        <v>ZM</v>
      </c>
      <c r="S631" s="463" t="str">
        <f>S627</f>
        <v>ZM20250825-A1</v>
      </c>
      <c r="T631" s="463">
        <f>T627</f>
        <v>45894</v>
      </c>
      <c r="U631" s="463">
        <f>U627</f>
        <v>45909</v>
      </c>
      <c r="V631" s="463"/>
      <c r="X631" s="193" t="s">
        <v>355</v>
      </c>
      <c r="Y631" s="738">
        <f>Y627</f>
        <v>3480000</v>
      </c>
      <c r="Z631" s="738">
        <f>Z627</f>
        <v>0.165</v>
      </c>
      <c r="AA631" s="738">
        <f>AA627</f>
        <v>574200</v>
      </c>
      <c r="AB631" s="192"/>
      <c r="AC631" s="192"/>
      <c r="AD631" s="196"/>
      <c r="AE631" s="192"/>
      <c r="AF631" s="192"/>
      <c r="AG631" s="192"/>
      <c r="AH631" s="192"/>
      <c r="AM631" s="192"/>
      <c r="AN631" s="192"/>
      <c r="AQ631" s="463">
        <f>V631</f>
        <v>0</v>
      </c>
      <c r="AR631" s="463"/>
      <c r="AS631" s="463"/>
      <c r="AT631" s="463"/>
      <c r="AW631" s="463"/>
      <c r="AX631" s="194"/>
      <c r="AY631" s="192"/>
      <c r="AZ631" s="150"/>
      <c r="BA631" s="150"/>
      <c r="BB631" s="150"/>
      <c r="BC631" s="150"/>
      <c r="BI631" s="151"/>
    </row>
    <row r="632" s="76" customFormat="1" customHeight="1" spans="1:69">
      <c r="A632" s="76" t="s">
        <v>540</v>
      </c>
      <c r="B632" s="76" t="s">
        <v>440</v>
      </c>
      <c r="C632" s="387"/>
      <c r="D632" s="76" t="s">
        <v>738</v>
      </c>
      <c r="E632" s="76" t="s">
        <v>739</v>
      </c>
      <c r="G632" s="479">
        <f>257929.44</f>
        <v>257929.44</v>
      </c>
      <c r="H632" s="76" t="s">
        <v>93</v>
      </c>
      <c r="J632" s="264">
        <v>696000</v>
      </c>
      <c r="K632" s="373">
        <v>0.224</v>
      </c>
      <c r="L632" s="114">
        <f>J632*K632</f>
        <v>155904</v>
      </c>
      <c r="M632" s="129"/>
      <c r="N632" s="76">
        <v>155904</v>
      </c>
      <c r="P632" s="91"/>
      <c r="Q632" s="91"/>
      <c r="S632" s="76" t="s">
        <v>740</v>
      </c>
      <c r="T632" s="387">
        <v>45919</v>
      </c>
      <c r="U632" s="387">
        <f>T632+15</f>
        <v>45934</v>
      </c>
      <c r="V632" s="387">
        <v>45950</v>
      </c>
      <c r="X632" s="133" t="s">
        <v>441</v>
      </c>
      <c r="Y632" s="264">
        <v>696000</v>
      </c>
      <c r="Z632" s="140">
        <v>0.245</v>
      </c>
      <c r="AA632" s="114">
        <f>Y632*Z632</f>
        <v>170520</v>
      </c>
      <c r="AB632" s="114"/>
      <c r="AC632" s="114"/>
      <c r="AD632" s="140"/>
      <c r="AE632" s="114"/>
      <c r="AF632" s="114"/>
      <c r="AG632" s="114"/>
      <c r="AH632" s="114"/>
      <c r="AI632" s="91"/>
      <c r="AM632" s="114"/>
      <c r="AN632" s="76">
        <v>155904</v>
      </c>
      <c r="AP632" s="91"/>
      <c r="AQ632" s="387"/>
      <c r="AR632" s="387"/>
      <c r="AS632" s="387"/>
      <c r="AT632" s="387" t="s">
        <v>544</v>
      </c>
      <c r="AU632" s="76" t="s">
        <v>741</v>
      </c>
      <c r="AV632" s="76">
        <v>1</v>
      </c>
      <c r="AW632" s="387">
        <v>45961</v>
      </c>
      <c r="AX632" s="129"/>
      <c r="AY632" s="114"/>
      <c r="AZ632" s="127"/>
      <c r="BA632" s="127"/>
      <c r="BB632" s="127"/>
      <c r="BC632" s="127"/>
      <c r="BI632" s="75"/>
      <c r="BJ632" s="91"/>
      <c r="BL632" s="76" t="str">
        <f>D632</f>
        <v>TJTW-89</v>
      </c>
      <c r="BM632" s="76" t="str">
        <f>A632</f>
        <v>SKV</v>
      </c>
      <c r="BO632" s="76" t="str">
        <f>E632</f>
        <v>EOE diam.98.9mm #401</v>
      </c>
      <c r="BP632" s="129">
        <f>J632</f>
        <v>696000</v>
      </c>
      <c r="BQ632" s="387">
        <f>U632</f>
        <v>45934</v>
      </c>
    </row>
    <row r="633" s="76" customFormat="1" customHeight="1" spans="1:69">
      <c r="A633" s="76" t="s">
        <v>540</v>
      </c>
      <c r="B633" s="76" t="s">
        <v>440</v>
      </c>
      <c r="C633" s="387"/>
      <c r="D633" s="76" t="s">
        <v>738</v>
      </c>
      <c r="E633" s="76" t="s">
        <v>742</v>
      </c>
      <c r="G633" s="479"/>
      <c r="H633" s="76" t="s">
        <v>93</v>
      </c>
      <c r="J633" s="264">
        <v>601920</v>
      </c>
      <c r="K633" s="373">
        <v>0.1695</v>
      </c>
      <c r="L633" s="114">
        <f>J633*K633</f>
        <v>102025.44</v>
      </c>
      <c r="M633" s="129"/>
      <c r="N633" s="76">
        <v>102025.44</v>
      </c>
      <c r="P633" s="91"/>
      <c r="Q633" s="91"/>
      <c r="S633" s="76" t="s">
        <v>740</v>
      </c>
      <c r="T633" s="387">
        <v>45919</v>
      </c>
      <c r="U633" s="387">
        <f>T633+15</f>
        <v>45934</v>
      </c>
      <c r="V633" s="387">
        <v>45950</v>
      </c>
      <c r="X633" s="133" t="s">
        <v>441</v>
      </c>
      <c r="Y633" s="264">
        <v>601920</v>
      </c>
      <c r="Z633" s="140">
        <v>0.185</v>
      </c>
      <c r="AA633" s="114">
        <f>Y633*Z633</f>
        <v>111355.2</v>
      </c>
      <c r="AB633" s="114"/>
      <c r="AC633" s="114"/>
      <c r="AD633" s="140"/>
      <c r="AE633" s="114"/>
      <c r="AF633" s="114"/>
      <c r="AG633" s="114"/>
      <c r="AH633" s="114"/>
      <c r="AM633" s="114"/>
      <c r="AN633" s="76">
        <v>102025.44</v>
      </c>
      <c r="AQ633" s="387"/>
      <c r="AR633" s="387"/>
      <c r="AS633" s="387"/>
      <c r="AT633" s="387"/>
      <c r="AW633" s="387"/>
      <c r="AX633" s="129"/>
      <c r="AY633" s="114"/>
      <c r="AZ633" s="127"/>
      <c r="BA633" s="127"/>
      <c r="BB633" s="127"/>
      <c r="BC633" s="127"/>
      <c r="BI633" s="75"/>
      <c r="BJ633" s="91"/>
      <c r="BL633" s="76" t="str">
        <f>D633</f>
        <v>TJTW-89</v>
      </c>
      <c r="BM633" s="76" t="str">
        <f>A633</f>
        <v>SKV</v>
      </c>
      <c r="BO633" s="76" t="str">
        <f>E633</f>
        <v>EOE diam.98.9mm #307</v>
      </c>
      <c r="BP633" s="129">
        <f>J633</f>
        <v>601920</v>
      </c>
      <c r="BQ633" s="387">
        <f>U633</f>
        <v>45934</v>
      </c>
    </row>
    <row r="634" s="79" customFormat="1" customHeight="1" spans="1:69">
      <c r="A634" s="79" t="s">
        <v>540</v>
      </c>
      <c r="C634" s="463"/>
      <c r="D634" s="79" t="s">
        <v>738</v>
      </c>
      <c r="E634" s="79" t="s">
        <v>743</v>
      </c>
      <c r="G634" s="486"/>
      <c r="H634" s="79" t="s">
        <v>93</v>
      </c>
      <c r="J634" s="194">
        <f>SUM(J632:J633)</f>
        <v>1297920</v>
      </c>
      <c r="K634" s="194"/>
      <c r="L634" s="194">
        <f>SUM(L632:L633)</f>
        <v>257929.44</v>
      </c>
      <c r="M634" s="194"/>
      <c r="N634" s="79">
        <f>SUM(N632:N633)</f>
        <v>257929.44</v>
      </c>
      <c r="R634" s="79" t="s">
        <v>88</v>
      </c>
      <c r="S634" s="79" t="s">
        <v>740</v>
      </c>
      <c r="T634" s="463"/>
      <c r="U634" s="463"/>
      <c r="V634" s="463">
        <f>V633</f>
        <v>45950</v>
      </c>
      <c r="X634" s="193"/>
      <c r="Y634" s="194">
        <f>SUM(Y632:Y633)</f>
        <v>1297920</v>
      </c>
      <c r="Z634" s="192"/>
      <c r="AA634" s="194">
        <f>SUM(AA632:AA633)</f>
        <v>281875.2</v>
      </c>
      <c r="AB634" s="192">
        <v>281875.2</v>
      </c>
      <c r="AC634" s="192">
        <f>AA634-AB634</f>
        <v>0</v>
      </c>
      <c r="AD634" s="196"/>
      <c r="AE634" s="192"/>
      <c r="AF634" s="192"/>
      <c r="AG634" s="192"/>
      <c r="AH634" s="192"/>
      <c r="AM634" s="192"/>
      <c r="AN634" s="192"/>
      <c r="AQ634" s="463">
        <f t="shared" ref="AQ634:AQ641" si="77">V634</f>
        <v>45950</v>
      </c>
      <c r="AR634" s="463"/>
      <c r="AS634" s="463"/>
      <c r="AT634" s="463"/>
      <c r="AW634" s="463"/>
      <c r="AX634" s="194"/>
      <c r="AY634" s="192"/>
      <c r="AZ634" s="150"/>
      <c r="BA634" s="150"/>
      <c r="BB634" s="150"/>
      <c r="BC634" s="150"/>
      <c r="BI634" s="151"/>
    </row>
    <row r="635" s="76" customFormat="1" customHeight="1" spans="1:69">
      <c r="A635" s="76" t="s">
        <v>744</v>
      </c>
      <c r="B635" s="76" t="s">
        <v>440</v>
      </c>
      <c r="C635" s="387" t="s">
        <v>745</v>
      </c>
      <c r="D635" s="76" t="s">
        <v>746</v>
      </c>
      <c r="E635" s="76" t="s">
        <v>747</v>
      </c>
      <c r="G635" s="479">
        <v>13</v>
      </c>
      <c r="J635" s="129">
        <v>27</v>
      </c>
      <c r="K635" s="129">
        <v>6050</v>
      </c>
      <c r="L635" s="114">
        <f t="shared" ref="L635:L640" si="78">J635*K635</f>
        <v>163350</v>
      </c>
      <c r="M635" s="129"/>
      <c r="N635" s="306">
        <f>147015+14701.5+3932.5</f>
        <v>165649</v>
      </c>
      <c r="P635" s="91"/>
      <c r="Q635" s="91"/>
      <c r="S635" s="76" t="s">
        <v>748</v>
      </c>
      <c r="T635" s="387">
        <v>45919</v>
      </c>
      <c r="U635" s="387">
        <f>T641+60</f>
        <v>45979</v>
      </c>
      <c r="V635" s="387">
        <v>45988</v>
      </c>
      <c r="X635" s="133" t="s">
        <v>441</v>
      </c>
      <c r="Y635" s="129">
        <v>27</v>
      </c>
      <c r="Z635" s="114">
        <v>5800</v>
      </c>
      <c r="AA635" s="114">
        <f t="shared" ref="AA635:AA640" si="79">Y635*Z635</f>
        <v>156600</v>
      </c>
      <c r="AB635" s="114"/>
      <c r="AC635" s="114"/>
      <c r="AD635" s="140"/>
      <c r="AE635" s="114"/>
      <c r="AF635" s="114"/>
      <c r="AG635" s="114"/>
      <c r="AH635" s="114"/>
      <c r="AI635" s="91"/>
      <c r="AM635" s="114"/>
      <c r="AN635" s="306">
        <f>147015+14701.5+3932.5</f>
        <v>165649</v>
      </c>
      <c r="AP635" s="91"/>
      <c r="AQ635" s="387">
        <f t="shared" si="77"/>
        <v>45988</v>
      </c>
      <c r="AR635" s="387"/>
      <c r="AS635" s="387"/>
      <c r="AT635" s="387" t="s">
        <v>298</v>
      </c>
      <c r="AU635" s="76" t="s">
        <v>749</v>
      </c>
      <c r="AV635" s="76">
        <v>4</v>
      </c>
      <c r="AW635" s="387">
        <v>45660</v>
      </c>
      <c r="AX635" s="129"/>
      <c r="AY635" s="114"/>
      <c r="AZ635" s="127"/>
      <c r="BA635" s="127"/>
      <c r="BB635" s="127"/>
      <c r="BC635" s="127"/>
      <c r="BI635" s="75"/>
      <c r="BJ635" s="91"/>
      <c r="BL635" s="76" t="str">
        <f t="shared" ref="BL635:BL640" si="80">D635</f>
        <v>TJTW-90</v>
      </c>
      <c r="BM635" s="76" t="str">
        <f t="shared" ref="BM635:BM640" si="81">A635</f>
        <v>SKARDA</v>
      </c>
      <c r="BO635" s="76" t="str">
        <f t="shared" ref="BO635:BO640" si="82">E635</f>
        <v>0.18*862*783 T5BA 2.8/2.8</v>
      </c>
      <c r="BP635" s="129">
        <f t="shared" ref="BP635:BP640" si="83">J635</f>
        <v>27</v>
      </c>
      <c r="BQ635" s="387">
        <f t="shared" ref="BQ635:BQ640" si="84">U635</f>
        <v>45979</v>
      </c>
    </row>
    <row r="636" s="76" customFormat="1" customHeight="1" spans="1:69">
      <c r="A636" s="76" t="s">
        <v>744</v>
      </c>
      <c r="B636" s="76" t="s">
        <v>440</v>
      </c>
      <c r="C636" s="387" t="s">
        <v>745</v>
      </c>
      <c r="D636" s="76" t="s">
        <v>746</v>
      </c>
      <c r="E636" s="76" t="s">
        <v>750</v>
      </c>
      <c r="G636" s="479">
        <v>10</v>
      </c>
      <c r="J636" s="129">
        <v>27</v>
      </c>
      <c r="K636" s="129">
        <v>6050</v>
      </c>
      <c r="L636" s="114">
        <f t="shared" si="78"/>
        <v>163350</v>
      </c>
      <c r="M636" s="129"/>
      <c r="N636" s="306">
        <f>147015+14701.5+21023.75</f>
        <v>182740.25</v>
      </c>
      <c r="P636" s="91"/>
      <c r="Q636" s="91"/>
      <c r="S636" s="76" t="s">
        <v>748</v>
      </c>
      <c r="T636" s="387">
        <v>45919</v>
      </c>
      <c r="U636" s="387">
        <f>T641+60</f>
        <v>45979</v>
      </c>
      <c r="V636" s="387">
        <v>45988</v>
      </c>
      <c r="X636" s="133" t="s">
        <v>441</v>
      </c>
      <c r="Y636" s="129">
        <v>27</v>
      </c>
      <c r="Z636" s="114">
        <v>5800</v>
      </c>
      <c r="AA636" s="114">
        <f t="shared" si="79"/>
        <v>156600</v>
      </c>
      <c r="AB636" s="114"/>
      <c r="AC636" s="114"/>
      <c r="AD636" s="140"/>
      <c r="AE636" s="114"/>
      <c r="AF636" s="114"/>
      <c r="AG636" s="114"/>
      <c r="AH636" s="114"/>
      <c r="AM636" s="114"/>
      <c r="AN636" s="306">
        <f>147015+14701.5+21023.75</f>
        <v>182740.25</v>
      </c>
      <c r="AQ636" s="387">
        <f t="shared" si="77"/>
        <v>45988</v>
      </c>
      <c r="AR636" s="387"/>
      <c r="AS636" s="387"/>
      <c r="AT636" s="387" t="s">
        <v>298</v>
      </c>
      <c r="AU636" s="76" t="s">
        <v>751</v>
      </c>
      <c r="AV636" s="76">
        <v>4</v>
      </c>
      <c r="AW636" s="387">
        <v>45660</v>
      </c>
      <c r="AX636" s="129"/>
      <c r="AY636" s="114"/>
      <c r="AZ636" s="127"/>
      <c r="BA636" s="127"/>
      <c r="BB636" s="127"/>
      <c r="BC636" s="127"/>
      <c r="BI636" s="75"/>
      <c r="BJ636" s="91"/>
      <c r="BL636" s="76" t="str">
        <f t="shared" si="80"/>
        <v>TJTW-90</v>
      </c>
      <c r="BM636" s="76" t="str">
        <f t="shared" si="81"/>
        <v>SKARDA</v>
      </c>
      <c r="BO636" s="76" t="str">
        <f t="shared" si="82"/>
        <v>0.18*890*807.3 T5BA 2.8/2.8</v>
      </c>
      <c r="BP636" s="129">
        <f t="shared" si="83"/>
        <v>27</v>
      </c>
      <c r="BQ636" s="387">
        <f t="shared" si="84"/>
        <v>45979</v>
      </c>
    </row>
    <row r="637" s="76" customFormat="1" customHeight="1" spans="1:69">
      <c r="A637" s="76" t="s">
        <v>744</v>
      </c>
      <c r="B637" s="76" t="s">
        <v>440</v>
      </c>
      <c r="C637" s="387" t="s">
        <v>745</v>
      </c>
      <c r="D637" s="76" t="s">
        <v>746</v>
      </c>
      <c r="E637" s="76" t="s">
        <v>752</v>
      </c>
      <c r="G637" s="479"/>
      <c r="J637" s="129">
        <v>27</v>
      </c>
      <c r="K637" s="129">
        <v>6200</v>
      </c>
      <c r="L637" s="114">
        <f t="shared" si="78"/>
        <v>167400</v>
      </c>
      <c r="M637" s="129"/>
      <c r="N637" s="306">
        <f>150660+15066</f>
        <v>165726</v>
      </c>
      <c r="P637" s="91"/>
      <c r="Q637" s="91"/>
      <c r="S637" s="76" t="s">
        <v>748</v>
      </c>
      <c r="T637" s="387">
        <v>45919</v>
      </c>
      <c r="U637" s="387">
        <f>T642+60</f>
        <v>60</v>
      </c>
      <c r="V637" s="387">
        <v>45988</v>
      </c>
      <c r="X637" s="133" t="s">
        <v>441</v>
      </c>
      <c r="Y637" s="129">
        <v>27</v>
      </c>
      <c r="Z637" s="114">
        <v>5950</v>
      </c>
      <c r="AA637" s="114">
        <f t="shared" si="79"/>
        <v>160650</v>
      </c>
      <c r="AB637" s="114"/>
      <c r="AC637" s="114"/>
      <c r="AD637" s="140"/>
      <c r="AE637" s="114"/>
      <c r="AF637" s="114"/>
      <c r="AG637" s="114"/>
      <c r="AH637" s="114"/>
      <c r="AM637" s="114"/>
      <c r="AN637" s="306">
        <f>150660+15066</f>
        <v>165726</v>
      </c>
      <c r="AQ637" s="387">
        <f t="shared" si="77"/>
        <v>45988</v>
      </c>
      <c r="AR637" s="387"/>
      <c r="AS637" s="387"/>
      <c r="AT637" s="387"/>
      <c r="AV637" s="76">
        <v>4</v>
      </c>
      <c r="AW637" s="387" t="s">
        <v>665</v>
      </c>
      <c r="AX637" s="129"/>
      <c r="AY637" s="114"/>
      <c r="AZ637" s="127"/>
      <c r="BA637" s="127"/>
      <c r="BB637" s="127"/>
      <c r="BC637" s="127"/>
      <c r="BI637" s="75"/>
      <c r="BJ637" s="91"/>
      <c r="BL637" s="76" t="str">
        <f t="shared" si="80"/>
        <v>TJTW-90</v>
      </c>
      <c r="BM637" s="76" t="str">
        <f t="shared" si="81"/>
        <v>SKARDA</v>
      </c>
      <c r="BO637" s="76" t="str">
        <f t="shared" si="82"/>
        <v>0.17*944*795 T4BA 2.8/2.8</v>
      </c>
      <c r="BP637" s="129">
        <f t="shared" si="83"/>
        <v>27</v>
      </c>
      <c r="BQ637" s="387">
        <f t="shared" si="84"/>
        <v>60</v>
      </c>
    </row>
    <row r="638" s="76" customFormat="1" customHeight="1" spans="1:69">
      <c r="A638" s="76" t="s">
        <v>744</v>
      </c>
      <c r="B638" s="76" t="s">
        <v>440</v>
      </c>
      <c r="C638" s="387" t="s">
        <v>745</v>
      </c>
      <c r="D638" s="76" t="s">
        <v>746</v>
      </c>
      <c r="E638" s="76" t="s">
        <v>753</v>
      </c>
      <c r="G638" s="479">
        <v>7</v>
      </c>
      <c r="J638" s="129">
        <v>108</v>
      </c>
      <c r="K638" s="129">
        <v>6050</v>
      </c>
      <c r="L638" s="114">
        <f t="shared" si="78"/>
        <v>653400</v>
      </c>
      <c r="M638" s="129"/>
      <c r="N638" s="306">
        <f>588060+58806+43348.25</f>
        <v>690214.25</v>
      </c>
      <c r="P638" s="91"/>
      <c r="Q638" s="91"/>
      <c r="S638" s="76" t="s">
        <v>748</v>
      </c>
      <c r="T638" s="387">
        <v>45919</v>
      </c>
      <c r="U638" s="387">
        <f>T647+60</f>
        <v>45984</v>
      </c>
      <c r="V638" s="387">
        <v>45988</v>
      </c>
      <c r="X638" s="133" t="s">
        <v>441</v>
      </c>
      <c r="Y638" s="129">
        <v>108</v>
      </c>
      <c r="Z638" s="114">
        <v>5800</v>
      </c>
      <c r="AA638" s="114">
        <f t="shared" si="79"/>
        <v>626400</v>
      </c>
      <c r="AB638" s="114"/>
      <c r="AC638" s="114"/>
      <c r="AD638" s="140"/>
      <c r="AE638" s="114"/>
      <c r="AF638" s="114"/>
      <c r="AG638" s="114"/>
      <c r="AH638" s="114"/>
      <c r="AM638" s="114"/>
      <c r="AN638" s="306">
        <f>588060+58806+43348.25</f>
        <v>690214.25</v>
      </c>
      <c r="AQ638" s="387">
        <f t="shared" si="77"/>
        <v>45988</v>
      </c>
      <c r="AR638" s="387"/>
      <c r="AS638" s="387"/>
      <c r="AT638" s="387" t="s">
        <v>298</v>
      </c>
      <c r="AU638" s="76" t="s">
        <v>754</v>
      </c>
      <c r="AV638" s="76">
        <v>4</v>
      </c>
      <c r="AW638" s="387" t="s">
        <v>755</v>
      </c>
      <c r="AX638" s="129" t="s">
        <v>756</v>
      </c>
      <c r="AY638" s="114"/>
      <c r="AZ638" s="127"/>
      <c r="BA638" s="127"/>
      <c r="BB638" s="127"/>
      <c r="BC638" s="127"/>
      <c r="BI638" s="75"/>
      <c r="BJ638" s="91"/>
      <c r="BL638" s="76" t="str">
        <f t="shared" si="80"/>
        <v>TJTW-90</v>
      </c>
      <c r="BM638" s="76" t="str">
        <f t="shared" si="81"/>
        <v>SKARDA</v>
      </c>
      <c r="BO638" s="76" t="str">
        <f t="shared" si="82"/>
        <v>0.16*892*808.4 T4BA 2.0/2.0</v>
      </c>
      <c r="BP638" s="129">
        <f t="shared" si="83"/>
        <v>108</v>
      </c>
      <c r="BQ638" s="387">
        <f t="shared" si="84"/>
        <v>45984</v>
      </c>
    </row>
    <row r="639" s="76" customFormat="1" customHeight="1" spans="1:69">
      <c r="A639" s="76" t="s">
        <v>744</v>
      </c>
      <c r="B639" s="76" t="s">
        <v>440</v>
      </c>
      <c r="C639" s="387" t="s">
        <v>745</v>
      </c>
      <c r="D639" s="76" t="s">
        <v>746</v>
      </c>
      <c r="E639" s="76" t="s">
        <v>757</v>
      </c>
      <c r="G639" s="479">
        <v>8</v>
      </c>
      <c r="J639" s="129">
        <v>135</v>
      </c>
      <c r="K639" s="129">
        <v>5760</v>
      </c>
      <c r="L639" s="114">
        <f t="shared" si="78"/>
        <v>777600</v>
      </c>
      <c r="M639" s="129"/>
      <c r="N639" s="306">
        <f>699840+69984</f>
        <v>769824</v>
      </c>
      <c r="P639" s="91"/>
      <c r="Q639" s="91"/>
      <c r="S639" s="76" t="s">
        <v>748</v>
      </c>
      <c r="T639" s="387">
        <v>45919</v>
      </c>
      <c r="U639" s="387">
        <f>T648+60</f>
        <v>60</v>
      </c>
      <c r="V639" s="387">
        <v>45988</v>
      </c>
      <c r="X639" s="133" t="s">
        <v>441</v>
      </c>
      <c r="Y639" s="129">
        <v>135</v>
      </c>
      <c r="Z639" s="114">
        <v>5510</v>
      </c>
      <c r="AA639" s="114">
        <f t="shared" si="79"/>
        <v>743850</v>
      </c>
      <c r="AB639" s="114"/>
      <c r="AC639" s="114"/>
      <c r="AD639" s="140"/>
      <c r="AE639" s="114"/>
      <c r="AF639" s="114"/>
      <c r="AG639" s="114"/>
      <c r="AH639" s="114"/>
      <c r="AM639" s="114"/>
      <c r="AN639" s="306">
        <f>699840+69984</f>
        <v>769824</v>
      </c>
      <c r="AQ639" s="387">
        <f t="shared" si="77"/>
        <v>45988</v>
      </c>
      <c r="AR639" s="387"/>
      <c r="AS639" s="387"/>
      <c r="AT639" s="387"/>
      <c r="AW639" s="387"/>
      <c r="AX639" s="129"/>
      <c r="AY639" s="114"/>
      <c r="AZ639" s="127"/>
      <c r="BA639" s="127"/>
      <c r="BB639" s="127"/>
      <c r="BC639" s="127"/>
      <c r="BI639" s="75"/>
      <c r="BJ639" s="91"/>
      <c r="BL639" s="76" t="str">
        <f t="shared" si="80"/>
        <v>TJTW-90</v>
      </c>
      <c r="BM639" s="76" t="str">
        <f t="shared" si="81"/>
        <v>SKARDA</v>
      </c>
      <c r="BO639" s="76" t="str">
        <f t="shared" si="82"/>
        <v>0.15*868*872.4 DR9BA 1.0/1.0</v>
      </c>
      <c r="BP639" s="129">
        <f t="shared" si="83"/>
        <v>135</v>
      </c>
      <c r="BQ639" s="387">
        <f t="shared" si="84"/>
        <v>60</v>
      </c>
    </row>
    <row r="640" s="76" customFormat="1" customHeight="1" spans="1:69">
      <c r="A640" s="76" t="s">
        <v>744</v>
      </c>
      <c r="B640" s="76" t="s">
        <v>440</v>
      </c>
      <c r="C640" s="387" t="s">
        <v>745</v>
      </c>
      <c r="D640" s="76" t="s">
        <v>746</v>
      </c>
      <c r="E640" s="76" t="s">
        <v>758</v>
      </c>
      <c r="G640" s="479">
        <v>9</v>
      </c>
      <c r="J640" s="129">
        <v>27</v>
      </c>
      <c r="K640" s="129">
        <v>5760</v>
      </c>
      <c r="L640" s="114">
        <f t="shared" si="78"/>
        <v>155520</v>
      </c>
      <c r="M640" s="129"/>
      <c r="N640" s="306">
        <f>139968+13996.8+7228.80000000002</f>
        <v>161193.6</v>
      </c>
      <c r="P640" s="91"/>
      <c r="Q640" s="91"/>
      <c r="S640" s="76" t="s">
        <v>748</v>
      </c>
      <c r="T640" s="387">
        <v>45919</v>
      </c>
      <c r="U640" s="387">
        <f>T649+60</f>
        <v>60</v>
      </c>
      <c r="V640" s="387">
        <v>45988</v>
      </c>
      <c r="X640" s="133" t="s">
        <v>441</v>
      </c>
      <c r="Y640" s="129">
        <v>27</v>
      </c>
      <c r="Z640" s="114">
        <v>5510</v>
      </c>
      <c r="AA640" s="114">
        <f t="shared" si="79"/>
        <v>148770</v>
      </c>
      <c r="AB640" s="114"/>
      <c r="AC640" s="114"/>
      <c r="AD640" s="140"/>
      <c r="AE640" s="114"/>
      <c r="AF640" s="114"/>
      <c r="AG640" s="114"/>
      <c r="AH640" s="114"/>
      <c r="AM640" s="114"/>
      <c r="AN640" s="306">
        <f>139968+13996.8+7228.80000000002</f>
        <v>161193.6</v>
      </c>
      <c r="AQ640" s="387">
        <f t="shared" si="77"/>
        <v>45988</v>
      </c>
      <c r="AR640" s="387"/>
      <c r="AS640" s="387"/>
      <c r="AT640" s="387"/>
      <c r="AW640" s="387"/>
      <c r="AX640" s="129"/>
      <c r="AY640" s="114"/>
      <c r="AZ640" s="127"/>
      <c r="BA640" s="127"/>
      <c r="BB640" s="127"/>
      <c r="BC640" s="127"/>
      <c r="BI640" s="75"/>
      <c r="BJ640" s="91"/>
      <c r="BL640" s="76" t="str">
        <f t="shared" si="80"/>
        <v>TJTW-90</v>
      </c>
      <c r="BM640" s="76" t="str">
        <f t="shared" si="81"/>
        <v>SKARDA</v>
      </c>
      <c r="BO640" s="76" t="str">
        <f t="shared" si="82"/>
        <v>0.15*890*917 DR9BA 1.0/1.0</v>
      </c>
      <c r="BP640" s="129">
        <f t="shared" si="83"/>
        <v>27</v>
      </c>
      <c r="BQ640" s="387">
        <f t="shared" si="84"/>
        <v>60</v>
      </c>
    </row>
    <row r="641" s="79" customFormat="1" customHeight="1" spans="1:69">
      <c r="A641" s="79" t="s">
        <v>744</v>
      </c>
      <c r="C641" s="463" t="s">
        <v>745</v>
      </c>
      <c r="D641" s="79" t="s">
        <v>746</v>
      </c>
      <c r="G641" s="486"/>
      <c r="J641" s="194">
        <f>SUM(J635:J640)</f>
        <v>351</v>
      </c>
      <c r="K641" s="194"/>
      <c r="L641" s="194">
        <f>SUM(L635:L640)</f>
        <v>2080620</v>
      </c>
      <c r="M641" s="194"/>
      <c r="N641" s="79">
        <f>SUM(N635:N640)</f>
        <v>2135347.1</v>
      </c>
      <c r="R641" s="79" t="s">
        <v>88</v>
      </c>
      <c r="S641" s="79" t="s">
        <v>748</v>
      </c>
      <c r="T641" s="463">
        <v>45919</v>
      </c>
      <c r="U641" s="463">
        <f>T641+60</f>
        <v>45979</v>
      </c>
      <c r="V641" s="463">
        <v>45988</v>
      </c>
      <c r="X641" s="193" t="s">
        <v>432</v>
      </c>
      <c r="Y641" s="194">
        <f>SUM(Y635:Y640)</f>
        <v>351</v>
      </c>
      <c r="Z641" s="192"/>
      <c r="AA641" s="194">
        <f>SUM(AA635:AA640)</f>
        <v>1992870</v>
      </c>
      <c r="AB641" s="192"/>
      <c r="AC641" s="192"/>
      <c r="AD641" s="196"/>
      <c r="AE641" s="192"/>
      <c r="AF641" s="192"/>
      <c r="AG641" s="192"/>
      <c r="AH641" s="192"/>
      <c r="AM641" s="192"/>
      <c r="AN641" s="192">
        <f>SUM(AN635:AN640)</f>
        <v>2135347.1</v>
      </c>
      <c r="AQ641" s="463">
        <f t="shared" si="77"/>
        <v>45988</v>
      </c>
      <c r="AR641" s="463"/>
      <c r="AS641" s="463"/>
      <c r="AT641" s="463"/>
      <c r="AW641" s="463"/>
      <c r="AX641" s="194"/>
      <c r="AY641" s="192"/>
      <c r="AZ641" s="150"/>
      <c r="BA641" s="150"/>
      <c r="BB641" s="150"/>
      <c r="BC641" s="150"/>
      <c r="BI641" s="151"/>
    </row>
    <row r="642" s="76" customFormat="1" customHeight="1" spans="1:69">
      <c r="A642" s="76" t="s">
        <v>759</v>
      </c>
      <c r="B642" s="76" t="s">
        <v>456</v>
      </c>
      <c r="C642" s="387"/>
      <c r="D642" s="76" t="s">
        <v>760</v>
      </c>
      <c r="E642" s="76" t="s">
        <v>761</v>
      </c>
      <c r="F642" s="84"/>
      <c r="G642" s="479"/>
      <c r="I642" s="84"/>
      <c r="J642" s="129">
        <v>18</v>
      </c>
      <c r="K642" s="129">
        <v>6030</v>
      </c>
      <c r="L642" s="114">
        <f>J642*K642</f>
        <v>108540</v>
      </c>
      <c r="M642" s="129"/>
      <c r="N642" s="76">
        <v>321043.23</v>
      </c>
      <c r="P642" s="91"/>
      <c r="Q642" s="91"/>
      <c r="S642" s="76" t="s">
        <v>762</v>
      </c>
      <c r="T642" s="387"/>
      <c r="U642" s="387">
        <v>45998</v>
      </c>
      <c r="V642" s="387">
        <v>46004</v>
      </c>
      <c r="X642" s="133" t="s">
        <v>441</v>
      </c>
      <c r="Y642" s="76">
        <v>54</v>
      </c>
      <c r="Z642" s="114">
        <v>5780</v>
      </c>
      <c r="AA642" s="114">
        <f>Z642*Y642</f>
        <v>312120</v>
      </c>
      <c r="AB642" s="114"/>
      <c r="AC642" s="114"/>
      <c r="AD642" s="90"/>
      <c r="AE642" s="86"/>
      <c r="AF642" s="86"/>
      <c r="AG642" s="86"/>
      <c r="AH642" s="86"/>
      <c r="AI642" s="91"/>
      <c r="AJ642" s="84"/>
      <c r="AM642" s="114"/>
      <c r="AN642" s="76">
        <v>321043.23</v>
      </c>
      <c r="AP642" s="91"/>
      <c r="AQ642" s="387">
        <v>45991</v>
      </c>
      <c r="AR642" s="387"/>
      <c r="AS642" s="387"/>
      <c r="AT642" s="387"/>
      <c r="AU642" s="76" t="s">
        <v>763</v>
      </c>
      <c r="AV642" s="76">
        <v>2</v>
      </c>
      <c r="AW642" s="387">
        <v>45997</v>
      </c>
      <c r="AX642" s="129"/>
      <c r="AY642" s="114"/>
      <c r="AZ642" s="127"/>
      <c r="BA642" s="127"/>
      <c r="BB642" s="127"/>
      <c r="BC642" s="127"/>
      <c r="BI642" s="75"/>
      <c r="BJ642" s="91"/>
      <c r="BL642" s="76" t="str">
        <f>D642</f>
        <v>TJTW-91</v>
      </c>
      <c r="BM642" s="76" t="str">
        <f>A642</f>
        <v>LB</v>
      </c>
      <c r="BO642" s="76" t="str">
        <f>E642</f>
        <v>0.24*1023*954 2.0/2.0 T3 FF6716-5</v>
      </c>
      <c r="BP642" s="129">
        <f>J642</f>
        <v>18</v>
      </c>
      <c r="BQ642" s="387">
        <f>U642</f>
        <v>45998</v>
      </c>
    </row>
    <row r="643" s="224" customFormat="1" customHeight="1" spans="1:69">
      <c r="A643" s="76" t="s">
        <v>759</v>
      </c>
      <c r="B643" s="76" t="s">
        <v>456</v>
      </c>
      <c r="C643" s="385"/>
      <c r="D643" s="76" t="s">
        <v>760</v>
      </c>
      <c r="E643" s="76" t="s">
        <v>764</v>
      </c>
      <c r="F643" s="84"/>
      <c r="G643" s="739"/>
      <c r="I643" s="84"/>
      <c r="J643" s="337">
        <v>6</v>
      </c>
      <c r="K643" s="129">
        <v>6030</v>
      </c>
      <c r="L643" s="114">
        <f>J643*K643</f>
        <v>36180</v>
      </c>
      <c r="M643" s="337"/>
      <c r="N643" s="224">
        <v>39200</v>
      </c>
      <c r="P643" s="102"/>
      <c r="Q643" s="102"/>
      <c r="S643" s="76"/>
      <c r="T643" s="385"/>
      <c r="U643" s="387">
        <v>45998</v>
      </c>
      <c r="V643" s="387">
        <v>46004</v>
      </c>
      <c r="X643" s="602" t="s">
        <v>441</v>
      </c>
      <c r="Z643" s="383"/>
      <c r="AA643" s="383"/>
      <c r="AB643" s="383"/>
      <c r="AC643" s="383"/>
      <c r="AD643" s="90"/>
      <c r="AE643" s="86"/>
      <c r="AF643" s="86"/>
      <c r="AG643" s="86"/>
      <c r="AH643" s="86"/>
      <c r="AI643" s="102"/>
      <c r="AJ643" s="84"/>
      <c r="AM643" s="383"/>
      <c r="AN643" s="224">
        <v>39200</v>
      </c>
      <c r="AP643" s="102"/>
      <c r="AQ643" s="385"/>
      <c r="AR643" s="385"/>
      <c r="AS643" s="385"/>
      <c r="AT643" s="385"/>
      <c r="AW643" s="385"/>
      <c r="AX643" s="337"/>
      <c r="AY643" s="383"/>
      <c r="AZ643" s="350"/>
      <c r="BA643" s="350"/>
      <c r="BB643" s="350"/>
      <c r="BC643" s="350"/>
      <c r="BI643" s="294"/>
      <c r="BJ643" s="102"/>
      <c r="BL643" s="76" t="str">
        <f>D643</f>
        <v>TJTW-91</v>
      </c>
      <c r="BM643" s="76" t="str">
        <f>A643</f>
        <v>LB</v>
      </c>
      <c r="BO643" s="76" t="str">
        <f>E643</f>
        <v>0.24*1023*954 2.0/2.0 T3 MN7715-5</v>
      </c>
      <c r="BP643" s="129">
        <f>J643</f>
        <v>6</v>
      </c>
      <c r="BQ643" s="387">
        <f>U643</f>
        <v>45998</v>
      </c>
    </row>
    <row r="644" s="224" customFormat="1" customHeight="1" spans="1:69">
      <c r="A644" s="76" t="s">
        <v>759</v>
      </c>
      <c r="B644" s="76" t="s">
        <v>456</v>
      </c>
      <c r="C644" s="385"/>
      <c r="D644" s="76" t="s">
        <v>760</v>
      </c>
      <c r="E644" s="76" t="s">
        <v>765</v>
      </c>
      <c r="F644" s="84"/>
      <c r="G644" s="739"/>
      <c r="I644" s="84"/>
      <c r="J644" s="337">
        <v>20</v>
      </c>
      <c r="K644" s="129">
        <v>6030</v>
      </c>
      <c r="L644" s="114">
        <f>J644*K644</f>
        <v>120600</v>
      </c>
      <c r="M644" s="337"/>
      <c r="P644" s="102"/>
      <c r="Q644" s="102"/>
      <c r="S644" s="76"/>
      <c r="T644" s="385"/>
      <c r="U644" s="387">
        <v>45998</v>
      </c>
      <c r="V644" s="387">
        <v>46004</v>
      </c>
      <c r="X644" s="602" t="s">
        <v>441</v>
      </c>
      <c r="Z644" s="383"/>
      <c r="AA644" s="383"/>
      <c r="AB644" s="383"/>
      <c r="AC644" s="383"/>
      <c r="AD644" s="90"/>
      <c r="AE644" s="86"/>
      <c r="AF644" s="86"/>
      <c r="AG644" s="86"/>
      <c r="AH644" s="86"/>
      <c r="AI644" s="102"/>
      <c r="AJ644" s="84"/>
      <c r="AM644" s="383"/>
      <c r="AN644" s="383"/>
      <c r="AP644" s="102"/>
      <c r="AQ644" s="385"/>
      <c r="AR644" s="385"/>
      <c r="AS644" s="385"/>
      <c r="AT644" s="385"/>
      <c r="AW644" s="385"/>
      <c r="AX644" s="337"/>
      <c r="AY644" s="383"/>
      <c r="AZ644" s="350"/>
      <c r="BA644" s="350"/>
      <c r="BB644" s="350"/>
      <c r="BC644" s="350"/>
      <c r="BI644" s="294"/>
      <c r="BJ644" s="102"/>
      <c r="BL644" s="76" t="str">
        <f>D644</f>
        <v>TJTW-91</v>
      </c>
      <c r="BM644" s="76" t="str">
        <f>A644</f>
        <v>LB</v>
      </c>
      <c r="BO644" s="76" t="str">
        <f>E644</f>
        <v>0.24*1023*954 2.0/2.0 T3 FF6719-5</v>
      </c>
      <c r="BP644" s="129">
        <f>J644</f>
        <v>20</v>
      </c>
      <c r="BQ644" s="387">
        <f>U644</f>
        <v>45998</v>
      </c>
    </row>
    <row r="645" s="224" customFormat="1" customHeight="1" spans="1:69">
      <c r="A645" s="76" t="s">
        <v>759</v>
      </c>
      <c r="B645" s="76" t="s">
        <v>456</v>
      </c>
      <c r="C645" s="385"/>
      <c r="D645" s="76" t="s">
        <v>760</v>
      </c>
      <c r="E645" s="76" t="s">
        <v>766</v>
      </c>
      <c r="F645" s="84"/>
      <c r="G645" s="739"/>
      <c r="I645" s="84"/>
      <c r="J645" s="337">
        <v>11</v>
      </c>
      <c r="K645" s="129">
        <v>6030</v>
      </c>
      <c r="L645" s="114">
        <f>J645*K645</f>
        <v>66330</v>
      </c>
      <c r="M645" s="337"/>
      <c r="P645" s="102"/>
      <c r="Q645" s="102"/>
      <c r="S645" s="76"/>
      <c r="T645" s="385"/>
      <c r="U645" s="387">
        <v>45998</v>
      </c>
      <c r="V645" s="387">
        <v>46004</v>
      </c>
      <c r="X645" s="602" t="s">
        <v>441</v>
      </c>
      <c r="Z645" s="383"/>
      <c r="AA645" s="383"/>
      <c r="AB645" s="383"/>
      <c r="AC645" s="383"/>
      <c r="AD645" s="90"/>
      <c r="AE645" s="86"/>
      <c r="AF645" s="86"/>
      <c r="AG645" s="86"/>
      <c r="AH645" s="86"/>
      <c r="AI645" s="102"/>
      <c r="AJ645" s="84"/>
      <c r="AM645" s="383"/>
      <c r="AN645" s="383"/>
      <c r="AP645" s="102"/>
      <c r="AQ645" s="385"/>
      <c r="AR645" s="385"/>
      <c r="AS645" s="385"/>
      <c r="AT645" s="385"/>
      <c r="AW645" s="385"/>
      <c r="AX645" s="337"/>
      <c r="AY645" s="383"/>
      <c r="AZ645" s="350"/>
      <c r="BA645" s="350"/>
      <c r="BB645" s="350"/>
      <c r="BC645" s="350"/>
      <c r="BI645" s="294"/>
      <c r="BJ645" s="102"/>
      <c r="BL645" s="76" t="str">
        <f>D645</f>
        <v>TJTW-91</v>
      </c>
      <c r="BM645" s="76" t="str">
        <f>A645</f>
        <v>LB</v>
      </c>
      <c r="BO645" s="76" t="str">
        <f>E645</f>
        <v>0.24*1023*954 2.0/2.0 T3 FF6717-5</v>
      </c>
      <c r="BP645" s="129">
        <f>J645</f>
        <v>11</v>
      </c>
      <c r="BQ645" s="387">
        <f>U645</f>
        <v>45998</v>
      </c>
    </row>
    <row r="646" s="224" customFormat="1" customHeight="1" spans="1:69">
      <c r="A646" s="76" t="s">
        <v>759</v>
      </c>
      <c r="B646" s="76" t="s">
        <v>456</v>
      </c>
      <c r="C646" s="385"/>
      <c r="D646" s="76" t="s">
        <v>760</v>
      </c>
      <c r="E646" s="224" t="s">
        <v>767</v>
      </c>
      <c r="F646" s="84"/>
      <c r="G646" s="739"/>
      <c r="I646" s="84"/>
      <c r="J646" s="337">
        <v>7</v>
      </c>
      <c r="K646" s="740">
        <v>5600</v>
      </c>
      <c r="L646" s="114">
        <f>J646*K646</f>
        <v>39200</v>
      </c>
      <c r="M646" s="337"/>
      <c r="P646" s="102"/>
      <c r="Q646" s="102"/>
      <c r="S646" s="224" t="s">
        <v>768</v>
      </c>
      <c r="T646" s="385"/>
      <c r="U646" s="387">
        <v>45998</v>
      </c>
      <c r="V646" s="387">
        <v>46004</v>
      </c>
      <c r="X646" s="602" t="s">
        <v>441</v>
      </c>
      <c r="Y646" s="224">
        <v>7</v>
      </c>
      <c r="Z646" s="383">
        <v>5350</v>
      </c>
      <c r="AA646" s="114">
        <f>Z646*Y646</f>
        <v>37450</v>
      </c>
      <c r="AB646" s="383"/>
      <c r="AC646" s="383"/>
      <c r="AD646" s="90"/>
      <c r="AE646" s="86"/>
      <c r="AF646" s="86"/>
      <c r="AG646" s="86"/>
      <c r="AH646" s="86"/>
      <c r="AI646" s="102"/>
      <c r="AJ646" s="84"/>
      <c r="AK646" s="224">
        <v>1.4</v>
      </c>
      <c r="AM646" s="383"/>
      <c r="AN646" s="383"/>
      <c r="AP646" s="102"/>
      <c r="AQ646" s="385">
        <v>45984</v>
      </c>
      <c r="AR646" s="385"/>
      <c r="AS646" s="385"/>
      <c r="AT646" s="385"/>
      <c r="AW646" s="385"/>
      <c r="AX646" s="337"/>
      <c r="AY646" s="383"/>
      <c r="AZ646" s="350"/>
      <c r="BA646" s="350"/>
      <c r="BB646" s="350"/>
      <c r="BC646" s="350"/>
      <c r="BI646" s="294"/>
      <c r="BJ646" s="102"/>
      <c r="BL646" s="76" t="str">
        <f>D646</f>
        <v>TJTW-91</v>
      </c>
      <c r="BM646" s="76" t="str">
        <f>A646</f>
        <v>LB</v>
      </c>
      <c r="BO646" s="76" t="str">
        <f>E646</f>
        <v>0.25*748*953.5 Sheets T3 2.0/2.0 BA</v>
      </c>
      <c r="BP646" s="129">
        <f>J646</f>
        <v>7</v>
      </c>
      <c r="BQ646" s="387">
        <f>U646</f>
        <v>45998</v>
      </c>
    </row>
    <row r="647" s="83" customFormat="1" customHeight="1" spans="1:69">
      <c r="A647" s="83" t="s">
        <v>759</v>
      </c>
      <c r="B647" s="83" t="s">
        <v>456</v>
      </c>
      <c r="C647" s="605"/>
      <c r="D647" s="83" t="s">
        <v>760</v>
      </c>
      <c r="E647" s="83" t="s">
        <v>769</v>
      </c>
      <c r="F647" s="84"/>
      <c r="G647" s="606"/>
      <c r="I647" s="84"/>
      <c r="J647" s="235">
        <f>SUM(J642:J646)</f>
        <v>62</v>
      </c>
      <c r="K647" s="235"/>
      <c r="L647" s="235">
        <f>SUM(L642:L646)</f>
        <v>370850</v>
      </c>
      <c r="M647" s="235"/>
      <c r="N647" s="83">
        <f>SUM(N642:N644)</f>
        <v>360243.23</v>
      </c>
      <c r="R647" s="83" t="s">
        <v>88</v>
      </c>
      <c r="S647" s="83" t="s">
        <v>762</v>
      </c>
      <c r="T647" s="605">
        <v>45924</v>
      </c>
      <c r="U647" s="463">
        <v>45998</v>
      </c>
      <c r="V647" s="605">
        <f>T647+80</f>
        <v>46004</v>
      </c>
      <c r="X647" s="232" t="s">
        <v>441</v>
      </c>
      <c r="Y647" s="83">
        <f>Y642+Y646</f>
        <v>61</v>
      </c>
      <c r="Z647" s="219"/>
      <c r="AA647" s="219">
        <f>AA642+AA646</f>
        <v>349570</v>
      </c>
      <c r="AB647" s="219"/>
      <c r="AC647" s="219"/>
      <c r="AD647" s="90"/>
      <c r="AE647" s="86"/>
      <c r="AF647" s="86"/>
      <c r="AG647" s="86"/>
      <c r="AH647" s="86"/>
      <c r="AJ647" s="84"/>
      <c r="AM647" s="219"/>
      <c r="AN647" s="219">
        <f>SUM(AN642:AN646)</f>
        <v>360243.23</v>
      </c>
      <c r="AQ647" s="463">
        <f>V647</f>
        <v>46004</v>
      </c>
      <c r="AR647" s="605"/>
      <c r="AS647" s="605"/>
      <c r="AT647" s="605"/>
      <c r="AW647" s="605"/>
      <c r="AX647" s="235"/>
      <c r="AY647" s="219"/>
      <c r="AZ647" s="236"/>
      <c r="BA647" s="236"/>
      <c r="BB647" s="236"/>
      <c r="BC647" s="236"/>
      <c r="BI647" s="734"/>
    </row>
    <row r="648" s="76" customFormat="1" customHeight="1" spans="1:69">
      <c r="A648" s="76" t="s">
        <v>71</v>
      </c>
      <c r="B648" s="76" t="s">
        <v>440</v>
      </c>
      <c r="C648" s="387"/>
      <c r="D648" s="76" t="s">
        <v>770</v>
      </c>
      <c r="E648" s="76" t="s">
        <v>771</v>
      </c>
      <c r="G648" s="479"/>
      <c r="J648" s="129">
        <v>6</v>
      </c>
      <c r="K648" s="129">
        <v>160</v>
      </c>
      <c r="L648" s="114">
        <f>J648*K648</f>
        <v>960</v>
      </c>
      <c r="M648" s="129"/>
      <c r="P648" s="91"/>
      <c r="Q648" s="91"/>
      <c r="T648" s="387"/>
      <c r="U648" s="387"/>
      <c r="V648" s="387">
        <v>45955</v>
      </c>
      <c r="X648" s="133"/>
      <c r="Y648" s="129">
        <v>6</v>
      </c>
      <c r="Z648" s="129">
        <v>160</v>
      </c>
      <c r="AA648" s="114">
        <f>Y648*Z648</f>
        <v>960</v>
      </c>
      <c r="AB648" s="114"/>
      <c r="AC648" s="114"/>
      <c r="AD648" s="140"/>
      <c r="AE648" s="114"/>
      <c r="AF648" s="114"/>
      <c r="AG648" s="114"/>
      <c r="AH648" s="114"/>
      <c r="AM648" s="114"/>
      <c r="AN648" s="114"/>
      <c r="AP648" s="91"/>
      <c r="AQ648" s="387"/>
      <c r="AR648" s="387"/>
      <c r="AS648" s="387"/>
      <c r="AT648" s="387"/>
      <c r="AW648" s="387"/>
      <c r="AX648" s="129"/>
      <c r="AY648" s="114"/>
      <c r="AZ648" s="127"/>
      <c r="BA648" s="127"/>
      <c r="BB648" s="127"/>
      <c r="BC648" s="127"/>
      <c r="BI648" s="75"/>
      <c r="BJ648" s="91"/>
      <c r="BL648" s="76" t="str">
        <f>D648</f>
        <v>INTW-14</v>
      </c>
      <c r="BM648" s="76" t="str">
        <f>A648</f>
        <v>INDEX</v>
      </c>
      <c r="BO648" s="76" t="str">
        <f>E648</f>
        <v>Can making mold spare part</v>
      </c>
      <c r="BP648" s="129">
        <f>J648</f>
        <v>6</v>
      </c>
      <c r="BQ648" s="387">
        <f>U648</f>
        <v>0</v>
      </c>
    </row>
    <row r="649" s="76" customFormat="1" customHeight="1" spans="1:69">
      <c r="A649" s="76" t="s">
        <v>71</v>
      </c>
      <c r="B649" s="76" t="s">
        <v>440</v>
      </c>
      <c r="C649" s="387"/>
      <c r="D649" s="76" t="s">
        <v>770</v>
      </c>
      <c r="E649" s="76" t="s">
        <v>771</v>
      </c>
      <c r="G649" s="479"/>
      <c r="J649" s="129">
        <v>10</v>
      </c>
      <c r="K649" s="129">
        <v>160</v>
      </c>
      <c r="L649" s="114">
        <f>J649*K649</f>
        <v>1600</v>
      </c>
      <c r="M649" s="129"/>
      <c r="P649" s="91"/>
      <c r="Q649" s="91"/>
      <c r="T649" s="387"/>
      <c r="U649" s="387"/>
      <c r="V649" s="387">
        <v>45955</v>
      </c>
      <c r="X649" s="133"/>
      <c r="Y649" s="129">
        <v>10</v>
      </c>
      <c r="Z649" s="129">
        <v>160</v>
      </c>
      <c r="AA649" s="114">
        <f>Y649*Z649</f>
        <v>1600</v>
      </c>
      <c r="AB649" s="114"/>
      <c r="AC649" s="114"/>
      <c r="AD649" s="140"/>
      <c r="AE649" s="114"/>
      <c r="AF649" s="114"/>
      <c r="AG649" s="114"/>
      <c r="AH649" s="114"/>
      <c r="AM649" s="114"/>
      <c r="AN649" s="114"/>
      <c r="AQ649" s="387"/>
      <c r="AR649" s="387"/>
      <c r="AS649" s="387"/>
      <c r="AT649" s="387"/>
      <c r="AW649" s="387"/>
      <c r="AX649" s="129"/>
      <c r="AY649" s="114"/>
      <c r="AZ649" s="127"/>
      <c r="BA649" s="127"/>
      <c r="BB649" s="127"/>
      <c r="BC649" s="127"/>
      <c r="BI649" s="75"/>
      <c r="BJ649" s="91"/>
      <c r="BL649" s="76" t="str">
        <f>D649</f>
        <v>INTW-14</v>
      </c>
      <c r="BM649" s="76" t="str">
        <f>A649</f>
        <v>INDEX</v>
      </c>
      <c r="BO649" s="76" t="str">
        <f>E649</f>
        <v>Can making mold spare part</v>
      </c>
      <c r="BP649" s="129">
        <f>J649</f>
        <v>10</v>
      </c>
      <c r="BQ649" s="387">
        <f>U649</f>
        <v>0</v>
      </c>
    </row>
    <row r="650" s="76" customFormat="1" customHeight="1" spans="1:69">
      <c r="A650" s="76" t="s">
        <v>71</v>
      </c>
      <c r="B650" s="76" t="s">
        <v>440</v>
      </c>
      <c r="C650" s="387"/>
      <c r="D650" s="76" t="s">
        <v>770</v>
      </c>
      <c r="E650" s="76" t="s">
        <v>771</v>
      </c>
      <c r="G650" s="479"/>
      <c r="J650" s="129">
        <v>6</v>
      </c>
      <c r="K650" s="129">
        <v>170</v>
      </c>
      <c r="L650" s="114">
        <f>J650*K650</f>
        <v>1020</v>
      </c>
      <c r="M650" s="129"/>
      <c r="P650" s="91"/>
      <c r="Q650" s="91"/>
      <c r="T650" s="387"/>
      <c r="U650" s="387"/>
      <c r="V650" s="387">
        <v>45955</v>
      </c>
      <c r="X650" s="133"/>
      <c r="Y650" s="129">
        <v>6</v>
      </c>
      <c r="Z650" s="129">
        <v>170</v>
      </c>
      <c r="AA650" s="114">
        <f>Y650*Z650</f>
        <v>1020</v>
      </c>
      <c r="AB650" s="114"/>
      <c r="AC650" s="114"/>
      <c r="AD650" s="140"/>
      <c r="AE650" s="114"/>
      <c r="AF650" s="114"/>
      <c r="AG650" s="114"/>
      <c r="AH650" s="114"/>
      <c r="AM650" s="114"/>
      <c r="AN650" s="114"/>
      <c r="AQ650" s="387"/>
      <c r="AR650" s="387"/>
      <c r="AS650" s="387"/>
      <c r="AT650" s="387"/>
      <c r="AW650" s="387"/>
      <c r="AX650" s="129"/>
      <c r="AY650" s="114"/>
      <c r="AZ650" s="127"/>
      <c r="BA650" s="127"/>
      <c r="BB650" s="127"/>
      <c r="BC650" s="127"/>
      <c r="BI650" s="75"/>
      <c r="BJ650" s="91"/>
      <c r="BL650" s="76" t="str">
        <f>D650</f>
        <v>INTW-14</v>
      </c>
      <c r="BM650" s="76" t="str">
        <f>A650</f>
        <v>INDEX</v>
      </c>
      <c r="BO650" s="76" t="str">
        <f>E650</f>
        <v>Can making mold spare part</v>
      </c>
      <c r="BP650" s="129">
        <f>J650</f>
        <v>6</v>
      </c>
      <c r="BQ650" s="387">
        <f>U650</f>
        <v>0</v>
      </c>
    </row>
    <row r="651" s="79" customFormat="1" customHeight="1" spans="1:69">
      <c r="A651" s="79" t="s">
        <v>71</v>
      </c>
      <c r="B651" s="79" t="s">
        <v>440</v>
      </c>
      <c r="C651" s="463"/>
      <c r="D651" s="79" t="s">
        <v>770</v>
      </c>
      <c r="E651" s="79" t="s">
        <v>771</v>
      </c>
      <c r="G651" s="486"/>
      <c r="J651" s="194">
        <f>SUM(J648:J650)</f>
        <v>22</v>
      </c>
      <c r="K651" s="194"/>
      <c r="L651" s="194">
        <f>SUM(L648:L650)</f>
        <v>3580</v>
      </c>
      <c r="M651" s="194"/>
      <c r="R651" s="79" t="s">
        <v>88</v>
      </c>
      <c r="T651" s="463"/>
      <c r="U651" s="463"/>
      <c r="V651" s="463">
        <v>45955</v>
      </c>
      <c r="X651" s="193"/>
      <c r="Y651" s="194">
        <f>SUM(Y648:Y650)</f>
        <v>22</v>
      </c>
      <c r="Z651" s="192"/>
      <c r="AA651" s="194">
        <f>SUM(AA648:AA650)</f>
        <v>3580</v>
      </c>
      <c r="AB651" s="192"/>
      <c r="AC651" s="192"/>
      <c r="AD651" s="196"/>
      <c r="AE651" s="192"/>
      <c r="AF651" s="192"/>
      <c r="AG651" s="192"/>
      <c r="AH651" s="192"/>
      <c r="AM651" s="192"/>
      <c r="AN651" s="192"/>
      <c r="AQ651" s="463">
        <f>V651</f>
        <v>45955</v>
      </c>
      <c r="AR651" s="463"/>
      <c r="AS651" s="463"/>
      <c r="AT651" s="463"/>
      <c r="AW651" s="463"/>
      <c r="AX651" s="194"/>
      <c r="AY651" s="192"/>
      <c r="AZ651" s="150"/>
      <c r="BA651" s="150"/>
      <c r="BB651" s="150"/>
      <c r="BC651" s="150"/>
      <c r="BI651" s="151"/>
    </row>
    <row r="652" s="76" customFormat="1" customHeight="1" spans="1:69">
      <c r="A652" s="76" t="s">
        <v>71</v>
      </c>
      <c r="B652" s="76" t="s">
        <v>440</v>
      </c>
      <c r="C652" s="387"/>
      <c r="D652" s="76" t="s">
        <v>772</v>
      </c>
      <c r="E652" s="76" t="s">
        <v>773</v>
      </c>
      <c r="G652" s="479"/>
      <c r="J652" s="264">
        <v>522000</v>
      </c>
      <c r="K652" s="129">
        <v>0.23209</v>
      </c>
      <c r="L652" s="114">
        <f>J652*K652</f>
        <v>121150.98</v>
      </c>
      <c r="M652" s="129"/>
      <c r="N652" s="253">
        <f>41887.368+97737.192</f>
        <v>139624.56</v>
      </c>
      <c r="P652" s="91"/>
      <c r="Q652" s="91"/>
      <c r="S652" s="76" t="s">
        <v>774</v>
      </c>
      <c r="T652" s="387"/>
      <c r="U652" s="387"/>
      <c r="V652" s="387">
        <v>45969</v>
      </c>
      <c r="X652" s="133" t="s">
        <v>355</v>
      </c>
      <c r="Y652" s="264">
        <v>522000</v>
      </c>
      <c r="Z652" s="114">
        <v>0.29</v>
      </c>
      <c r="AA652" s="114">
        <f>Y652*Z652</f>
        <v>151380</v>
      </c>
      <c r="AB652" s="114"/>
      <c r="AC652" s="114"/>
      <c r="AD652" s="140"/>
      <c r="AE652" s="114"/>
      <c r="AF652" s="114"/>
      <c r="AG652" s="114"/>
      <c r="AH652" s="114"/>
      <c r="AI652" s="91"/>
      <c r="AK652" s="264">
        <v>522000</v>
      </c>
      <c r="AL652" s="143">
        <v>0.26748</v>
      </c>
      <c r="AM652" s="114">
        <f>AL652*AK652</f>
        <v>139624.56</v>
      </c>
      <c r="AN652" s="253">
        <f>41887.368+97737.192</f>
        <v>139624.56</v>
      </c>
      <c r="AO652" s="76">
        <f>AM652-AN652</f>
        <v>0</v>
      </c>
      <c r="AP652" s="91"/>
      <c r="AQ652" s="387">
        <v>45969</v>
      </c>
      <c r="AR652" s="387"/>
      <c r="AS652" s="387"/>
      <c r="AT652" s="387"/>
      <c r="AU652" s="76" t="s">
        <v>775</v>
      </c>
      <c r="AV652" s="76">
        <v>1</v>
      </c>
      <c r="AW652" s="387">
        <v>45980</v>
      </c>
      <c r="AX652" s="129"/>
      <c r="AY652" s="114"/>
      <c r="AZ652" s="127"/>
      <c r="BA652" s="127"/>
      <c r="BB652" s="127"/>
      <c r="BC652" s="127"/>
      <c r="BI652" s="75"/>
      <c r="BJ652" s="91"/>
      <c r="BL652" s="76" t="str">
        <f>D652</f>
        <v>INTW-15</v>
      </c>
      <c r="BM652" s="76" t="str">
        <f>A652</f>
        <v>INDEX</v>
      </c>
      <c r="BO652" s="76" t="str">
        <f>E652</f>
        <v>EOE 99.8 0.21 #401 multicolor/многоцветная</v>
      </c>
      <c r="BP652" s="264">
        <f>J652</f>
        <v>522000</v>
      </c>
      <c r="BQ652" s="387">
        <f>U652</f>
        <v>0</v>
      </c>
    </row>
    <row r="653" s="76" customFormat="1" customHeight="1" spans="1:69">
      <c r="A653" s="76" t="s">
        <v>71</v>
      </c>
      <c r="B653" s="76" t="s">
        <v>440</v>
      </c>
      <c r="C653" s="387"/>
      <c r="D653" s="76" t="s">
        <v>772</v>
      </c>
      <c r="E653" s="76" t="s">
        <v>776</v>
      </c>
      <c r="G653" s="479"/>
      <c r="J653" s="264">
        <v>522000</v>
      </c>
      <c r="K653" s="129">
        <v>0.22766</v>
      </c>
      <c r="L653" s="114">
        <f>J653*K653</f>
        <v>118838.52</v>
      </c>
      <c r="M653" s="129"/>
      <c r="N653" s="253">
        <f>35651.556+80965.0024</f>
        <v>116616.5584</v>
      </c>
      <c r="P653" s="91"/>
      <c r="Q653" s="91"/>
      <c r="S653" s="76" t="s">
        <v>777</v>
      </c>
      <c r="T653" s="387"/>
      <c r="U653" s="387"/>
      <c r="V653" s="387">
        <v>45969</v>
      </c>
      <c r="X653" s="133" t="s">
        <v>355</v>
      </c>
      <c r="Y653" s="264">
        <v>522000</v>
      </c>
      <c r="Z653" s="140">
        <v>0.245</v>
      </c>
      <c r="AA653" s="114">
        <f>Y653*Z653</f>
        <v>127890</v>
      </c>
      <c r="AB653" s="114"/>
      <c r="AC653" s="114"/>
      <c r="AD653" s="140"/>
      <c r="AE653" s="114"/>
      <c r="AF653" s="114"/>
      <c r="AG653" s="114"/>
      <c r="AH653" s="114"/>
      <c r="AI653" s="91"/>
      <c r="AK653" s="264">
        <v>512240</v>
      </c>
      <c r="AL653" s="143">
        <v>0.22766</v>
      </c>
      <c r="AM653" s="114">
        <f>AL653*AK653</f>
        <v>116616.5584</v>
      </c>
      <c r="AN653" s="253">
        <f>35651.556+80965.0024</f>
        <v>116616.5584</v>
      </c>
      <c r="AO653" s="76">
        <f>AM653-AN653</f>
        <v>0</v>
      </c>
      <c r="AP653" s="91"/>
      <c r="AQ653" s="387"/>
      <c r="AR653" s="387"/>
      <c r="AS653" s="387"/>
      <c r="AT653" s="387"/>
      <c r="AW653" s="387"/>
      <c r="AX653" s="129"/>
      <c r="AY653" s="114"/>
      <c r="AZ653" s="127"/>
      <c r="BA653" s="127"/>
      <c r="BB653" s="127"/>
      <c r="BC653" s="127"/>
      <c r="BI653" s="75"/>
      <c r="BJ653" s="91"/>
      <c r="BL653" s="76" t="str">
        <f>D653</f>
        <v>INTW-15</v>
      </c>
      <c r="BM653" s="76" t="str">
        <f>A653</f>
        <v>INDEX</v>
      </c>
      <c r="BO653" s="76" t="str">
        <f>E653</f>
        <v>EOE 99.8 0.21 #401 monochroic/одноцветная</v>
      </c>
      <c r="BP653" s="264">
        <f>J653</f>
        <v>522000</v>
      </c>
      <c r="BQ653" s="387">
        <f>U653</f>
        <v>0</v>
      </c>
    </row>
    <row r="654" s="76" customFormat="1" customHeight="1" spans="1:69">
      <c r="A654" s="76" t="s">
        <v>71</v>
      </c>
      <c r="B654" s="76" t="s">
        <v>440</v>
      </c>
      <c r="C654" s="387"/>
      <c r="D654" s="76" t="s">
        <v>772</v>
      </c>
      <c r="E654" s="76" t="s">
        <v>778</v>
      </c>
      <c r="G654" s="479"/>
      <c r="J654" s="264">
        <v>116000</v>
      </c>
      <c r="K654" s="129">
        <v>0.15705</v>
      </c>
      <c r="L654" s="114">
        <f>J654*K654</f>
        <v>18217.8</v>
      </c>
      <c r="M654" s="129"/>
      <c r="N654" s="253">
        <f>5465.34+12752.46</f>
        <v>18217.8</v>
      </c>
      <c r="P654" s="91"/>
      <c r="Q654" s="91"/>
      <c r="S654" s="76" t="s">
        <v>779</v>
      </c>
      <c r="T654" s="387"/>
      <c r="U654" s="387"/>
      <c r="V654" s="387">
        <v>45969</v>
      </c>
      <c r="X654" s="133" t="s">
        <v>355</v>
      </c>
      <c r="Y654" s="264">
        <v>116000</v>
      </c>
      <c r="Z654" s="140">
        <v>0.165</v>
      </c>
      <c r="AA654" s="114">
        <f>Y654*Z654</f>
        <v>19140</v>
      </c>
      <c r="AB654" s="114"/>
      <c r="AC654" s="114"/>
      <c r="AD654" s="140"/>
      <c r="AE654" s="114"/>
      <c r="AF654" s="114"/>
      <c r="AG654" s="114"/>
      <c r="AH654" s="114"/>
      <c r="AI654" s="91"/>
      <c r="AK654" s="264">
        <v>116000</v>
      </c>
      <c r="AL654" s="129">
        <v>0.15705</v>
      </c>
      <c r="AM654" s="114">
        <f>AL654*AK654</f>
        <v>18217.8</v>
      </c>
      <c r="AN654" s="253">
        <f>5465.34+12752.46</f>
        <v>18217.8</v>
      </c>
      <c r="AO654" s="76">
        <f>AM654-AN654</f>
        <v>0</v>
      </c>
      <c r="AP654" s="91"/>
      <c r="AQ654" s="387"/>
      <c r="AR654" s="387"/>
      <c r="AS654" s="387"/>
      <c r="AT654" s="387"/>
      <c r="AW654" s="387"/>
      <c r="AX654" s="129"/>
      <c r="AY654" s="114"/>
      <c r="AZ654" s="127"/>
      <c r="BA654" s="127"/>
      <c r="BB654" s="127"/>
      <c r="BC654" s="127"/>
      <c r="BI654" s="75"/>
      <c r="BJ654" s="91"/>
      <c r="BL654" s="76" t="str">
        <f>D654</f>
        <v>INTW-15</v>
      </c>
      <c r="BM654" s="76" t="str">
        <f>A654</f>
        <v>INDEX</v>
      </c>
      <c r="BO654" s="76" t="str">
        <f>E654</f>
        <v>SE*2 diam.98.9mm #401 0.20 T4</v>
      </c>
      <c r="BP654" s="264">
        <f>J654</f>
        <v>116000</v>
      </c>
      <c r="BQ654" s="387">
        <f>U654</f>
        <v>0</v>
      </c>
    </row>
    <row r="655" s="79" customFormat="1" customHeight="1" spans="1:69">
      <c r="A655" s="79" t="s">
        <v>71</v>
      </c>
      <c r="B655" s="79" t="s">
        <v>440</v>
      </c>
      <c r="C655" s="463"/>
      <c r="D655" s="79" t="str">
        <f>D652</f>
        <v>INTW-15</v>
      </c>
      <c r="G655" s="486"/>
      <c r="J655" s="579">
        <f>SUM(J652:J654)</f>
        <v>1160000</v>
      </c>
      <c r="K655" s="194"/>
      <c r="L655" s="194">
        <f>SUM(L652:L654)</f>
        <v>258207.3</v>
      </c>
      <c r="M655" s="194"/>
      <c r="R655" s="79" t="s">
        <v>88</v>
      </c>
      <c r="T655" s="463"/>
      <c r="U655" s="463"/>
      <c r="V655" s="463">
        <v>45969</v>
      </c>
      <c r="X655" s="193"/>
      <c r="Y655" s="79">
        <f>SUM(Y652:Y654)</f>
        <v>1160000</v>
      </c>
      <c r="Z655" s="192"/>
      <c r="AA655" s="192">
        <f>SUM(AA652:AA654)</f>
        <v>298410</v>
      </c>
      <c r="AB655" s="192"/>
      <c r="AC655" s="192"/>
      <c r="AD655" s="196"/>
      <c r="AE655" s="192"/>
      <c r="AF655" s="192"/>
      <c r="AG655" s="192"/>
      <c r="AH655" s="192"/>
      <c r="AM655" s="192">
        <f>SUM(AM652:AM654)</f>
        <v>274458.9184</v>
      </c>
      <c r="AN655" s="192">
        <f>SUM(AN652:AN654)</f>
        <v>274458.9184</v>
      </c>
      <c r="AO655" s="192">
        <f>SUM(AO652:AO654)</f>
        <v>0</v>
      </c>
      <c r="AQ655" s="463">
        <f>V655</f>
        <v>45969</v>
      </c>
      <c r="AR655" s="463"/>
      <c r="AS655" s="463"/>
      <c r="AT655" s="463"/>
      <c r="AW655" s="463"/>
      <c r="AX655" s="194"/>
      <c r="AY655" s="192"/>
      <c r="AZ655" s="150"/>
      <c r="BA655" s="150"/>
      <c r="BB655" s="150"/>
      <c r="BC655" s="150"/>
      <c r="BI655" s="151"/>
      <c r="BP655" s="579"/>
    </row>
    <row r="656" s="76" customFormat="1" customHeight="1" spans="1:69">
      <c r="A656" s="76" t="s">
        <v>71</v>
      </c>
      <c r="B656" s="76" t="s">
        <v>440</v>
      </c>
      <c r="C656" s="387"/>
      <c r="D656" s="76" t="s">
        <v>780</v>
      </c>
      <c r="E656" s="76" t="s">
        <v>781</v>
      </c>
      <c r="G656" s="479"/>
      <c r="J656" s="264">
        <v>2184000</v>
      </c>
      <c r="K656" s="143">
        <v>0.09038</v>
      </c>
      <c r="L656" s="114">
        <f>J656*K656</f>
        <v>197389.92</v>
      </c>
      <c r="M656" s="129">
        <f>L656*0.3</f>
        <v>59216.976</v>
      </c>
      <c r="N656" s="253">
        <f>127524.6+69776.75</f>
        <v>197301.35</v>
      </c>
      <c r="O656" s="76">
        <f>L656-N656</f>
        <v>88.570000000007</v>
      </c>
      <c r="P656" s="91"/>
      <c r="Q656" s="91"/>
      <c r="T656" s="387"/>
      <c r="U656" s="387"/>
      <c r="V656" s="387">
        <v>45968</v>
      </c>
      <c r="X656" s="133" t="s">
        <v>355</v>
      </c>
      <c r="Y656" s="264">
        <v>2184000</v>
      </c>
      <c r="Z656" s="140">
        <v>0.095</v>
      </c>
      <c r="AA656" s="114">
        <f>Y656*Z656</f>
        <v>207480</v>
      </c>
      <c r="AB656" s="114"/>
      <c r="AC656" s="114"/>
      <c r="AD656" s="140"/>
      <c r="AE656" s="114"/>
      <c r="AF656" s="114"/>
      <c r="AG656" s="114"/>
      <c r="AH656" s="114"/>
      <c r="AK656" s="76">
        <v>2183020</v>
      </c>
      <c r="AL656" s="143">
        <v>0.09038</v>
      </c>
      <c r="AM656" s="114">
        <f>AL656*AK656</f>
        <v>197301.3476</v>
      </c>
      <c r="AN656" s="253">
        <f>127524.6+69776.75</f>
        <v>197301.35</v>
      </c>
      <c r="AO656" s="76">
        <f>AM656-AN656</f>
        <v>-0.00239999999757856</v>
      </c>
      <c r="AQ656" s="387">
        <v>45969</v>
      </c>
      <c r="AR656" s="387"/>
      <c r="AS656" s="387"/>
      <c r="AT656" s="387"/>
      <c r="AU656" s="76" t="s">
        <v>665</v>
      </c>
      <c r="AV656" s="76">
        <v>1</v>
      </c>
      <c r="AW656" s="387">
        <v>46002</v>
      </c>
      <c r="AX656" s="129"/>
      <c r="AY656" s="114"/>
      <c r="AZ656" s="127"/>
      <c r="BA656" s="127"/>
      <c r="BB656" s="127"/>
      <c r="BC656" s="127"/>
      <c r="BI656" s="75"/>
      <c r="BJ656" s="91"/>
      <c r="BL656" s="76" t="str">
        <f>D656</f>
        <v>INTW-17</v>
      </c>
      <c r="BM656" s="76" t="str">
        <f>A656</f>
        <v>INDEX</v>
      </c>
      <c r="BO656" s="76" t="str">
        <f>E656</f>
        <v>SE*2 diam.70mm #214 0.19 T5</v>
      </c>
      <c r="BP656" s="264"/>
      <c r="BQ656" s="387">
        <f>U656</f>
        <v>0</v>
      </c>
    </row>
    <row r="657" s="79" customFormat="1" customHeight="1" spans="1:69">
      <c r="A657" s="79" t="s">
        <v>71</v>
      </c>
      <c r="B657" s="79" t="s">
        <v>440</v>
      </c>
      <c r="C657" s="463"/>
      <c r="D657" s="79" t="s">
        <v>780</v>
      </c>
      <c r="E657" s="79" t="str">
        <f>E656</f>
        <v>SE*2 diam.70mm #214 0.19 T5</v>
      </c>
      <c r="G657" s="486"/>
      <c r="J657" s="579">
        <f>J656</f>
        <v>2184000</v>
      </c>
      <c r="K657" s="741">
        <f>K656</f>
        <v>0.09038</v>
      </c>
      <c r="L657" s="150">
        <f>L656</f>
        <v>197389.92</v>
      </c>
      <c r="M657" s="194"/>
      <c r="R657" s="79" t="s">
        <v>88</v>
      </c>
      <c r="S657" s="79" t="s">
        <v>782</v>
      </c>
      <c r="T657" s="463"/>
      <c r="U657" s="463"/>
      <c r="V657" s="463">
        <v>45968</v>
      </c>
      <c r="X657" s="193"/>
      <c r="Y657" s="79">
        <f>Y656</f>
        <v>2184000</v>
      </c>
      <c r="Z657" s="79">
        <f>Z656</f>
        <v>0.095</v>
      </c>
      <c r="AA657" s="79">
        <f>AA656</f>
        <v>207480</v>
      </c>
      <c r="AB657" s="192"/>
      <c r="AC657" s="192"/>
      <c r="AD657" s="196"/>
      <c r="AE657" s="192"/>
      <c r="AF657" s="192"/>
      <c r="AG657" s="192"/>
      <c r="AH657" s="192"/>
      <c r="AM657" s="192"/>
      <c r="AN657" s="192"/>
      <c r="AQ657" s="463"/>
      <c r="AR657" s="463"/>
      <c r="AS657" s="463"/>
      <c r="AT657" s="463"/>
      <c r="AW657" s="463"/>
      <c r="AX657" s="194"/>
      <c r="AY657" s="192"/>
      <c r="AZ657" s="150"/>
      <c r="BA657" s="150"/>
      <c r="BB657" s="150"/>
      <c r="BC657" s="150"/>
      <c r="BI657" s="151"/>
      <c r="BP657" s="579"/>
    </row>
    <row r="658" s="76" customFormat="1" customHeight="1" spans="1:69">
      <c r="A658" s="76" t="s">
        <v>744</v>
      </c>
      <c r="B658" s="76" t="s">
        <v>440</v>
      </c>
      <c r="C658" s="387" t="s">
        <v>783</v>
      </c>
      <c r="D658" s="76" t="s">
        <v>784</v>
      </c>
      <c r="E658" s="386" t="s">
        <v>785</v>
      </c>
      <c r="G658" s="479">
        <v>13</v>
      </c>
      <c r="J658" s="129">
        <v>27</v>
      </c>
      <c r="K658" s="129">
        <f>Z658+250</f>
        <v>6000</v>
      </c>
      <c r="L658" s="114">
        <f t="shared" ref="L658:L663" si="85">J658*K658</f>
        <v>162000</v>
      </c>
      <c r="M658" s="129"/>
      <c r="N658" s="276">
        <f>145800+37656</f>
        <v>183456</v>
      </c>
      <c r="P658" s="91"/>
      <c r="Q658" s="91"/>
      <c r="R658" s="76" t="s">
        <v>88</v>
      </c>
      <c r="S658" s="76" t="s">
        <v>786</v>
      </c>
      <c r="T658" s="387">
        <v>45937</v>
      </c>
      <c r="U658" s="387"/>
      <c r="V658" s="387">
        <v>45991</v>
      </c>
      <c r="X658" s="133" t="s">
        <v>355</v>
      </c>
      <c r="Y658" s="129">
        <v>27</v>
      </c>
      <c r="Z658" s="114">
        <v>5750</v>
      </c>
      <c r="AA658" s="114">
        <f t="shared" ref="AA658:AA663" si="86">Y658*Z658</f>
        <v>155250</v>
      </c>
      <c r="AB658" s="114"/>
      <c r="AC658" s="114"/>
      <c r="AD658" s="140"/>
      <c r="AE658" s="114"/>
      <c r="AF658" s="114"/>
      <c r="AG658" s="114"/>
      <c r="AH658" s="114"/>
      <c r="AI658" s="91"/>
      <c r="AM658" s="114"/>
      <c r="AN658" s="276">
        <f>145800+37656</f>
        <v>183456</v>
      </c>
      <c r="AP658" s="91"/>
      <c r="AQ658" s="387"/>
      <c r="AR658" s="387"/>
      <c r="AS658" s="387"/>
      <c r="AT658" s="387"/>
      <c r="AV658" s="76">
        <v>4</v>
      </c>
      <c r="AW658" s="387"/>
      <c r="AX658" s="129"/>
      <c r="AY658" s="114"/>
      <c r="AZ658" s="127"/>
      <c r="BA658" s="127"/>
      <c r="BB658" s="127"/>
      <c r="BC658" s="127"/>
      <c r="BI658" s="75"/>
      <c r="BJ658" s="91"/>
      <c r="BL658" s="76" t="str">
        <f t="shared" ref="BL658:BL663" si="87">D658</f>
        <v>TJTW-93</v>
      </c>
      <c r="BM658" s="76" t="str">
        <f t="shared" ref="BM658:BM663" si="88">A658</f>
        <v>SKARDA</v>
      </c>
      <c r="BN658" s="76" t="str">
        <f>C658</f>
        <v>TW 2025-10-08</v>
      </c>
      <c r="BO658" s="76" t="str">
        <f t="shared" ref="BO658:BO663" si="89">E658</f>
        <v>0.18x862x782 Scroll Sheets T5 2.8/2.8 Stone, BA</v>
      </c>
      <c r="BP658" s="129">
        <f t="shared" ref="BP658:BP663" si="90">J658</f>
        <v>27</v>
      </c>
      <c r="BQ658" s="387">
        <f t="shared" ref="BQ658:BQ663" si="91">U658</f>
        <v>0</v>
      </c>
    </row>
    <row r="659" s="76" customFormat="1" customHeight="1" spans="1:69">
      <c r="A659" s="76" t="s">
        <v>744</v>
      </c>
      <c r="B659" s="76" t="s">
        <v>440</v>
      </c>
      <c r="C659" s="387" t="s">
        <v>783</v>
      </c>
      <c r="D659" s="76" t="s">
        <v>784</v>
      </c>
      <c r="E659" s="386" t="s">
        <v>787</v>
      </c>
      <c r="G659" s="479">
        <v>10</v>
      </c>
      <c r="J659" s="129">
        <v>27</v>
      </c>
      <c r="K659" s="129">
        <f>Z659+250</f>
        <v>6000</v>
      </c>
      <c r="L659" s="114">
        <f t="shared" si="85"/>
        <v>162000</v>
      </c>
      <c r="M659" s="129"/>
      <c r="N659" s="253">
        <f>145800+12528</f>
        <v>158328</v>
      </c>
      <c r="P659" s="91"/>
      <c r="Q659" s="91"/>
      <c r="R659" s="76" t="s">
        <v>88</v>
      </c>
      <c r="S659" s="76" t="s">
        <v>786</v>
      </c>
      <c r="T659" s="387">
        <v>45937</v>
      </c>
      <c r="U659" s="387"/>
      <c r="V659" s="387">
        <v>45991</v>
      </c>
      <c r="X659" s="133" t="s">
        <v>355</v>
      </c>
      <c r="Y659" s="129">
        <v>27</v>
      </c>
      <c r="Z659" s="114">
        <v>5750</v>
      </c>
      <c r="AA659" s="114">
        <f t="shared" si="86"/>
        <v>155250</v>
      </c>
      <c r="AB659" s="114"/>
      <c r="AC659" s="114"/>
      <c r="AD659" s="140"/>
      <c r="AE659" s="114"/>
      <c r="AF659" s="114"/>
      <c r="AG659" s="114"/>
      <c r="AH659" s="114"/>
      <c r="AM659" s="114"/>
      <c r="AN659" s="253">
        <f>145800+12528</f>
        <v>158328</v>
      </c>
      <c r="AQ659" s="387"/>
      <c r="AR659" s="387"/>
      <c r="AS659" s="387"/>
      <c r="AT659" s="387"/>
      <c r="AV659" s="76">
        <v>2</v>
      </c>
      <c r="AW659" s="387"/>
      <c r="AX659" s="129"/>
      <c r="AY659" s="114"/>
      <c r="AZ659" s="127"/>
      <c r="BA659" s="127"/>
      <c r="BB659" s="127"/>
      <c r="BC659" s="127"/>
      <c r="BI659" s="75"/>
      <c r="BJ659" s="91"/>
      <c r="BL659" s="76" t="str">
        <f t="shared" si="87"/>
        <v>TJTW-93</v>
      </c>
      <c r="BM659" s="76" t="str">
        <f t="shared" si="88"/>
        <v>SKARDA</v>
      </c>
      <c r="BN659" s="76" t="str">
        <f t="shared" ref="BN659:BN663" si="92">C659</f>
        <v>TW 2025-10-08</v>
      </c>
      <c r="BO659" s="76" t="str">
        <f t="shared" si="89"/>
        <v>0.18x890x807.3 Scroll sheets T5 2.8/2.8 Stone, BA</v>
      </c>
      <c r="BP659" s="129">
        <f t="shared" si="90"/>
        <v>27</v>
      </c>
      <c r="BQ659" s="387">
        <f t="shared" si="91"/>
        <v>0</v>
      </c>
    </row>
    <row r="660" s="76" customFormat="1" customHeight="1" spans="1:69">
      <c r="A660" s="76" t="s">
        <v>744</v>
      </c>
      <c r="B660" s="76" t="s">
        <v>440</v>
      </c>
      <c r="C660" s="387" t="s">
        <v>783</v>
      </c>
      <c r="D660" s="76" t="s">
        <v>784</v>
      </c>
      <c r="E660" s="386" t="s">
        <v>788</v>
      </c>
      <c r="G660" s="479"/>
      <c r="J660" s="129">
        <v>27</v>
      </c>
      <c r="K660" s="129">
        <f>Z660+250</f>
        <v>6100</v>
      </c>
      <c r="L660" s="114">
        <f t="shared" si="85"/>
        <v>164700</v>
      </c>
      <c r="M660" s="129"/>
      <c r="N660" s="253">
        <f>148230+61189.1</f>
        <v>209419.1</v>
      </c>
      <c r="P660" s="91"/>
      <c r="Q660" s="91"/>
      <c r="R660" s="76" t="s">
        <v>88</v>
      </c>
      <c r="S660" s="76" t="s">
        <v>786</v>
      </c>
      <c r="T660" s="387">
        <v>45937</v>
      </c>
      <c r="U660" s="387"/>
      <c r="V660" s="387">
        <v>45991</v>
      </c>
      <c r="X660" s="133" t="s">
        <v>355</v>
      </c>
      <c r="Y660" s="129">
        <v>27</v>
      </c>
      <c r="Z660" s="114">
        <v>5850</v>
      </c>
      <c r="AA660" s="114">
        <f t="shared" si="86"/>
        <v>157950</v>
      </c>
      <c r="AB660" s="114"/>
      <c r="AC660" s="114"/>
      <c r="AD660" s="140"/>
      <c r="AE660" s="114"/>
      <c r="AF660" s="114"/>
      <c r="AG660" s="114"/>
      <c r="AH660" s="114"/>
      <c r="AM660" s="114"/>
      <c r="AN660" s="253">
        <f>148230+61189.1</f>
        <v>209419.1</v>
      </c>
      <c r="AQ660" s="387"/>
      <c r="AR660" s="387"/>
      <c r="AS660" s="387"/>
      <c r="AT660" s="387"/>
      <c r="AW660" s="387"/>
      <c r="AX660" s="129"/>
      <c r="AY660" s="114"/>
      <c r="AZ660" s="127"/>
      <c r="BA660" s="127"/>
      <c r="BB660" s="127"/>
      <c r="BC660" s="127"/>
      <c r="BI660" s="75"/>
      <c r="BJ660" s="91"/>
      <c r="BL660" s="76" t="str">
        <f t="shared" si="87"/>
        <v>TJTW-93</v>
      </c>
      <c r="BM660" s="76" t="str">
        <f t="shared" si="88"/>
        <v>SKARDA</v>
      </c>
      <c r="BN660" s="76" t="str">
        <f t="shared" si="92"/>
        <v>TW 2025-10-08</v>
      </c>
      <c r="BO660" s="76" t="str">
        <f t="shared" si="89"/>
        <v>0,17x944x795 Sheets T4 2.8/2.8 Stone, BA</v>
      </c>
      <c r="BP660" s="129">
        <f t="shared" si="90"/>
        <v>27</v>
      </c>
      <c r="BQ660" s="387">
        <f t="shared" si="91"/>
        <v>0</v>
      </c>
    </row>
    <row r="661" s="76" customFormat="1" customHeight="1" spans="1:69">
      <c r="A661" s="76" t="s">
        <v>744</v>
      </c>
      <c r="B661" s="76" t="s">
        <v>440</v>
      </c>
      <c r="C661" s="387" t="s">
        <v>783</v>
      </c>
      <c r="D661" s="76" t="s">
        <v>784</v>
      </c>
      <c r="E661" s="386" t="s">
        <v>789</v>
      </c>
      <c r="G661" s="479">
        <v>7</v>
      </c>
      <c r="J661" s="129">
        <v>108</v>
      </c>
      <c r="K661" s="129">
        <f>Z661+300</f>
        <v>5900</v>
      </c>
      <c r="L661" s="114">
        <f t="shared" si="85"/>
        <v>637200</v>
      </c>
      <c r="M661" s="129"/>
      <c r="N661" s="76">
        <f>63720+516132+102780.36</f>
        <v>682632.36</v>
      </c>
      <c r="P661" s="91"/>
      <c r="Q661" s="91"/>
      <c r="R661" s="76" t="s">
        <v>66</v>
      </c>
      <c r="S661" s="76" t="s">
        <v>790</v>
      </c>
      <c r="T661" s="387">
        <v>45939</v>
      </c>
      <c r="U661" s="387">
        <f>T661+45</f>
        <v>45984</v>
      </c>
      <c r="V661" s="387">
        <f>U661</f>
        <v>45984</v>
      </c>
      <c r="X661" s="133" t="s">
        <v>355</v>
      </c>
      <c r="Y661" s="129">
        <v>115.578</v>
      </c>
      <c r="Z661" s="114">
        <v>5600</v>
      </c>
      <c r="AA661" s="114">
        <f t="shared" si="86"/>
        <v>647236.8</v>
      </c>
      <c r="AB661" s="114">
        <v>130000</v>
      </c>
      <c r="AC661" s="114"/>
      <c r="AD661" s="140"/>
      <c r="AE661" s="114"/>
      <c r="AF661" s="114"/>
      <c r="AG661" s="114"/>
      <c r="AH661" s="114"/>
      <c r="AK661" s="76">
        <v>116.556</v>
      </c>
      <c r="AM661" s="114"/>
      <c r="AN661" s="76">
        <f>63720+516132+102780.36</f>
        <v>682632.36</v>
      </c>
      <c r="AQ661" s="387"/>
      <c r="AR661" s="387"/>
      <c r="AS661" s="387"/>
      <c r="AT661" s="387"/>
      <c r="AW661" s="387"/>
      <c r="AX661" s="129"/>
      <c r="AY661" s="114"/>
      <c r="AZ661" s="127"/>
      <c r="BA661" s="127"/>
      <c r="BB661" s="127"/>
      <c r="BC661" s="127"/>
      <c r="BI661" s="75"/>
      <c r="BJ661" s="91"/>
      <c r="BL661" s="76" t="str">
        <f t="shared" si="87"/>
        <v>TJTW-93</v>
      </c>
      <c r="BM661" s="76" t="str">
        <f t="shared" si="88"/>
        <v>SKARDA</v>
      </c>
      <c r="BN661" s="76" t="str">
        <f t="shared" si="92"/>
        <v>TW 2025-10-08</v>
      </c>
      <c r="BO661" s="76" t="str">
        <f t="shared" si="89"/>
        <v>0,16x892x808.4 Scroll Sheets T4 2.0/2.0 Stone, BA</v>
      </c>
      <c r="BP661" s="129">
        <f t="shared" si="90"/>
        <v>108</v>
      </c>
      <c r="BQ661" s="387">
        <f t="shared" si="91"/>
        <v>45984</v>
      </c>
    </row>
    <row r="662" s="76" customFormat="1" customHeight="1" spans="1:69">
      <c r="A662" s="76" t="s">
        <v>744</v>
      </c>
      <c r="B662" s="76" t="s">
        <v>440</v>
      </c>
      <c r="C662" s="387" t="s">
        <v>783</v>
      </c>
      <c r="D662" s="76" t="s">
        <v>784</v>
      </c>
      <c r="E662" s="386" t="s">
        <v>791</v>
      </c>
      <c r="G662" s="479">
        <v>8</v>
      </c>
      <c r="J662" s="129">
        <v>54</v>
      </c>
      <c r="K662" s="129">
        <f>Z662+300</f>
        <v>5600</v>
      </c>
      <c r="L662" s="114">
        <f t="shared" si="85"/>
        <v>302400</v>
      </c>
      <c r="M662" s="129"/>
      <c r="N662" s="76">
        <f>30240+244944+24614.67</f>
        <v>299798.67</v>
      </c>
      <c r="P662" s="91"/>
      <c r="Q662" s="91"/>
      <c r="R662" s="76" t="s">
        <v>66</v>
      </c>
      <c r="S662" s="76" t="s">
        <v>790</v>
      </c>
      <c r="T662" s="387">
        <v>45939</v>
      </c>
      <c r="U662" s="387">
        <f>T662+45</f>
        <v>45984</v>
      </c>
      <c r="V662" s="387">
        <f>U662</f>
        <v>45984</v>
      </c>
      <c r="X662" s="133" t="s">
        <v>355</v>
      </c>
      <c r="Y662" s="129">
        <v>57.881</v>
      </c>
      <c r="Z662" s="114">
        <v>5300</v>
      </c>
      <c r="AA662" s="114">
        <f t="shared" si="86"/>
        <v>306769.3</v>
      </c>
      <c r="AB662" s="114"/>
      <c r="AC662" s="114"/>
      <c r="AD662" s="140"/>
      <c r="AE662" s="114"/>
      <c r="AF662" s="114"/>
      <c r="AG662" s="114"/>
      <c r="AH662" s="114"/>
      <c r="AK662" s="76">
        <v>57.881</v>
      </c>
      <c r="AM662" s="114"/>
      <c r="AN662" s="76">
        <f>30240+244944+24614.67</f>
        <v>299798.67</v>
      </c>
      <c r="AQ662" s="387"/>
      <c r="AR662" s="387"/>
      <c r="AS662" s="387"/>
      <c r="AT662" s="387"/>
      <c r="AW662" s="387"/>
      <c r="AX662" s="129"/>
      <c r="AY662" s="114"/>
      <c r="AZ662" s="127"/>
      <c r="BA662" s="127"/>
      <c r="BB662" s="127"/>
      <c r="BC662" s="127"/>
      <c r="BI662" s="75"/>
      <c r="BJ662" s="91"/>
      <c r="BL662" s="76" t="str">
        <f t="shared" si="87"/>
        <v>TJTW-93</v>
      </c>
      <c r="BM662" s="76" t="str">
        <f t="shared" si="88"/>
        <v>SKARDA</v>
      </c>
      <c r="BN662" s="76" t="str">
        <f t="shared" si="92"/>
        <v>TW 2025-10-08</v>
      </c>
      <c r="BO662" s="76" t="str">
        <f t="shared" si="89"/>
        <v>0,15x868x872.4 Scroll Sheets DR 9 1.0/1.0 Stone, BA</v>
      </c>
      <c r="BP662" s="129">
        <f t="shared" si="90"/>
        <v>54</v>
      </c>
      <c r="BQ662" s="387">
        <f t="shared" si="91"/>
        <v>45984</v>
      </c>
    </row>
    <row r="663" s="76" customFormat="1" customHeight="1" spans="1:69">
      <c r="A663" s="76" t="s">
        <v>744</v>
      </c>
      <c r="B663" s="76" t="s">
        <v>440</v>
      </c>
      <c r="C663" s="387" t="s">
        <v>783</v>
      </c>
      <c r="D663" s="76" t="s">
        <v>784</v>
      </c>
      <c r="E663" s="386" t="s">
        <v>792</v>
      </c>
      <c r="G663" s="479">
        <v>9</v>
      </c>
      <c r="J663" s="129">
        <v>54</v>
      </c>
      <c r="K663" s="129">
        <f>Z663+300</f>
        <v>5600</v>
      </c>
      <c r="L663" s="114">
        <f t="shared" si="85"/>
        <v>302400</v>
      </c>
      <c r="M663" s="129"/>
      <c r="N663" s="76">
        <f>30240+244944+45203.76</f>
        <v>320387.76</v>
      </c>
      <c r="P663" s="91"/>
      <c r="Q663" s="91"/>
      <c r="R663" s="76" t="s">
        <v>66</v>
      </c>
      <c r="S663" s="76" t="s">
        <v>790</v>
      </c>
      <c r="T663" s="387">
        <v>45939</v>
      </c>
      <c r="U663" s="387">
        <f>T663+45</f>
        <v>45984</v>
      </c>
      <c r="V663" s="387">
        <f>U663</f>
        <v>45984</v>
      </c>
      <c r="X663" s="133" t="s">
        <v>355</v>
      </c>
      <c r="Y663" s="129">
        <v>57.353</v>
      </c>
      <c r="Z663" s="114">
        <v>5300</v>
      </c>
      <c r="AA663" s="114">
        <f t="shared" si="86"/>
        <v>303970.9</v>
      </c>
      <c r="AB663" s="114"/>
      <c r="AC663" s="114"/>
      <c r="AD663" s="140"/>
      <c r="AE663" s="114"/>
      <c r="AF663" s="114"/>
      <c r="AG663" s="114"/>
      <c r="AH663" s="114"/>
      <c r="AK663" s="76">
        <v>57.168</v>
      </c>
      <c r="AM663" s="114"/>
      <c r="AN663" s="76">
        <f>30240+244944+45203.76</f>
        <v>320387.76</v>
      </c>
      <c r="AQ663" s="387"/>
      <c r="AR663" s="387"/>
      <c r="AS663" s="387"/>
      <c r="AT663" s="387"/>
      <c r="AW663" s="387"/>
      <c r="AX663" s="129"/>
      <c r="AY663" s="114"/>
      <c r="AZ663" s="127"/>
      <c r="BA663" s="127"/>
      <c r="BB663" s="127"/>
      <c r="BC663" s="127"/>
      <c r="BI663" s="75"/>
      <c r="BJ663" s="91"/>
      <c r="BL663" s="76" t="str">
        <f t="shared" si="87"/>
        <v>TJTW-93</v>
      </c>
      <c r="BM663" s="76" t="str">
        <f t="shared" si="88"/>
        <v>SKARDA</v>
      </c>
      <c r="BN663" s="76" t="str">
        <f t="shared" si="92"/>
        <v>TW 2025-10-08</v>
      </c>
      <c r="BO663" s="76" t="str">
        <f t="shared" si="89"/>
        <v>0,15x890x917 Scroll Sheets DR 9 1.0/1.0 Stone, BA</v>
      </c>
      <c r="BP663" s="129">
        <f t="shared" si="90"/>
        <v>54</v>
      </c>
      <c r="BQ663" s="387">
        <f t="shared" si="91"/>
        <v>45984</v>
      </c>
    </row>
    <row r="664" s="79" customFormat="1" customHeight="1" spans="1:69">
      <c r="A664" s="79" t="s">
        <v>744</v>
      </c>
      <c r="B664" s="79" t="s">
        <v>440</v>
      </c>
      <c r="C664" s="463" t="s">
        <v>783</v>
      </c>
      <c r="D664" s="79" t="s">
        <v>784</v>
      </c>
      <c r="G664" s="486"/>
      <c r="J664" s="79">
        <f>SUM(J658:J663)</f>
        <v>297</v>
      </c>
      <c r="K664" s="194"/>
      <c r="L664" s="79">
        <f>SUM(L658:L663)</f>
        <v>1730700</v>
      </c>
      <c r="M664" s="194"/>
      <c r="N664" s="79">
        <f>SUM(N658:N663)</f>
        <v>1854021.89</v>
      </c>
      <c r="T664" s="463"/>
      <c r="U664" s="463"/>
      <c r="V664" s="463">
        <v>45991</v>
      </c>
      <c r="X664" s="193"/>
      <c r="Y664" s="79">
        <f>SUM(Y658:Y663)</f>
        <v>311.812</v>
      </c>
      <c r="Z664" s="192"/>
      <c r="AA664" s="79">
        <f>SUM(AA658:AA663)</f>
        <v>1726427</v>
      </c>
      <c r="AB664" s="192"/>
      <c r="AC664" s="192"/>
      <c r="AD664" s="196"/>
      <c r="AE664" s="192"/>
      <c r="AF664" s="192"/>
      <c r="AG664" s="192"/>
      <c r="AH664" s="192"/>
      <c r="AM664" s="192"/>
      <c r="AN664" s="192">
        <f>SUM(AN658:AN663)</f>
        <v>1854021.89</v>
      </c>
      <c r="AQ664" s="463">
        <f>V664</f>
        <v>45991</v>
      </c>
      <c r="AR664" s="463"/>
      <c r="AS664" s="463"/>
      <c r="AT664" s="463"/>
      <c r="AW664" s="463"/>
      <c r="AX664" s="194"/>
      <c r="AY664" s="192"/>
      <c r="AZ664" s="150"/>
      <c r="BA664" s="150"/>
      <c r="BB664" s="150"/>
      <c r="BC664" s="150"/>
      <c r="BI664" s="151"/>
    </row>
    <row r="665" s="76" customFormat="1" customHeight="1" spans="1:69">
      <c r="A665" s="76" t="s">
        <v>71</v>
      </c>
      <c r="B665" s="76" t="s">
        <v>440</v>
      </c>
      <c r="C665" s="387"/>
      <c r="D665" s="76" t="s">
        <v>793</v>
      </c>
      <c r="E665" s="76" t="s">
        <v>794</v>
      </c>
      <c r="G665" s="479"/>
      <c r="J665" s="190">
        <v>346500</v>
      </c>
      <c r="K665" s="129">
        <v>0.18</v>
      </c>
      <c r="L665" s="114">
        <f>J665*K665</f>
        <v>62370</v>
      </c>
      <c r="M665" s="129"/>
      <c r="N665" s="76">
        <v>62370</v>
      </c>
      <c r="P665" s="91"/>
      <c r="Q665" s="91"/>
      <c r="T665" s="387"/>
      <c r="U665" s="387"/>
      <c r="V665" s="387">
        <v>45966</v>
      </c>
      <c r="X665" s="133" t="s">
        <v>90</v>
      </c>
      <c r="Y665" s="264">
        <v>346500</v>
      </c>
      <c r="Z665" s="140">
        <v>0.2</v>
      </c>
      <c r="AA665" s="114">
        <f>Y665*Z665</f>
        <v>69300</v>
      </c>
      <c r="AB665" s="114">
        <v>69300</v>
      </c>
      <c r="AC665" s="114"/>
      <c r="AD665" s="140"/>
      <c r="AE665" s="114"/>
      <c r="AF665" s="114"/>
      <c r="AG665" s="114"/>
      <c r="AH665" s="114"/>
      <c r="AM665" s="114"/>
      <c r="AN665" s="114">
        <v>62370</v>
      </c>
      <c r="AQ665" s="387"/>
      <c r="AR665" s="387"/>
      <c r="AS665" s="387"/>
      <c r="AT665" s="387"/>
      <c r="AW665" s="387"/>
      <c r="AX665" s="129"/>
      <c r="AY665" s="114"/>
      <c r="AZ665" s="127"/>
      <c r="BA665" s="127"/>
      <c r="BB665" s="127"/>
      <c r="BC665" s="127"/>
      <c r="BI665" s="75"/>
      <c r="BJ665" s="91"/>
      <c r="BL665" s="76" t="str">
        <f>D665</f>
        <v>INTW-18</v>
      </c>
      <c r="BM665" s="76" t="str">
        <f>A665</f>
        <v>INDEX</v>
      </c>
      <c r="BN665" s="76">
        <f>C665</f>
        <v>0</v>
      </c>
      <c r="BO665" s="76" t="str">
        <f>E665</f>
        <v>D45 CONE AND DOME</v>
      </c>
      <c r="BP665" s="264">
        <f>J665</f>
        <v>346500</v>
      </c>
      <c r="BQ665" s="387">
        <f>U665</f>
        <v>0</v>
      </c>
    </row>
    <row r="666" s="79" customFormat="1" customHeight="1" spans="1:69">
      <c r="A666" s="79" t="s">
        <v>71</v>
      </c>
      <c r="B666" s="79" t="s">
        <v>440</v>
      </c>
      <c r="C666" s="463"/>
      <c r="D666" s="79" t="s">
        <v>793</v>
      </c>
      <c r="E666" s="79" t="str">
        <f>E665</f>
        <v>D45 CONE AND DOME</v>
      </c>
      <c r="G666" s="486"/>
      <c r="J666" s="579">
        <f>J665</f>
        <v>346500</v>
      </c>
      <c r="K666" s="741">
        <f>K665</f>
        <v>0.18</v>
      </c>
      <c r="L666" s="150">
        <f>L665</f>
        <v>62370</v>
      </c>
      <c r="M666" s="194"/>
      <c r="R666" s="742" t="s">
        <v>795</v>
      </c>
      <c r="S666" s="79" t="s">
        <v>796</v>
      </c>
      <c r="T666" s="605">
        <v>45943</v>
      </c>
      <c r="U666" s="463"/>
      <c r="V666" s="463">
        <v>45966</v>
      </c>
      <c r="X666" s="193" t="s">
        <v>90</v>
      </c>
      <c r="Y666" s="79">
        <f>Y665</f>
        <v>346500</v>
      </c>
      <c r="Z666" s="79">
        <f>Z665</f>
        <v>0.2</v>
      </c>
      <c r="AA666" s="79">
        <f>AA665</f>
        <v>69300</v>
      </c>
      <c r="AB666" s="79">
        <f>AB665</f>
        <v>69300</v>
      </c>
      <c r="AC666" s="192"/>
      <c r="AD666" s="196"/>
      <c r="AE666" s="192"/>
      <c r="AF666" s="192"/>
      <c r="AG666" s="192"/>
      <c r="AH666" s="192"/>
      <c r="AM666" s="192"/>
      <c r="AN666" s="192"/>
      <c r="AQ666" s="463">
        <f>V666</f>
        <v>45966</v>
      </c>
      <c r="AR666" s="463"/>
      <c r="AS666" s="463"/>
      <c r="AT666" s="463"/>
      <c r="AW666" s="463"/>
      <c r="AX666" s="194"/>
      <c r="AY666" s="192"/>
      <c r="AZ666" s="150"/>
      <c r="BA666" s="150"/>
      <c r="BB666" s="150"/>
      <c r="BC666" s="150"/>
      <c r="BI666" s="151"/>
      <c r="BP666" s="579"/>
    </row>
    <row r="667" s="76" customFormat="1" customHeight="1" spans="1:69">
      <c r="A667" s="76" t="s">
        <v>797</v>
      </c>
      <c r="B667" s="76" t="s">
        <v>578</v>
      </c>
      <c r="C667" s="387"/>
      <c r="D667" s="76" t="s">
        <v>798</v>
      </c>
      <c r="E667" s="76" t="s">
        <v>799</v>
      </c>
      <c r="F667" s="386"/>
      <c r="G667" s="479">
        <f>15660+117189</f>
        <v>132849</v>
      </c>
      <c r="J667" s="129">
        <v>15</v>
      </c>
      <c r="K667" s="129">
        <v>5220</v>
      </c>
      <c r="L667" s="114">
        <f>J667*K667</f>
        <v>78300</v>
      </c>
      <c r="M667" s="129"/>
      <c r="N667" s="76">
        <v>7830</v>
      </c>
      <c r="P667" s="91"/>
      <c r="Q667" s="91"/>
      <c r="R667" s="76" t="s">
        <v>66</v>
      </c>
      <c r="S667" s="76" t="s">
        <v>790</v>
      </c>
      <c r="T667" s="387">
        <v>45939</v>
      </c>
      <c r="U667" s="387">
        <f>T667+60</f>
        <v>45999</v>
      </c>
      <c r="V667" s="387">
        <v>45984</v>
      </c>
      <c r="X667" s="133" t="s">
        <v>90</v>
      </c>
      <c r="Y667" s="129">
        <v>10.462</v>
      </c>
      <c r="Z667" s="114">
        <v>4890</v>
      </c>
      <c r="AA667" s="114">
        <f>Y667*Z667</f>
        <v>51159.18</v>
      </c>
      <c r="AB667" s="114">
        <v>124450.5</v>
      </c>
      <c r="AC667" s="114"/>
      <c r="AD667" s="140"/>
      <c r="AE667" s="114"/>
      <c r="AF667" s="114"/>
      <c r="AG667" s="114"/>
      <c r="AH667" s="114"/>
      <c r="AK667" s="129">
        <v>10.462</v>
      </c>
      <c r="AM667" s="114"/>
      <c r="AN667" s="76">
        <v>54611.64</v>
      </c>
      <c r="AQ667" s="387">
        <v>45985</v>
      </c>
      <c r="AR667" s="387"/>
      <c r="AS667" s="387"/>
      <c r="AT667" s="387"/>
      <c r="AU667" s="76" t="s">
        <v>800</v>
      </c>
      <c r="AV667" s="76">
        <v>1</v>
      </c>
      <c r="AW667" s="387">
        <v>45990</v>
      </c>
      <c r="AX667" s="129"/>
      <c r="AY667" s="114"/>
      <c r="AZ667" s="127"/>
      <c r="BA667" s="127"/>
      <c r="BB667" s="127"/>
      <c r="BC667" s="127"/>
      <c r="BI667" s="75"/>
      <c r="BJ667" s="91"/>
      <c r="BL667" s="76" t="str">
        <f>D667</f>
        <v>TJTW-92</v>
      </c>
      <c r="BM667" s="76" t="str">
        <f>A667</f>
        <v>INTEX</v>
      </c>
      <c r="BN667" s="76">
        <f>C667</f>
        <v>0</v>
      </c>
      <c r="BO667" s="76" t="str">
        <f>E667</f>
        <v>0.30*790*850 2.0/2.0 T3</v>
      </c>
      <c r="BP667" s="129">
        <f>J667</f>
        <v>15</v>
      </c>
      <c r="BQ667" s="387">
        <f>U667</f>
        <v>45999</v>
      </c>
    </row>
    <row r="668" s="76" customFormat="1" customHeight="1" spans="1:69">
      <c r="A668" s="76" t="s">
        <v>797</v>
      </c>
      <c r="B668" s="76" t="s">
        <v>578</v>
      </c>
      <c r="C668" s="387"/>
      <c r="D668" s="76" t="s">
        <v>798</v>
      </c>
      <c r="E668" s="76" t="s">
        <v>801</v>
      </c>
      <c r="F668" s="386"/>
      <c r="G668" s="479"/>
      <c r="J668" s="129">
        <v>15</v>
      </c>
      <c r="K668" s="129">
        <v>5220</v>
      </c>
      <c r="L668" s="114">
        <f>J668*K668</f>
        <v>78300</v>
      </c>
      <c r="M668" s="129"/>
      <c r="N668" s="76">
        <v>7830</v>
      </c>
      <c r="P668" s="91"/>
      <c r="Q668" s="91"/>
      <c r="R668" s="76" t="s">
        <v>66</v>
      </c>
      <c r="S668" s="76" t="s">
        <v>790</v>
      </c>
      <c r="T668" s="387">
        <v>45939</v>
      </c>
      <c r="U668" s="387">
        <f>T668+60</f>
        <v>45999</v>
      </c>
      <c r="V668" s="387">
        <v>45984</v>
      </c>
      <c r="X668" s="133" t="s">
        <v>90</v>
      </c>
      <c r="Y668" s="129">
        <v>14.988</v>
      </c>
      <c r="Z668" s="114">
        <v>4890</v>
      </c>
      <c r="AA668" s="114">
        <f>Y668*Z668</f>
        <v>73291.32</v>
      </c>
      <c r="AB668" s="114"/>
      <c r="AC668" s="114"/>
      <c r="AD668" s="140"/>
      <c r="AE668" s="114"/>
      <c r="AF668" s="114"/>
      <c r="AG668" s="114"/>
      <c r="AH668" s="114"/>
      <c r="AK668" s="129">
        <v>14.988</v>
      </c>
      <c r="AM668" s="114"/>
      <c r="AN668" s="76">
        <v>78237.36</v>
      </c>
      <c r="AQ668" s="387"/>
      <c r="AR668" s="387"/>
      <c r="AS668" s="387"/>
      <c r="AT668" s="387"/>
      <c r="AW668" s="387"/>
      <c r="AX668" s="129"/>
      <c r="AY668" s="114"/>
      <c r="AZ668" s="127"/>
      <c r="BA668" s="127"/>
      <c r="BB668" s="127"/>
      <c r="BC668" s="127"/>
      <c r="BI668" s="75"/>
      <c r="BJ668" s="91"/>
      <c r="BL668" s="76" t="str">
        <f>D668</f>
        <v>TJTW-92</v>
      </c>
      <c r="BM668" s="76" t="str">
        <f>A668</f>
        <v>INTEX</v>
      </c>
      <c r="BN668" s="76">
        <f>C668</f>
        <v>0</v>
      </c>
      <c r="BO668" s="76" t="str">
        <f>E668</f>
        <v>0.32*940*850 2.0/2.0 T3</v>
      </c>
      <c r="BP668" s="129">
        <f>J668</f>
        <v>15</v>
      </c>
      <c r="BQ668" s="387">
        <f>U668</f>
        <v>45999</v>
      </c>
    </row>
    <row r="669" s="79" customFormat="1" customHeight="1" spans="1:69">
      <c r="A669" s="79" t="s">
        <v>797</v>
      </c>
      <c r="B669" s="79" t="s">
        <v>578</v>
      </c>
      <c r="C669" s="463"/>
      <c r="D669" s="79" t="s">
        <v>798</v>
      </c>
      <c r="G669" s="486"/>
      <c r="J669" s="79">
        <f>SUM(J667:J668)</f>
        <v>30</v>
      </c>
      <c r="K669" s="194"/>
      <c r="L669" s="79">
        <f>SUM(L667:L668)</f>
        <v>156600</v>
      </c>
      <c r="M669" s="194"/>
      <c r="N669" s="79">
        <f>SUM(N667:N668)</f>
        <v>15660</v>
      </c>
      <c r="T669" s="463"/>
      <c r="U669" s="463"/>
      <c r="V669" s="463">
        <v>45984</v>
      </c>
      <c r="X669" s="193" t="s">
        <v>355</v>
      </c>
      <c r="Y669" s="79">
        <f>SUM(Y667:Y668)</f>
        <v>25.45</v>
      </c>
      <c r="Z669" s="192"/>
      <c r="AA669" s="79">
        <f>SUM(AA667:AA668)</f>
        <v>124450.5</v>
      </c>
      <c r="AB669" s="192">
        <f>SUM(AB667:AB668)</f>
        <v>124450.5</v>
      </c>
      <c r="AC669" s="192"/>
      <c r="AD669" s="196"/>
      <c r="AE669" s="192"/>
      <c r="AF669" s="192"/>
      <c r="AG669" s="192"/>
      <c r="AH669" s="192"/>
      <c r="AM669" s="192"/>
      <c r="AN669" s="192">
        <f>SUM(AN667:AN668)</f>
        <v>132849</v>
      </c>
      <c r="AQ669" s="463">
        <f>V669</f>
        <v>45984</v>
      </c>
      <c r="AR669" s="463"/>
      <c r="AS669" s="463"/>
      <c r="AT669" s="463"/>
      <c r="AW669" s="463"/>
      <c r="AX669" s="194"/>
      <c r="AY669" s="192"/>
      <c r="AZ669" s="150"/>
      <c r="BA669" s="150"/>
      <c r="BB669" s="150"/>
      <c r="BC669" s="150"/>
      <c r="BI669" s="151"/>
    </row>
    <row r="670" s="76" customFormat="1" customHeight="1" spans="1:69">
      <c r="A670" s="76" t="s">
        <v>338</v>
      </c>
      <c r="B670" s="76" t="s">
        <v>456</v>
      </c>
      <c r="C670" s="387"/>
      <c r="D670" s="76" t="s">
        <v>802</v>
      </c>
      <c r="E670" s="76" t="s">
        <v>803</v>
      </c>
      <c r="F670" s="386"/>
      <c r="G670" s="479"/>
      <c r="J670" s="129">
        <v>15</v>
      </c>
      <c r="K670" s="129">
        <v>5950</v>
      </c>
      <c r="L670" s="114">
        <f>J670*K670</f>
        <v>89250</v>
      </c>
      <c r="M670" s="129"/>
      <c r="N670" s="76">
        <v>89250</v>
      </c>
      <c r="P670" s="91"/>
      <c r="Q670" s="91"/>
      <c r="R670" s="76" t="s">
        <v>88</v>
      </c>
      <c r="S670" s="76" t="s">
        <v>804</v>
      </c>
      <c r="T670" s="387">
        <v>45950</v>
      </c>
      <c r="U670" s="387">
        <f>T670+60</f>
        <v>46010</v>
      </c>
      <c r="V670" s="387">
        <v>46006</v>
      </c>
      <c r="X670" s="133" t="s">
        <v>90</v>
      </c>
      <c r="Y670" s="129">
        <v>15</v>
      </c>
      <c r="Z670" s="114">
        <v>5700</v>
      </c>
      <c r="AA670" s="114">
        <f>Y670*Z670</f>
        <v>85500</v>
      </c>
      <c r="AB670" s="114"/>
      <c r="AC670" s="114"/>
      <c r="AD670" s="140"/>
      <c r="AE670" s="114"/>
      <c r="AF670" s="114"/>
      <c r="AG670" s="114"/>
      <c r="AH670" s="114"/>
      <c r="AM670" s="114"/>
      <c r="AN670" s="114">
        <v>89250</v>
      </c>
      <c r="AQ670" s="387"/>
      <c r="AR670" s="387"/>
      <c r="AS670" s="387"/>
      <c r="AT670" s="387" t="s">
        <v>298</v>
      </c>
      <c r="AU670" s="76" t="s">
        <v>805</v>
      </c>
      <c r="AV670" s="76">
        <v>11</v>
      </c>
      <c r="AW670" s="387" t="s">
        <v>806</v>
      </c>
      <c r="AX670" s="129"/>
      <c r="AY670" s="114"/>
      <c r="AZ670" s="127"/>
      <c r="BA670" s="127"/>
      <c r="BB670" s="127"/>
      <c r="BC670" s="127"/>
      <c r="BI670" s="75"/>
      <c r="BJ670" s="91"/>
      <c r="BL670" s="76" t="str">
        <f>D670</f>
        <v>TJTW-94</v>
      </c>
      <c r="BM670" s="76" t="str">
        <f>A670</f>
        <v>KLM</v>
      </c>
      <c r="BO670" s="76" t="str">
        <f>E670</f>
        <v>0.18*788*982 2.8/2.8 T3</v>
      </c>
      <c r="BP670" s="129">
        <f>J670</f>
        <v>15</v>
      </c>
      <c r="BQ670" s="387">
        <f>U670</f>
        <v>46010</v>
      </c>
    </row>
    <row r="671" s="79" customFormat="1" customHeight="1" spans="1:69">
      <c r="A671" s="79" t="s">
        <v>338</v>
      </c>
      <c r="B671" s="79" t="s">
        <v>456</v>
      </c>
      <c r="C671" s="463"/>
      <c r="D671" s="79" t="s">
        <v>802</v>
      </c>
      <c r="G671" s="486"/>
      <c r="J671" s="79">
        <f>J670</f>
        <v>15</v>
      </c>
      <c r="K671" s="194"/>
      <c r="L671" s="79">
        <f>L670</f>
        <v>89250</v>
      </c>
      <c r="M671" s="194"/>
      <c r="T671" s="463"/>
      <c r="U671" s="463"/>
      <c r="V671" s="463">
        <v>46006</v>
      </c>
      <c r="X671" s="193"/>
      <c r="Y671" s="79">
        <f>Y670</f>
        <v>15</v>
      </c>
      <c r="Z671" s="192"/>
      <c r="AA671" s="79">
        <f>AA670</f>
        <v>85500</v>
      </c>
      <c r="AB671" s="192"/>
      <c r="AC671" s="192"/>
      <c r="AD671" s="196"/>
      <c r="AE671" s="192"/>
      <c r="AF671" s="192"/>
      <c r="AG671" s="192"/>
      <c r="AH671" s="192"/>
      <c r="AM671" s="192"/>
      <c r="AN671" s="192"/>
      <c r="AQ671" s="463">
        <f>V671</f>
        <v>46006</v>
      </c>
      <c r="AR671" s="463"/>
      <c r="AS671" s="463"/>
      <c r="AT671" s="463"/>
      <c r="AW671" s="463"/>
      <c r="AX671" s="194"/>
      <c r="AY671" s="192"/>
      <c r="AZ671" s="150"/>
      <c r="BA671" s="150"/>
      <c r="BB671" s="150"/>
      <c r="BC671" s="150"/>
      <c r="BI671" s="151"/>
    </row>
    <row r="672" s="76" customFormat="1" customHeight="1" spans="1:69">
      <c r="A672" s="76" t="s">
        <v>414</v>
      </c>
      <c r="C672" s="387"/>
      <c r="D672" s="190" t="s">
        <v>807</v>
      </c>
      <c r="E672" s="76" t="s">
        <v>808</v>
      </c>
      <c r="G672" s="479"/>
      <c r="J672" s="190">
        <v>10</v>
      </c>
      <c r="K672" s="190">
        <v>6720</v>
      </c>
      <c r="L672" s="114">
        <f t="shared" ref="L672:L695" si="93">J672*K672</f>
        <v>67200</v>
      </c>
      <c r="M672" s="129">
        <f t="shared" ref="M672:M695" si="94">L672*0.3</f>
        <v>20160</v>
      </c>
      <c r="N672" s="114">
        <v>129197.15</v>
      </c>
      <c r="O672" s="76">
        <f t="shared" ref="O672:O695" si="95">L672-N672</f>
        <v>-61997.15</v>
      </c>
      <c r="P672" s="91"/>
      <c r="Q672" s="91"/>
      <c r="S672" s="76" t="s">
        <v>809</v>
      </c>
      <c r="T672" s="387">
        <v>45950</v>
      </c>
      <c r="U672" s="387">
        <f t="shared" ref="U672:U694" si="96">T672+60</f>
        <v>46010</v>
      </c>
      <c r="V672" s="387">
        <v>46000</v>
      </c>
      <c r="X672" s="133"/>
      <c r="Y672" s="76">
        <v>10</v>
      </c>
      <c r="Z672" s="114">
        <v>5290</v>
      </c>
      <c r="AA672" s="114">
        <f t="shared" ref="AA672:AA695" si="97">Y672*Z672</f>
        <v>52900</v>
      </c>
      <c r="AB672" s="114"/>
      <c r="AC672" s="114"/>
      <c r="AD672" s="140"/>
      <c r="AE672" s="114"/>
      <c r="AF672" s="114"/>
      <c r="AG672" s="114"/>
      <c r="AH672" s="114"/>
      <c r="AM672" s="114"/>
      <c r="AN672" s="114">
        <v>129197.15</v>
      </c>
      <c r="AQ672" s="387"/>
      <c r="AR672" s="387"/>
      <c r="AS672" s="387"/>
      <c r="AT672" s="387"/>
      <c r="AW672" s="387"/>
      <c r="AX672" s="129"/>
      <c r="AY672" s="114"/>
      <c r="AZ672" s="127"/>
      <c r="BA672" s="127"/>
      <c r="BB672" s="127"/>
      <c r="BC672" s="127"/>
      <c r="BI672" s="75"/>
      <c r="BJ672" s="91"/>
      <c r="BL672" s="76" t="str">
        <f t="shared" ref="BL672:BL695" si="98">D672</f>
        <v>NBE-10-1</v>
      </c>
      <c r="BM672" s="76" t="str">
        <f t="shared" ref="BM672:BM695" si="99">A672</f>
        <v>ICE</v>
      </c>
      <c r="BN672" s="76">
        <f t="shared" ref="BN672:BN695" si="100">C672</f>
        <v>0</v>
      </c>
      <c r="BO672" s="76" t="str">
        <f t="shared" ref="BO672:BO695" si="101">E672</f>
        <v>0,22x960x712 2.0/2.0 T3 with lamination</v>
      </c>
      <c r="BP672" s="129">
        <f t="shared" ref="BP672:BP695" si="102">J672</f>
        <v>10</v>
      </c>
      <c r="BQ672" s="387">
        <f t="shared" ref="BQ672:BQ695" si="103">U672</f>
        <v>46010</v>
      </c>
    </row>
    <row r="673" s="76" customFormat="1" customHeight="1" spans="1:69">
      <c r="A673" s="76" t="s">
        <v>414</v>
      </c>
      <c r="C673" s="387"/>
      <c r="D673" s="190" t="s">
        <v>807</v>
      </c>
      <c r="E673" s="76" t="s">
        <v>810</v>
      </c>
      <c r="G673" s="479"/>
      <c r="J673" s="190">
        <v>30</v>
      </c>
      <c r="K673" s="190">
        <v>6720</v>
      </c>
      <c r="L673" s="114">
        <f t="shared" si="93"/>
        <v>201600</v>
      </c>
      <c r="M673" s="129">
        <f t="shared" si="94"/>
        <v>60480</v>
      </c>
      <c r="N673" s="114">
        <f>42646.464+99508.42</f>
        <v>142154.884</v>
      </c>
      <c r="O673" s="76">
        <f t="shared" si="95"/>
        <v>59445.116</v>
      </c>
      <c r="P673" s="91"/>
      <c r="Q673" s="91"/>
      <c r="S673" s="76" t="s">
        <v>809</v>
      </c>
      <c r="T673" s="387">
        <v>45950</v>
      </c>
      <c r="U673" s="387">
        <f t="shared" si="96"/>
        <v>46010</v>
      </c>
      <c r="V673" s="387">
        <v>46000</v>
      </c>
      <c r="X673" s="133"/>
      <c r="Y673" s="76">
        <v>30</v>
      </c>
      <c r="Z673" s="114">
        <v>5290</v>
      </c>
      <c r="AA673" s="114">
        <f t="shared" si="97"/>
        <v>158700</v>
      </c>
      <c r="AB673" s="114"/>
      <c r="AC673" s="114"/>
      <c r="AD673" s="140"/>
      <c r="AE673" s="114"/>
      <c r="AF673" s="114"/>
      <c r="AG673" s="114"/>
      <c r="AH673" s="114"/>
      <c r="AM673" s="114"/>
      <c r="AN673" s="114">
        <f>42646.464+99508.42</f>
        <v>142154.884</v>
      </c>
      <c r="AQ673" s="387"/>
      <c r="AR673" s="387"/>
      <c r="AS673" s="387"/>
      <c r="AT673" s="387"/>
      <c r="AW673" s="387"/>
      <c r="AX673" s="129"/>
      <c r="AY673" s="114"/>
      <c r="AZ673" s="127"/>
      <c r="BA673" s="127"/>
      <c r="BB673" s="127"/>
      <c r="BC673" s="127"/>
      <c r="BI673" s="75"/>
      <c r="BJ673" s="91"/>
      <c r="BL673" s="76" t="str">
        <f t="shared" si="98"/>
        <v>NBE-10-1</v>
      </c>
      <c r="BM673" s="76" t="str">
        <f t="shared" si="99"/>
        <v>ICE</v>
      </c>
      <c r="BN673" s="76">
        <f t="shared" si="100"/>
        <v>0</v>
      </c>
      <c r="BO673" s="76" t="str">
        <f t="shared" si="101"/>
        <v>0,22x1040x765 2.0/2.0 T3 with lamination</v>
      </c>
      <c r="BP673" s="129">
        <f t="shared" si="102"/>
        <v>30</v>
      </c>
      <c r="BQ673" s="387">
        <f t="shared" si="103"/>
        <v>46010</v>
      </c>
    </row>
    <row r="674" s="76" customFormat="1" customHeight="1" spans="1:69">
      <c r="A674" s="76" t="s">
        <v>414</v>
      </c>
      <c r="C674" s="387"/>
      <c r="D674" s="190" t="s">
        <v>807</v>
      </c>
      <c r="E674" s="76" t="s">
        <v>811</v>
      </c>
      <c r="G674" s="479"/>
      <c r="J674" s="190">
        <v>40</v>
      </c>
      <c r="K674" s="190">
        <v>6660</v>
      </c>
      <c r="L674" s="114">
        <f t="shared" si="93"/>
        <v>266400</v>
      </c>
      <c r="M674" s="129">
        <f t="shared" si="94"/>
        <v>79920</v>
      </c>
      <c r="N674" s="114">
        <v>160560</v>
      </c>
      <c r="O674" s="76">
        <f t="shared" si="95"/>
        <v>105840</v>
      </c>
      <c r="P674" s="91"/>
      <c r="Q674" s="91"/>
      <c r="S674" s="76" t="s">
        <v>809</v>
      </c>
      <c r="T674" s="387">
        <v>45950</v>
      </c>
      <c r="U674" s="387">
        <f t="shared" si="96"/>
        <v>46010</v>
      </c>
      <c r="V674" s="387">
        <v>46000</v>
      </c>
      <c r="X674" s="133"/>
      <c r="Y674" s="76">
        <v>40</v>
      </c>
      <c r="Z674" s="114">
        <v>5270</v>
      </c>
      <c r="AA674" s="114">
        <f t="shared" si="97"/>
        <v>210800</v>
      </c>
      <c r="AB674" s="114"/>
      <c r="AC674" s="114"/>
      <c r="AD674" s="140"/>
      <c r="AE674" s="114"/>
      <c r="AF674" s="114"/>
      <c r="AG674" s="114"/>
      <c r="AH674" s="114"/>
      <c r="AM674" s="114"/>
      <c r="AN674" s="114">
        <v>160560</v>
      </c>
      <c r="AQ674" s="387"/>
      <c r="AR674" s="387"/>
      <c r="AS674" s="387"/>
      <c r="AT674" s="387"/>
      <c r="AW674" s="387"/>
      <c r="AX674" s="129"/>
      <c r="AY674" s="114"/>
      <c r="AZ674" s="127"/>
      <c r="BA674" s="127"/>
      <c r="BB674" s="127"/>
      <c r="BC674" s="127"/>
      <c r="BI674" s="75"/>
      <c r="BJ674" s="91"/>
      <c r="BL674" s="76" t="str">
        <f t="shared" si="98"/>
        <v>NBE-10-1</v>
      </c>
      <c r="BM674" s="76" t="str">
        <f t="shared" si="99"/>
        <v>ICE</v>
      </c>
      <c r="BN674" s="76">
        <f t="shared" si="100"/>
        <v>0</v>
      </c>
      <c r="BO674" s="76" t="str">
        <f t="shared" si="101"/>
        <v>0,23x905x720 2.0/2.0 T3 with lamination</v>
      </c>
      <c r="BP674" s="129">
        <f t="shared" si="102"/>
        <v>40</v>
      </c>
      <c r="BQ674" s="387">
        <f t="shared" si="103"/>
        <v>46010</v>
      </c>
    </row>
    <row r="675" s="76" customFormat="1" customHeight="1" spans="1:69">
      <c r="A675" s="76" t="s">
        <v>414</v>
      </c>
      <c r="C675" s="387"/>
      <c r="D675" s="190" t="s">
        <v>812</v>
      </c>
      <c r="E675" s="76" t="s">
        <v>813</v>
      </c>
      <c r="G675" s="479"/>
      <c r="J675" s="190">
        <v>10</v>
      </c>
      <c r="K675" s="190">
        <v>7215</v>
      </c>
      <c r="L675" s="114">
        <f t="shared" si="93"/>
        <v>72150</v>
      </c>
      <c r="M675" s="129">
        <f t="shared" si="94"/>
        <v>21645</v>
      </c>
      <c r="N675" s="253">
        <v>21645</v>
      </c>
      <c r="O675" s="76">
        <f t="shared" si="95"/>
        <v>50505</v>
      </c>
      <c r="P675" s="91"/>
      <c r="Q675" s="91"/>
      <c r="S675" s="76" t="s">
        <v>809</v>
      </c>
      <c r="T675" s="387">
        <v>45950</v>
      </c>
      <c r="U675" s="387">
        <f t="shared" si="96"/>
        <v>46010</v>
      </c>
      <c r="V675" s="387">
        <v>46000</v>
      </c>
      <c r="X675" s="133"/>
      <c r="Y675" s="76">
        <v>10</v>
      </c>
      <c r="Z675" s="114">
        <v>5470</v>
      </c>
      <c r="AA675" s="114">
        <f t="shared" si="97"/>
        <v>54700</v>
      </c>
      <c r="AB675" s="114"/>
      <c r="AC675" s="114"/>
      <c r="AD675" s="140"/>
      <c r="AE675" s="114"/>
      <c r="AF675" s="114"/>
      <c r="AG675" s="114"/>
      <c r="AH675" s="114"/>
      <c r="AM675" s="114"/>
      <c r="AN675" s="253">
        <v>21645</v>
      </c>
      <c r="AQ675" s="387"/>
      <c r="AR675" s="387"/>
      <c r="AS675" s="387"/>
      <c r="AT675" s="387"/>
      <c r="AW675" s="387"/>
      <c r="AX675" s="129"/>
      <c r="AY675" s="114"/>
      <c r="AZ675" s="127"/>
      <c r="BA675" s="127"/>
      <c r="BB675" s="127"/>
      <c r="BC675" s="127"/>
      <c r="BI675" s="75"/>
      <c r="BJ675" s="91"/>
      <c r="BL675" s="76" t="str">
        <f t="shared" si="98"/>
        <v>NBE-10-2</v>
      </c>
      <c r="BM675" s="76" t="str">
        <f t="shared" si="99"/>
        <v>ICE</v>
      </c>
      <c r="BN675" s="76">
        <f t="shared" si="100"/>
        <v>0</v>
      </c>
      <c r="BO675" s="76" t="str">
        <f t="shared" si="101"/>
        <v>0,18x1040x826 2.0/2.0 T4 with lamination</v>
      </c>
      <c r="BP675" s="129">
        <f t="shared" si="102"/>
        <v>10</v>
      </c>
      <c r="BQ675" s="387">
        <f t="shared" si="103"/>
        <v>46010</v>
      </c>
    </row>
    <row r="676" s="76" customFormat="1" customHeight="1" spans="1:69">
      <c r="A676" s="76" t="s">
        <v>414</v>
      </c>
      <c r="C676" s="387"/>
      <c r="D676" s="190" t="s">
        <v>812</v>
      </c>
      <c r="E676" s="76" t="s">
        <v>814</v>
      </c>
      <c r="G676" s="479"/>
      <c r="J676" s="190">
        <v>10</v>
      </c>
      <c r="K676" s="190">
        <v>7215</v>
      </c>
      <c r="L676" s="114">
        <f t="shared" si="93"/>
        <v>72150</v>
      </c>
      <c r="M676" s="129">
        <f t="shared" si="94"/>
        <v>21645</v>
      </c>
      <c r="N676" s="253">
        <v>21645</v>
      </c>
      <c r="O676" s="76">
        <f t="shared" si="95"/>
        <v>50505</v>
      </c>
      <c r="P676" s="91"/>
      <c r="Q676" s="91"/>
      <c r="S676" s="76" t="s">
        <v>809</v>
      </c>
      <c r="T676" s="387">
        <v>45950</v>
      </c>
      <c r="U676" s="387">
        <f t="shared" si="96"/>
        <v>46010</v>
      </c>
      <c r="V676" s="387">
        <v>46000</v>
      </c>
      <c r="X676" s="133"/>
      <c r="Y676" s="76">
        <v>10</v>
      </c>
      <c r="Z676" s="114">
        <v>5470</v>
      </c>
      <c r="AA676" s="114">
        <f t="shared" si="97"/>
        <v>54700</v>
      </c>
      <c r="AB676" s="114"/>
      <c r="AC676" s="114"/>
      <c r="AD676" s="140"/>
      <c r="AE676" s="114"/>
      <c r="AF676" s="114"/>
      <c r="AG676" s="114"/>
      <c r="AH676" s="114"/>
      <c r="AM676" s="114"/>
      <c r="AN676" s="253">
        <v>21645</v>
      </c>
      <c r="AQ676" s="387"/>
      <c r="AR676" s="387"/>
      <c r="AS676" s="387"/>
      <c r="AT676" s="387"/>
      <c r="AW676" s="387"/>
      <c r="AX676" s="129"/>
      <c r="AY676" s="114"/>
      <c r="AZ676" s="127"/>
      <c r="BA676" s="127"/>
      <c r="BB676" s="127"/>
      <c r="BC676" s="127"/>
      <c r="BI676" s="75"/>
      <c r="BJ676" s="91"/>
      <c r="BL676" s="76" t="str">
        <f t="shared" si="98"/>
        <v>NBE-10-2</v>
      </c>
      <c r="BM676" s="76" t="str">
        <f t="shared" si="99"/>
        <v>ICE</v>
      </c>
      <c r="BN676" s="76">
        <f t="shared" si="100"/>
        <v>0</v>
      </c>
      <c r="BO676" s="76" t="str">
        <f t="shared" si="101"/>
        <v>0,18x1040x765 2.0/2.0 T4 with lamination</v>
      </c>
      <c r="BP676" s="129">
        <f t="shared" si="102"/>
        <v>10</v>
      </c>
      <c r="BQ676" s="387">
        <f t="shared" si="103"/>
        <v>46010</v>
      </c>
    </row>
    <row r="677" s="76" customFormat="1" customHeight="1" spans="1:69">
      <c r="A677" s="76" t="s">
        <v>414</v>
      </c>
      <c r="C677" s="387"/>
      <c r="D677" s="190" t="s">
        <v>812</v>
      </c>
      <c r="E677" s="76" t="s">
        <v>815</v>
      </c>
      <c r="G677" s="479"/>
      <c r="J677" s="190">
        <v>20</v>
      </c>
      <c r="K677" s="190">
        <v>7215</v>
      </c>
      <c r="L677" s="114">
        <f t="shared" si="93"/>
        <v>144300</v>
      </c>
      <c r="M677" s="129">
        <f t="shared" si="94"/>
        <v>43290</v>
      </c>
      <c r="N677" s="253">
        <v>43290</v>
      </c>
      <c r="O677" s="76">
        <f t="shared" si="95"/>
        <v>101010</v>
      </c>
      <c r="P677" s="91"/>
      <c r="Q677" s="91"/>
      <c r="S677" s="76" t="s">
        <v>809</v>
      </c>
      <c r="T677" s="387">
        <v>45950</v>
      </c>
      <c r="U677" s="387">
        <f t="shared" si="96"/>
        <v>46010</v>
      </c>
      <c r="V677" s="387">
        <v>46000</v>
      </c>
      <c r="X677" s="133"/>
      <c r="Y677" s="76">
        <v>20</v>
      </c>
      <c r="Z677" s="114">
        <v>5470</v>
      </c>
      <c r="AA677" s="114">
        <f t="shared" si="97"/>
        <v>109400</v>
      </c>
      <c r="AB677" s="114"/>
      <c r="AC677" s="114"/>
      <c r="AD677" s="140"/>
      <c r="AE677" s="114"/>
      <c r="AF677" s="114"/>
      <c r="AG677" s="114"/>
      <c r="AH677" s="114"/>
      <c r="AM677" s="114"/>
      <c r="AN677" s="253">
        <v>43290</v>
      </c>
      <c r="AQ677" s="387"/>
      <c r="AR677" s="387"/>
      <c r="AS677" s="387"/>
      <c r="AT677" s="387"/>
      <c r="AW677" s="387"/>
      <c r="AX677" s="129"/>
      <c r="AY677" s="114"/>
      <c r="AZ677" s="127"/>
      <c r="BA677" s="127"/>
      <c r="BB677" s="127"/>
      <c r="BC677" s="127"/>
      <c r="BI677" s="75"/>
      <c r="BJ677" s="91"/>
      <c r="BL677" s="76" t="str">
        <f t="shared" si="98"/>
        <v>NBE-10-2</v>
      </c>
      <c r="BM677" s="76" t="str">
        <f t="shared" si="99"/>
        <v>ICE</v>
      </c>
      <c r="BN677" s="76">
        <f t="shared" si="100"/>
        <v>0</v>
      </c>
      <c r="BO677" s="76" t="str">
        <f t="shared" si="101"/>
        <v>0,18x765x1040  2.0/2.0 T3 with lamination</v>
      </c>
      <c r="BP677" s="129">
        <f t="shared" si="102"/>
        <v>20</v>
      </c>
      <c r="BQ677" s="387">
        <f t="shared" si="103"/>
        <v>46010</v>
      </c>
    </row>
    <row r="678" s="76" customFormat="1" customHeight="1" spans="1:69">
      <c r="A678" s="76" t="s">
        <v>414</v>
      </c>
      <c r="C678" s="387"/>
      <c r="D678" s="190" t="s">
        <v>812</v>
      </c>
      <c r="E678" s="76" t="s">
        <v>816</v>
      </c>
      <c r="G678" s="479"/>
      <c r="J678" s="190">
        <v>30</v>
      </c>
      <c r="K678" s="190">
        <v>6900</v>
      </c>
      <c r="L678" s="114">
        <f t="shared" si="93"/>
        <v>207000</v>
      </c>
      <c r="M678" s="129">
        <f t="shared" si="94"/>
        <v>62100</v>
      </c>
      <c r="N678" s="253">
        <v>62100</v>
      </c>
      <c r="O678" s="76">
        <f t="shared" si="95"/>
        <v>144900</v>
      </c>
      <c r="P678" s="91"/>
      <c r="Q678" s="91"/>
      <c r="S678" s="76" t="s">
        <v>809</v>
      </c>
      <c r="T678" s="387">
        <v>45950</v>
      </c>
      <c r="U678" s="387">
        <f t="shared" si="96"/>
        <v>46010</v>
      </c>
      <c r="V678" s="387">
        <v>46000</v>
      </c>
      <c r="X678" s="133"/>
      <c r="Y678" s="76">
        <v>30</v>
      </c>
      <c r="Z678" s="114">
        <v>5380</v>
      </c>
      <c r="AA678" s="114">
        <f t="shared" si="97"/>
        <v>161400</v>
      </c>
      <c r="AB678" s="114"/>
      <c r="AC678" s="114"/>
      <c r="AD678" s="140"/>
      <c r="AE678" s="114"/>
      <c r="AF678" s="114"/>
      <c r="AG678" s="114"/>
      <c r="AH678" s="114"/>
      <c r="AM678" s="114"/>
      <c r="AN678" s="253">
        <v>62100</v>
      </c>
      <c r="AQ678" s="387"/>
      <c r="AR678" s="387"/>
      <c r="AS678" s="387"/>
      <c r="AT678" s="387"/>
      <c r="AW678" s="387"/>
      <c r="AX678" s="129"/>
      <c r="AY678" s="114"/>
      <c r="AZ678" s="127"/>
      <c r="BA678" s="127"/>
      <c r="BB678" s="127"/>
      <c r="BC678" s="127"/>
      <c r="BI678" s="75"/>
      <c r="BJ678" s="91"/>
      <c r="BL678" s="76" t="str">
        <f t="shared" si="98"/>
        <v>NBE-10-2</v>
      </c>
      <c r="BM678" s="76" t="str">
        <f t="shared" si="99"/>
        <v>ICE</v>
      </c>
      <c r="BN678" s="76">
        <f t="shared" si="100"/>
        <v>0</v>
      </c>
      <c r="BO678" s="76" t="str">
        <f t="shared" si="101"/>
        <v>0,20x882x712 2.0/2.0 T3 with lamination</v>
      </c>
      <c r="BP678" s="129">
        <f t="shared" si="102"/>
        <v>30</v>
      </c>
      <c r="BQ678" s="387">
        <f t="shared" si="103"/>
        <v>46010</v>
      </c>
    </row>
    <row r="679" s="76" customFormat="1" customHeight="1" spans="1:69">
      <c r="A679" s="76" t="s">
        <v>414</v>
      </c>
      <c r="C679" s="387"/>
      <c r="D679" s="190" t="s">
        <v>817</v>
      </c>
      <c r="E679" s="76" t="s">
        <v>818</v>
      </c>
      <c r="G679" s="479"/>
      <c r="J679" s="190">
        <v>30</v>
      </c>
      <c r="K679" s="190">
        <v>6080</v>
      </c>
      <c r="L679" s="114">
        <f t="shared" si="93"/>
        <v>182400</v>
      </c>
      <c r="M679" s="129">
        <f t="shared" si="94"/>
        <v>54720</v>
      </c>
      <c r="N679" s="76">
        <v>93114.69</v>
      </c>
      <c r="O679" s="76">
        <f t="shared" si="95"/>
        <v>89285.31</v>
      </c>
      <c r="P679" s="91"/>
      <c r="Q679" s="91"/>
      <c r="S679" s="76" t="s">
        <v>809</v>
      </c>
      <c r="T679" s="387">
        <v>45950</v>
      </c>
      <c r="U679" s="387">
        <f t="shared" si="96"/>
        <v>46010</v>
      </c>
      <c r="V679" s="387">
        <v>46000</v>
      </c>
      <c r="X679" s="133"/>
      <c r="Y679" s="76">
        <v>30</v>
      </c>
      <c r="Z679" s="114">
        <v>5580</v>
      </c>
      <c r="AA679" s="114">
        <f t="shared" si="97"/>
        <v>167400</v>
      </c>
      <c r="AB679" s="114"/>
      <c r="AC679" s="114"/>
      <c r="AD679" s="140"/>
      <c r="AE679" s="114"/>
      <c r="AF679" s="114"/>
      <c r="AG679" s="114"/>
      <c r="AH679" s="114"/>
      <c r="AM679" s="114"/>
      <c r="AN679" s="114">
        <v>427470</v>
      </c>
      <c r="AQ679" s="387"/>
      <c r="AR679" s="387"/>
      <c r="AS679" s="387"/>
      <c r="AT679" s="387"/>
      <c r="AW679" s="387"/>
      <c r="AX679" s="129"/>
      <c r="AY679" s="114"/>
      <c r="AZ679" s="127"/>
      <c r="BA679" s="127"/>
      <c r="BB679" s="127"/>
      <c r="BC679" s="127"/>
      <c r="BI679" s="75"/>
      <c r="BJ679" s="91"/>
      <c r="BL679" s="76" t="str">
        <f t="shared" si="98"/>
        <v>NBE-10-3</v>
      </c>
      <c r="BM679" s="76" t="str">
        <f t="shared" si="99"/>
        <v>ICE</v>
      </c>
      <c r="BN679" s="76">
        <f t="shared" si="100"/>
        <v>0</v>
      </c>
      <c r="BO679" s="76" t="str">
        <f t="shared" si="101"/>
        <v>0,18x928x735 2.0/2.0 T4</v>
      </c>
      <c r="BP679" s="129">
        <f t="shared" si="102"/>
        <v>30</v>
      </c>
      <c r="BQ679" s="387">
        <f t="shared" si="103"/>
        <v>46010</v>
      </c>
    </row>
    <row r="680" s="76" customFormat="1" customHeight="1" spans="1:69">
      <c r="A680" s="76" t="s">
        <v>414</v>
      </c>
      <c r="C680" s="387"/>
      <c r="D680" s="190" t="s">
        <v>817</v>
      </c>
      <c r="E680" s="76" t="s">
        <v>819</v>
      </c>
      <c r="G680" s="479"/>
      <c r="J680" s="190">
        <v>20</v>
      </c>
      <c r="K680" s="190">
        <v>6080</v>
      </c>
      <c r="L680" s="114">
        <f t="shared" si="93"/>
        <v>121600</v>
      </c>
      <c r="M680" s="129">
        <f t="shared" si="94"/>
        <v>36480</v>
      </c>
      <c r="N680" s="76">
        <v>427470</v>
      </c>
      <c r="O680" s="76">
        <f t="shared" si="95"/>
        <v>-305870</v>
      </c>
      <c r="P680" s="91"/>
      <c r="Q680" s="91"/>
      <c r="S680" s="76" t="s">
        <v>809</v>
      </c>
      <c r="T680" s="387">
        <v>45950</v>
      </c>
      <c r="U680" s="387">
        <f t="shared" si="96"/>
        <v>46010</v>
      </c>
      <c r="V680" s="387">
        <v>46000</v>
      </c>
      <c r="X680" s="133"/>
      <c r="Y680" s="76">
        <v>20</v>
      </c>
      <c r="Z680" s="114">
        <v>5580</v>
      </c>
      <c r="AA680" s="114">
        <f t="shared" si="97"/>
        <v>111600</v>
      </c>
      <c r="AB680" s="114"/>
      <c r="AC680" s="114"/>
      <c r="AD680" s="140"/>
      <c r="AE680" s="114"/>
      <c r="AF680" s="114"/>
      <c r="AG680" s="114"/>
      <c r="AH680" s="114"/>
      <c r="AM680" s="114"/>
      <c r="AN680" s="114"/>
      <c r="AQ680" s="387"/>
      <c r="AR680" s="387"/>
      <c r="AS680" s="387"/>
      <c r="AT680" s="387"/>
      <c r="AW680" s="387"/>
      <c r="AX680" s="129"/>
      <c r="AY680" s="114"/>
      <c r="AZ680" s="127"/>
      <c r="BA680" s="127"/>
      <c r="BB680" s="127"/>
      <c r="BC680" s="127"/>
      <c r="BI680" s="75"/>
      <c r="BJ680" s="91"/>
      <c r="BL680" s="76" t="str">
        <f t="shared" si="98"/>
        <v>NBE-10-3</v>
      </c>
      <c r="BM680" s="76" t="str">
        <f t="shared" si="99"/>
        <v>ICE</v>
      </c>
      <c r="BN680" s="76">
        <f t="shared" si="100"/>
        <v>0</v>
      </c>
      <c r="BO680" s="76" t="str">
        <f t="shared" si="101"/>
        <v>0,18x850x735 2.0/2.0 T3</v>
      </c>
      <c r="BP680" s="129">
        <f t="shared" si="102"/>
        <v>20</v>
      </c>
      <c r="BQ680" s="387">
        <f t="shared" si="103"/>
        <v>46010</v>
      </c>
    </row>
    <row r="681" s="76" customFormat="1" customHeight="1" spans="1:69">
      <c r="A681" s="76" t="s">
        <v>414</v>
      </c>
      <c r="C681" s="387"/>
      <c r="D681" s="190" t="s">
        <v>817</v>
      </c>
      <c r="E681" s="76" t="s">
        <v>820</v>
      </c>
      <c r="G681" s="479"/>
      <c r="J681" s="190">
        <v>20</v>
      </c>
      <c r="K681" s="190">
        <v>5790</v>
      </c>
      <c r="L681" s="114">
        <f t="shared" si="93"/>
        <v>115800</v>
      </c>
      <c r="M681" s="129">
        <f t="shared" si="94"/>
        <v>34740</v>
      </c>
      <c r="O681" s="76">
        <f t="shared" si="95"/>
        <v>115800</v>
      </c>
      <c r="P681" s="91"/>
      <c r="Q681" s="91"/>
      <c r="S681" s="76" t="s">
        <v>809</v>
      </c>
      <c r="T681" s="387">
        <v>45950</v>
      </c>
      <c r="U681" s="387">
        <f t="shared" si="96"/>
        <v>46010</v>
      </c>
      <c r="V681" s="387">
        <v>46000</v>
      </c>
      <c r="X681" s="133"/>
      <c r="Y681" s="76">
        <v>20</v>
      </c>
      <c r="Z681" s="114">
        <v>5290</v>
      </c>
      <c r="AA681" s="114">
        <f t="shared" si="97"/>
        <v>105800</v>
      </c>
      <c r="AB681" s="114"/>
      <c r="AC681" s="114"/>
      <c r="AD681" s="140"/>
      <c r="AE681" s="114"/>
      <c r="AF681" s="114"/>
      <c r="AG681" s="114"/>
      <c r="AH681" s="114"/>
      <c r="AM681" s="114"/>
      <c r="AN681" s="114"/>
      <c r="AQ681" s="387"/>
      <c r="AR681" s="387"/>
      <c r="AS681" s="387"/>
      <c r="AT681" s="387"/>
      <c r="AW681" s="387"/>
      <c r="AX681" s="129"/>
      <c r="AY681" s="114"/>
      <c r="AZ681" s="127"/>
      <c r="BA681" s="127"/>
      <c r="BB681" s="127"/>
      <c r="BC681" s="127"/>
      <c r="BI681" s="75"/>
      <c r="BJ681" s="91"/>
      <c r="BL681" s="76" t="str">
        <f t="shared" si="98"/>
        <v>NBE-10-3</v>
      </c>
      <c r="BM681" s="76" t="str">
        <f t="shared" si="99"/>
        <v>ICE</v>
      </c>
      <c r="BN681" s="76">
        <f t="shared" si="100"/>
        <v>0</v>
      </c>
      <c r="BO681" s="76" t="str">
        <f t="shared" si="101"/>
        <v>0,22x960x712 2.0/2.0 T3</v>
      </c>
      <c r="BP681" s="129">
        <f t="shared" si="102"/>
        <v>20</v>
      </c>
      <c r="BQ681" s="387">
        <f t="shared" si="103"/>
        <v>46010</v>
      </c>
    </row>
    <row r="682" s="76" customFormat="1" customHeight="1" spans="1:69">
      <c r="A682" s="76" t="s">
        <v>414</v>
      </c>
      <c r="C682" s="387"/>
      <c r="D682" s="190" t="s">
        <v>817</v>
      </c>
      <c r="E682" s="76" t="s">
        <v>821</v>
      </c>
      <c r="G682" s="479"/>
      <c r="J682" s="190">
        <v>20</v>
      </c>
      <c r="K682" s="190">
        <v>6080</v>
      </c>
      <c r="L682" s="114">
        <f t="shared" si="93"/>
        <v>121600</v>
      </c>
      <c r="M682" s="129">
        <f t="shared" si="94"/>
        <v>36480</v>
      </c>
      <c r="O682" s="76">
        <f t="shared" si="95"/>
        <v>121600</v>
      </c>
      <c r="P682" s="91"/>
      <c r="Q682" s="91"/>
      <c r="S682" s="76" t="s">
        <v>809</v>
      </c>
      <c r="T682" s="387">
        <v>45950</v>
      </c>
      <c r="U682" s="387">
        <f t="shared" si="96"/>
        <v>46010</v>
      </c>
      <c r="V682" s="387">
        <v>46000</v>
      </c>
      <c r="X682" s="133"/>
      <c r="Y682" s="76">
        <v>20</v>
      </c>
      <c r="Z682" s="114">
        <v>5580</v>
      </c>
      <c r="AA682" s="114">
        <f t="shared" si="97"/>
        <v>111600</v>
      </c>
      <c r="AB682" s="114"/>
      <c r="AC682" s="114"/>
      <c r="AD682" s="140"/>
      <c r="AE682" s="114"/>
      <c r="AF682" s="114"/>
      <c r="AG682" s="114"/>
      <c r="AH682" s="114"/>
      <c r="AM682" s="114"/>
      <c r="AN682" s="114"/>
      <c r="AQ682" s="387"/>
      <c r="AR682" s="387"/>
      <c r="AS682" s="387"/>
      <c r="AT682" s="387"/>
      <c r="AW682" s="387"/>
      <c r="AX682" s="129"/>
      <c r="AY682" s="114"/>
      <c r="AZ682" s="127"/>
      <c r="BA682" s="127"/>
      <c r="BB682" s="127"/>
      <c r="BC682" s="127"/>
      <c r="BI682" s="75"/>
      <c r="BJ682" s="91"/>
      <c r="BL682" s="76" t="str">
        <f t="shared" si="98"/>
        <v>NBE-10-3</v>
      </c>
      <c r="BM682" s="76" t="str">
        <f t="shared" si="99"/>
        <v>ICE</v>
      </c>
      <c r="BN682" s="76">
        <f t="shared" si="100"/>
        <v>0</v>
      </c>
      <c r="BO682" s="76" t="str">
        <f t="shared" si="101"/>
        <v>0,18x1040x765 2.0/2.0 T4</v>
      </c>
      <c r="BP682" s="129">
        <f t="shared" si="102"/>
        <v>20</v>
      </c>
      <c r="BQ682" s="387">
        <f t="shared" si="103"/>
        <v>46010</v>
      </c>
    </row>
    <row r="683" s="76" customFormat="1" customHeight="1" spans="1:69">
      <c r="A683" s="76" t="s">
        <v>414</v>
      </c>
      <c r="C683" s="387"/>
      <c r="D683" s="190" t="s">
        <v>817</v>
      </c>
      <c r="E683" s="76" t="s">
        <v>822</v>
      </c>
      <c r="G683" s="479"/>
      <c r="J683" s="190">
        <v>20</v>
      </c>
      <c r="K683" s="190">
        <v>5790</v>
      </c>
      <c r="L683" s="114">
        <f t="shared" si="93"/>
        <v>115800</v>
      </c>
      <c r="M683" s="129">
        <f t="shared" si="94"/>
        <v>34740</v>
      </c>
      <c r="O683" s="76">
        <f t="shared" si="95"/>
        <v>115800</v>
      </c>
      <c r="P683" s="91"/>
      <c r="Q683" s="91"/>
      <c r="S683" s="76" t="s">
        <v>809</v>
      </c>
      <c r="T683" s="387">
        <v>45950</v>
      </c>
      <c r="U683" s="387">
        <f t="shared" si="96"/>
        <v>46010</v>
      </c>
      <c r="V683" s="387">
        <v>46000</v>
      </c>
      <c r="X683" s="133"/>
      <c r="Y683" s="76">
        <v>20</v>
      </c>
      <c r="Z683" s="114">
        <v>5290</v>
      </c>
      <c r="AA683" s="114">
        <f t="shared" si="97"/>
        <v>105800</v>
      </c>
      <c r="AB683" s="114"/>
      <c r="AC683" s="114"/>
      <c r="AD683" s="140"/>
      <c r="AE683" s="114"/>
      <c r="AF683" s="114"/>
      <c r="AG683" s="114"/>
      <c r="AH683" s="114"/>
      <c r="AM683" s="114"/>
      <c r="AN683" s="114"/>
      <c r="AQ683" s="387"/>
      <c r="AR683" s="387"/>
      <c r="AS683" s="387"/>
      <c r="AT683" s="387"/>
      <c r="AW683" s="387"/>
      <c r="AX683" s="129"/>
      <c r="AY683" s="114"/>
      <c r="AZ683" s="127"/>
      <c r="BA683" s="127"/>
      <c r="BB683" s="127"/>
      <c r="BC683" s="127"/>
      <c r="BI683" s="75"/>
      <c r="BJ683" s="91"/>
      <c r="BL683" s="76" t="str">
        <f t="shared" si="98"/>
        <v>NBE-10-3</v>
      </c>
      <c r="BM683" s="76" t="str">
        <f t="shared" si="99"/>
        <v>ICE</v>
      </c>
      <c r="BN683" s="76">
        <f t="shared" si="100"/>
        <v>0</v>
      </c>
      <c r="BO683" s="76" t="str">
        <f t="shared" si="101"/>
        <v>0,22x765x1040 2.0/2.0 T3</v>
      </c>
      <c r="BP683" s="129">
        <f t="shared" si="102"/>
        <v>20</v>
      </c>
      <c r="BQ683" s="387">
        <f t="shared" si="103"/>
        <v>46010</v>
      </c>
    </row>
    <row r="684" s="76" customFormat="1" customHeight="1" spans="1:69">
      <c r="A684" s="76" t="s">
        <v>414</v>
      </c>
      <c r="C684" s="387"/>
      <c r="D684" s="190" t="s">
        <v>817</v>
      </c>
      <c r="E684" s="76" t="s">
        <v>823</v>
      </c>
      <c r="G684" s="479"/>
      <c r="J684" s="190">
        <v>30</v>
      </c>
      <c r="K684" s="190">
        <v>5830</v>
      </c>
      <c r="L684" s="114">
        <f t="shared" si="93"/>
        <v>174900</v>
      </c>
      <c r="M684" s="129">
        <f t="shared" si="94"/>
        <v>52470</v>
      </c>
      <c r="O684" s="76">
        <f t="shared" si="95"/>
        <v>174900</v>
      </c>
      <c r="P684" s="91"/>
      <c r="Q684" s="91"/>
      <c r="S684" s="76" t="s">
        <v>809</v>
      </c>
      <c r="T684" s="387">
        <v>45950</v>
      </c>
      <c r="U684" s="387">
        <f t="shared" si="96"/>
        <v>46010</v>
      </c>
      <c r="V684" s="387">
        <v>46000</v>
      </c>
      <c r="X684" s="133"/>
      <c r="Y684" s="76">
        <v>30</v>
      </c>
      <c r="Z684" s="114">
        <v>5330</v>
      </c>
      <c r="AA684" s="114">
        <f t="shared" si="97"/>
        <v>159900</v>
      </c>
      <c r="AB684" s="114"/>
      <c r="AC684" s="114"/>
      <c r="AD684" s="140"/>
      <c r="AE684" s="114"/>
      <c r="AF684" s="114"/>
      <c r="AG684" s="114"/>
      <c r="AH684" s="114"/>
      <c r="AM684" s="114"/>
      <c r="AN684" s="114"/>
      <c r="AQ684" s="387"/>
      <c r="AR684" s="387"/>
      <c r="AS684" s="387"/>
      <c r="AT684" s="387"/>
      <c r="AW684" s="387"/>
      <c r="AX684" s="129"/>
      <c r="AY684" s="114"/>
      <c r="AZ684" s="127"/>
      <c r="BA684" s="127"/>
      <c r="BB684" s="127"/>
      <c r="BC684" s="127"/>
      <c r="BI684" s="75"/>
      <c r="BJ684" s="91"/>
      <c r="BL684" s="76" t="str">
        <f t="shared" si="98"/>
        <v>NBE-10-3</v>
      </c>
      <c r="BM684" s="76" t="str">
        <f t="shared" si="99"/>
        <v>ICE</v>
      </c>
      <c r="BN684" s="76">
        <f t="shared" si="100"/>
        <v>0</v>
      </c>
      <c r="BO684" s="76" t="str">
        <f t="shared" si="101"/>
        <v>0,21x765x1040 2.0/2.0 T3</v>
      </c>
      <c r="BP684" s="129">
        <f t="shared" si="102"/>
        <v>30</v>
      </c>
      <c r="BQ684" s="387">
        <f t="shared" si="103"/>
        <v>46010</v>
      </c>
    </row>
    <row r="685" s="76" customFormat="1" customHeight="1" spans="1:69">
      <c r="A685" s="76" t="s">
        <v>414</v>
      </c>
      <c r="C685" s="387"/>
      <c r="D685" s="190" t="s">
        <v>817</v>
      </c>
      <c r="E685" s="76" t="s">
        <v>824</v>
      </c>
      <c r="G685" s="479"/>
      <c r="J685" s="190">
        <v>20</v>
      </c>
      <c r="K685" s="190">
        <v>6660</v>
      </c>
      <c r="L685" s="114">
        <f t="shared" si="93"/>
        <v>133200</v>
      </c>
      <c r="M685" s="129">
        <f t="shared" si="94"/>
        <v>39960</v>
      </c>
      <c r="O685" s="76">
        <f t="shared" si="95"/>
        <v>133200</v>
      </c>
      <c r="P685" s="91"/>
      <c r="Q685" s="91"/>
      <c r="S685" s="76" t="s">
        <v>809</v>
      </c>
      <c r="T685" s="387">
        <v>45950</v>
      </c>
      <c r="U685" s="387">
        <f t="shared" si="96"/>
        <v>46010</v>
      </c>
      <c r="V685" s="387">
        <v>46000</v>
      </c>
      <c r="X685" s="133"/>
      <c r="Y685" s="76">
        <v>20</v>
      </c>
      <c r="Z685" s="114">
        <v>5270</v>
      </c>
      <c r="AA685" s="114">
        <f t="shared" si="97"/>
        <v>105400</v>
      </c>
      <c r="AB685" s="114"/>
      <c r="AC685" s="114"/>
      <c r="AD685" s="140"/>
      <c r="AE685" s="114"/>
      <c r="AF685" s="114"/>
      <c r="AG685" s="114"/>
      <c r="AH685" s="114"/>
      <c r="AM685" s="114"/>
      <c r="AN685" s="114"/>
      <c r="AQ685" s="387"/>
      <c r="AR685" s="387"/>
      <c r="AS685" s="387"/>
      <c r="AT685" s="387"/>
      <c r="AW685" s="387"/>
      <c r="AX685" s="129"/>
      <c r="AY685" s="114"/>
      <c r="AZ685" s="127"/>
      <c r="BA685" s="127"/>
      <c r="BB685" s="127"/>
      <c r="BC685" s="127"/>
      <c r="BI685" s="75"/>
      <c r="BJ685" s="91"/>
      <c r="BL685" s="76" t="str">
        <f t="shared" si="98"/>
        <v>NBE-10-3</v>
      </c>
      <c r="BM685" s="76" t="str">
        <f t="shared" si="99"/>
        <v>ICE</v>
      </c>
      <c r="BN685" s="76">
        <f t="shared" si="100"/>
        <v>0</v>
      </c>
      <c r="BO685" s="76" t="str">
        <f t="shared" si="101"/>
        <v>0,23x905x720 2.0/2.0 T3</v>
      </c>
      <c r="BP685" s="129">
        <f t="shared" si="102"/>
        <v>20</v>
      </c>
      <c r="BQ685" s="387">
        <f t="shared" si="103"/>
        <v>46010</v>
      </c>
    </row>
    <row r="686" s="76" customFormat="1" customHeight="1" spans="1:69">
      <c r="A686" s="76" t="s">
        <v>414</v>
      </c>
      <c r="C686" s="387"/>
      <c r="D686" s="190" t="s">
        <v>817</v>
      </c>
      <c r="E686" s="76" t="s">
        <v>825</v>
      </c>
      <c r="G686" s="479"/>
      <c r="J686" s="190">
        <v>40</v>
      </c>
      <c r="K686" s="190">
        <v>5770</v>
      </c>
      <c r="L686" s="114">
        <f t="shared" si="93"/>
        <v>230800</v>
      </c>
      <c r="M686" s="129">
        <f t="shared" si="94"/>
        <v>69240</v>
      </c>
      <c r="O686" s="76">
        <f t="shared" si="95"/>
        <v>230800</v>
      </c>
      <c r="P686" s="91"/>
      <c r="Q686" s="91"/>
      <c r="S686" s="76" t="s">
        <v>809</v>
      </c>
      <c r="T686" s="387">
        <v>45950</v>
      </c>
      <c r="U686" s="387">
        <f t="shared" si="96"/>
        <v>46010</v>
      </c>
      <c r="V686" s="387">
        <v>46000</v>
      </c>
      <c r="X686" s="133"/>
      <c r="Y686" s="76">
        <v>40</v>
      </c>
      <c r="Z686" s="114">
        <v>5270</v>
      </c>
      <c r="AA686" s="114">
        <f t="shared" si="97"/>
        <v>210800</v>
      </c>
      <c r="AB686" s="114"/>
      <c r="AC686" s="114"/>
      <c r="AD686" s="140"/>
      <c r="AE686" s="114"/>
      <c r="AF686" s="114"/>
      <c r="AG686" s="114"/>
      <c r="AH686" s="114"/>
      <c r="AM686" s="114"/>
      <c r="AN686" s="114"/>
      <c r="AQ686" s="387"/>
      <c r="AR686" s="387"/>
      <c r="AS686" s="387"/>
      <c r="AT686" s="387"/>
      <c r="AW686" s="387"/>
      <c r="AX686" s="129"/>
      <c r="AY686" s="114"/>
      <c r="AZ686" s="127"/>
      <c r="BA686" s="127"/>
      <c r="BB686" s="127"/>
      <c r="BC686" s="127"/>
      <c r="BI686" s="75"/>
      <c r="BJ686" s="91"/>
      <c r="BL686" s="76" t="str">
        <f t="shared" si="98"/>
        <v>NBE-10-3</v>
      </c>
      <c r="BM686" s="76" t="str">
        <f t="shared" si="99"/>
        <v>ICE</v>
      </c>
      <c r="BN686" s="76">
        <f t="shared" si="100"/>
        <v>0</v>
      </c>
      <c r="BO686" s="76" t="str">
        <f t="shared" si="101"/>
        <v>0,23x1040x850 2.0/2.0 T3</v>
      </c>
      <c r="BP686" s="129">
        <f t="shared" si="102"/>
        <v>40</v>
      </c>
      <c r="BQ686" s="387">
        <f t="shared" si="103"/>
        <v>46010</v>
      </c>
    </row>
    <row r="687" s="76" customFormat="1" customHeight="1" spans="1:69">
      <c r="A687" s="76" t="s">
        <v>414</v>
      </c>
      <c r="C687" s="387"/>
      <c r="D687" s="190" t="s">
        <v>817</v>
      </c>
      <c r="E687" s="76" t="s">
        <v>826</v>
      </c>
      <c r="G687" s="479"/>
      <c r="J687" s="190">
        <v>30</v>
      </c>
      <c r="K687" s="190">
        <v>5720</v>
      </c>
      <c r="L687" s="114">
        <f t="shared" si="93"/>
        <v>171600</v>
      </c>
      <c r="M687" s="129">
        <f t="shared" si="94"/>
        <v>51480</v>
      </c>
      <c r="O687" s="76">
        <f t="shared" si="95"/>
        <v>171600</v>
      </c>
      <c r="P687" s="91"/>
      <c r="Q687" s="91"/>
      <c r="S687" s="76" t="s">
        <v>809</v>
      </c>
      <c r="T687" s="387">
        <v>45950</v>
      </c>
      <c r="U687" s="387">
        <f t="shared" si="96"/>
        <v>46010</v>
      </c>
      <c r="V687" s="387">
        <v>46000</v>
      </c>
      <c r="X687" s="133"/>
      <c r="Y687" s="76">
        <v>30</v>
      </c>
      <c r="Z687" s="114">
        <v>5220</v>
      </c>
      <c r="AA687" s="114">
        <f t="shared" si="97"/>
        <v>156600</v>
      </c>
      <c r="AB687" s="114"/>
      <c r="AC687" s="114"/>
      <c r="AD687" s="140"/>
      <c r="AE687" s="114"/>
      <c r="AF687" s="114"/>
      <c r="AG687" s="114"/>
      <c r="AH687" s="114"/>
      <c r="AM687" s="114"/>
      <c r="AN687" s="114"/>
      <c r="AQ687" s="387"/>
      <c r="AR687" s="387"/>
      <c r="AS687" s="387"/>
      <c r="AT687" s="387"/>
      <c r="AW687" s="387"/>
      <c r="AX687" s="129"/>
      <c r="AY687" s="114"/>
      <c r="AZ687" s="127"/>
      <c r="BA687" s="127"/>
      <c r="BB687" s="127"/>
      <c r="BC687" s="127"/>
      <c r="BI687" s="75"/>
      <c r="BJ687" s="91"/>
      <c r="BL687" s="76" t="str">
        <f t="shared" si="98"/>
        <v>NBE-10-3</v>
      </c>
      <c r="BM687" s="76" t="str">
        <f t="shared" si="99"/>
        <v>ICE</v>
      </c>
      <c r="BN687" s="76">
        <f t="shared" si="100"/>
        <v>0</v>
      </c>
      <c r="BO687" s="76" t="str">
        <f t="shared" si="101"/>
        <v>0,24x914x758 2.0/2.0 T2.5</v>
      </c>
      <c r="BP687" s="129">
        <f t="shared" si="102"/>
        <v>30</v>
      </c>
      <c r="BQ687" s="387">
        <f t="shared" si="103"/>
        <v>46010</v>
      </c>
    </row>
    <row r="688" s="76" customFormat="1" customHeight="1" spans="1:69">
      <c r="A688" s="76" t="s">
        <v>414</v>
      </c>
      <c r="C688" s="387"/>
      <c r="D688" s="190" t="s">
        <v>817</v>
      </c>
      <c r="E688" s="76" t="s">
        <v>827</v>
      </c>
      <c r="G688" s="479"/>
      <c r="J688" s="190">
        <v>10</v>
      </c>
      <c r="K688" s="190">
        <v>5720</v>
      </c>
      <c r="L688" s="114">
        <f t="shared" si="93"/>
        <v>57200</v>
      </c>
      <c r="M688" s="129">
        <f t="shared" si="94"/>
        <v>17160</v>
      </c>
      <c r="O688" s="76">
        <f t="shared" si="95"/>
        <v>57200</v>
      </c>
      <c r="P688" s="91"/>
      <c r="Q688" s="91"/>
      <c r="S688" s="76" t="s">
        <v>809</v>
      </c>
      <c r="T688" s="387">
        <v>45950</v>
      </c>
      <c r="U688" s="387">
        <f t="shared" si="96"/>
        <v>46010</v>
      </c>
      <c r="V688" s="387">
        <v>46000</v>
      </c>
      <c r="X688" s="133"/>
      <c r="Y688" s="76">
        <v>10</v>
      </c>
      <c r="Z688" s="114">
        <v>5220</v>
      </c>
      <c r="AA688" s="114">
        <f t="shared" si="97"/>
        <v>52200</v>
      </c>
      <c r="AB688" s="114"/>
      <c r="AC688" s="114"/>
      <c r="AD688" s="140"/>
      <c r="AE688" s="114"/>
      <c r="AF688" s="114"/>
      <c r="AG688" s="114"/>
      <c r="AH688" s="114"/>
      <c r="AM688" s="114"/>
      <c r="AN688" s="114"/>
      <c r="AQ688" s="387"/>
      <c r="AR688" s="387"/>
      <c r="AS688" s="387"/>
      <c r="AT688" s="387"/>
      <c r="AW688" s="387"/>
      <c r="AX688" s="129"/>
      <c r="AY688" s="114"/>
      <c r="AZ688" s="127"/>
      <c r="BA688" s="127"/>
      <c r="BB688" s="127"/>
      <c r="BC688" s="127"/>
      <c r="BI688" s="75"/>
      <c r="BJ688" s="91"/>
      <c r="BL688" s="76" t="str">
        <f t="shared" si="98"/>
        <v>NBE-10-3</v>
      </c>
      <c r="BM688" s="76" t="str">
        <f t="shared" si="99"/>
        <v>ICE</v>
      </c>
      <c r="BN688" s="76">
        <f t="shared" si="100"/>
        <v>0</v>
      </c>
      <c r="BO688" s="76" t="str">
        <f t="shared" si="101"/>
        <v>0,24x1040x824 2.0/2.0 T2.5</v>
      </c>
      <c r="BP688" s="129">
        <f t="shared" si="102"/>
        <v>10</v>
      </c>
      <c r="BQ688" s="387">
        <f t="shared" si="103"/>
        <v>46010</v>
      </c>
    </row>
    <row r="689" s="76" customFormat="1" customHeight="1" spans="1:69">
      <c r="A689" s="76" t="s">
        <v>414</v>
      </c>
      <c r="C689" s="387"/>
      <c r="D689" s="190" t="s">
        <v>828</v>
      </c>
      <c r="E689" s="76" t="s">
        <v>829</v>
      </c>
      <c r="G689" s="479"/>
      <c r="J689" s="190">
        <v>20</v>
      </c>
      <c r="K689" s="190">
        <v>5570</v>
      </c>
      <c r="L689" s="114">
        <f t="shared" si="93"/>
        <v>111400</v>
      </c>
      <c r="M689" s="129">
        <f t="shared" si="94"/>
        <v>33420</v>
      </c>
      <c r="N689" s="76">
        <v>33420</v>
      </c>
      <c r="O689" s="76">
        <f t="shared" si="95"/>
        <v>77980</v>
      </c>
      <c r="P689" s="91"/>
      <c r="Q689" s="91"/>
      <c r="S689" s="76" t="s">
        <v>809</v>
      </c>
      <c r="T689" s="387">
        <v>45950</v>
      </c>
      <c r="U689" s="387">
        <f t="shared" si="96"/>
        <v>46010</v>
      </c>
      <c r="V689" s="387">
        <v>46000</v>
      </c>
      <c r="X689" s="133"/>
      <c r="Y689" s="76">
        <v>20</v>
      </c>
      <c r="Z689" s="114">
        <v>5070</v>
      </c>
      <c r="AA689" s="114">
        <f t="shared" si="97"/>
        <v>101400</v>
      </c>
      <c r="AB689" s="114"/>
      <c r="AC689" s="114"/>
      <c r="AD689" s="140"/>
      <c r="AE689" s="114"/>
      <c r="AF689" s="114"/>
      <c r="AG689" s="114"/>
      <c r="AH689" s="114"/>
      <c r="AM689" s="114"/>
      <c r="AN689" s="76">
        <v>33420</v>
      </c>
      <c r="AQ689" s="387"/>
      <c r="AR689" s="387"/>
      <c r="AS689" s="387"/>
      <c r="AT689" s="387"/>
      <c r="AW689" s="387"/>
      <c r="AX689" s="129"/>
      <c r="AY689" s="114"/>
      <c r="AZ689" s="127"/>
      <c r="BA689" s="127"/>
      <c r="BB689" s="127"/>
      <c r="BC689" s="127"/>
      <c r="BI689" s="75"/>
      <c r="BJ689" s="91"/>
      <c r="BL689" s="76" t="str">
        <f t="shared" si="98"/>
        <v>NBE-10-4</v>
      </c>
      <c r="BM689" s="76" t="str">
        <f t="shared" si="99"/>
        <v>ICE</v>
      </c>
      <c r="BN689" s="76">
        <f t="shared" si="100"/>
        <v>0</v>
      </c>
      <c r="BO689" s="76" t="str">
        <f t="shared" si="101"/>
        <v>0,30x850x735 2.0/2.0 T2.5</v>
      </c>
      <c r="BP689" s="129">
        <f t="shared" si="102"/>
        <v>20</v>
      </c>
      <c r="BQ689" s="387">
        <f t="shared" si="103"/>
        <v>46010</v>
      </c>
    </row>
    <row r="690" s="76" customFormat="1" customHeight="1" spans="1:69">
      <c r="A690" s="76" t="s">
        <v>414</v>
      </c>
      <c r="C690" s="387"/>
      <c r="D690" s="190" t="s">
        <v>828</v>
      </c>
      <c r="E690" s="76" t="s">
        <v>830</v>
      </c>
      <c r="G690" s="479"/>
      <c r="J690" s="190">
        <v>20</v>
      </c>
      <c r="K690" s="190">
        <v>5570</v>
      </c>
      <c r="L690" s="114">
        <f t="shared" si="93"/>
        <v>111400</v>
      </c>
      <c r="M690" s="129">
        <f t="shared" si="94"/>
        <v>33420</v>
      </c>
      <c r="N690" s="76">
        <v>33420</v>
      </c>
      <c r="O690" s="76">
        <f t="shared" si="95"/>
        <v>77980</v>
      </c>
      <c r="P690" s="91"/>
      <c r="Q690" s="91"/>
      <c r="S690" s="76" t="s">
        <v>809</v>
      </c>
      <c r="T690" s="387">
        <v>45950</v>
      </c>
      <c r="U690" s="387">
        <f t="shared" si="96"/>
        <v>46010</v>
      </c>
      <c r="V690" s="387">
        <v>46000</v>
      </c>
      <c r="X690" s="133"/>
      <c r="Y690" s="76">
        <v>20</v>
      </c>
      <c r="Z690" s="114">
        <v>5070</v>
      </c>
      <c r="AA690" s="114">
        <f t="shared" si="97"/>
        <v>101400</v>
      </c>
      <c r="AB690" s="114"/>
      <c r="AC690" s="114"/>
      <c r="AD690" s="140"/>
      <c r="AE690" s="114"/>
      <c r="AF690" s="114"/>
      <c r="AG690" s="114"/>
      <c r="AH690" s="114"/>
      <c r="AM690" s="114"/>
      <c r="AN690" s="76">
        <v>33420</v>
      </c>
      <c r="AQ690" s="387"/>
      <c r="AR690" s="387"/>
      <c r="AS690" s="387"/>
      <c r="AT690" s="387"/>
      <c r="AW690" s="387"/>
      <c r="AX690" s="129"/>
      <c r="AY690" s="114"/>
      <c r="AZ690" s="127"/>
      <c r="BA690" s="127"/>
      <c r="BB690" s="127"/>
      <c r="BC690" s="127"/>
      <c r="BI690" s="75"/>
      <c r="BJ690" s="91"/>
      <c r="BL690" s="76" t="str">
        <f t="shared" si="98"/>
        <v>NBE-10-4</v>
      </c>
      <c r="BM690" s="76" t="str">
        <f t="shared" si="99"/>
        <v>ICE</v>
      </c>
      <c r="BN690" s="76">
        <f t="shared" si="100"/>
        <v>0</v>
      </c>
      <c r="BO690" s="76" t="str">
        <f t="shared" si="101"/>
        <v>0,31x712x705 2.0/2.0 T2.5</v>
      </c>
      <c r="BP690" s="129">
        <f t="shared" si="102"/>
        <v>20</v>
      </c>
      <c r="BQ690" s="387">
        <f t="shared" si="103"/>
        <v>46010</v>
      </c>
    </row>
    <row r="691" s="76" customFormat="1" customHeight="1" spans="1:69">
      <c r="A691" s="76" t="s">
        <v>414</v>
      </c>
      <c r="C691" s="387"/>
      <c r="D691" s="190" t="s">
        <v>828</v>
      </c>
      <c r="E691" s="76" t="s">
        <v>831</v>
      </c>
      <c r="G691" s="479"/>
      <c r="J691" s="190">
        <v>20</v>
      </c>
      <c r="K691" s="190">
        <v>5570</v>
      </c>
      <c r="L691" s="114">
        <f t="shared" si="93"/>
        <v>111400</v>
      </c>
      <c r="M691" s="129">
        <f t="shared" si="94"/>
        <v>33420</v>
      </c>
      <c r="N691" s="76">
        <v>33420</v>
      </c>
      <c r="O691" s="76">
        <f t="shared" si="95"/>
        <v>77980</v>
      </c>
      <c r="P691" s="91"/>
      <c r="Q691" s="91"/>
      <c r="S691" s="76" t="s">
        <v>809</v>
      </c>
      <c r="T691" s="387">
        <v>45950</v>
      </c>
      <c r="U691" s="387">
        <f t="shared" si="96"/>
        <v>46010</v>
      </c>
      <c r="V691" s="387">
        <v>46000</v>
      </c>
      <c r="X691" s="133"/>
      <c r="Y691" s="76">
        <v>20</v>
      </c>
      <c r="Z691" s="114">
        <v>5070</v>
      </c>
      <c r="AA691" s="114">
        <f t="shared" si="97"/>
        <v>101400</v>
      </c>
      <c r="AB691" s="114"/>
      <c r="AC691" s="114"/>
      <c r="AD691" s="140"/>
      <c r="AE691" s="114"/>
      <c r="AF691" s="114"/>
      <c r="AG691" s="114"/>
      <c r="AH691" s="114"/>
      <c r="AM691" s="114"/>
      <c r="AN691" s="76">
        <v>33420</v>
      </c>
      <c r="AQ691" s="387"/>
      <c r="AR691" s="387"/>
      <c r="AS691" s="387"/>
      <c r="AT691" s="387"/>
      <c r="AW691" s="387"/>
      <c r="AX691" s="129"/>
      <c r="AY691" s="114"/>
      <c r="AZ691" s="127"/>
      <c r="BA691" s="127"/>
      <c r="BB691" s="127"/>
      <c r="BC691" s="127"/>
      <c r="BI691" s="75"/>
      <c r="BJ691" s="91"/>
      <c r="BL691" s="76" t="str">
        <f t="shared" si="98"/>
        <v>NBE-10-4</v>
      </c>
      <c r="BM691" s="76" t="str">
        <f t="shared" si="99"/>
        <v>ICE</v>
      </c>
      <c r="BN691" s="76">
        <f t="shared" si="100"/>
        <v>0</v>
      </c>
      <c r="BO691" s="76" t="str">
        <f t="shared" si="101"/>
        <v>0,30x900x882 2.0/2.0 T2.5</v>
      </c>
      <c r="BP691" s="129">
        <f t="shared" si="102"/>
        <v>20</v>
      </c>
      <c r="BQ691" s="387">
        <f t="shared" si="103"/>
        <v>46010</v>
      </c>
    </row>
    <row r="692" s="76" customFormat="1" customHeight="1" spans="1:69">
      <c r="A692" s="76" t="s">
        <v>414</v>
      </c>
      <c r="C692" s="387"/>
      <c r="D692" s="190" t="s">
        <v>828</v>
      </c>
      <c r="E692" s="76" t="s">
        <v>832</v>
      </c>
      <c r="G692" s="479"/>
      <c r="J692" s="190">
        <v>15</v>
      </c>
      <c r="K692" s="190">
        <v>5570</v>
      </c>
      <c r="L692" s="114">
        <f t="shared" si="93"/>
        <v>83550</v>
      </c>
      <c r="M692" s="129">
        <f t="shared" si="94"/>
        <v>25065</v>
      </c>
      <c r="N692" s="76">
        <v>25065</v>
      </c>
      <c r="O692" s="76">
        <f t="shared" si="95"/>
        <v>58485</v>
      </c>
      <c r="P692" s="91"/>
      <c r="Q692" s="91"/>
      <c r="S692" s="76" t="s">
        <v>809</v>
      </c>
      <c r="T692" s="387">
        <v>45950</v>
      </c>
      <c r="U692" s="387">
        <f t="shared" si="96"/>
        <v>46010</v>
      </c>
      <c r="V692" s="387">
        <v>46000</v>
      </c>
      <c r="X692" s="133"/>
      <c r="Y692" s="76">
        <v>15</v>
      </c>
      <c r="Z692" s="114">
        <v>5070</v>
      </c>
      <c r="AA692" s="114">
        <f t="shared" si="97"/>
        <v>76050</v>
      </c>
      <c r="AB692" s="114"/>
      <c r="AC692" s="114"/>
      <c r="AD692" s="140"/>
      <c r="AE692" s="114"/>
      <c r="AF692" s="114"/>
      <c r="AG692" s="114"/>
      <c r="AH692" s="114"/>
      <c r="AM692" s="114"/>
      <c r="AN692" s="76">
        <v>25065</v>
      </c>
      <c r="AQ692" s="387"/>
      <c r="AR692" s="387"/>
      <c r="AS692" s="387"/>
      <c r="AT692" s="387"/>
      <c r="AW692" s="387"/>
      <c r="AX692" s="129"/>
      <c r="AY692" s="114"/>
      <c r="AZ692" s="127"/>
      <c r="BA692" s="127"/>
      <c r="BB692" s="127"/>
      <c r="BC692" s="127"/>
      <c r="BI692" s="75"/>
      <c r="BJ692" s="91"/>
      <c r="BL692" s="76" t="str">
        <f t="shared" si="98"/>
        <v>NBE-10-4</v>
      </c>
      <c r="BM692" s="76" t="str">
        <f t="shared" si="99"/>
        <v>ICE</v>
      </c>
      <c r="BN692" s="76">
        <f t="shared" si="100"/>
        <v>0</v>
      </c>
      <c r="BO692" s="76" t="str">
        <f t="shared" si="101"/>
        <v>0,31x712х960 2.0/2.0 T2.5</v>
      </c>
      <c r="BP692" s="129">
        <f t="shared" si="102"/>
        <v>15</v>
      </c>
      <c r="BQ692" s="387">
        <f t="shared" si="103"/>
        <v>46010</v>
      </c>
    </row>
    <row r="693" s="76" customFormat="1" customHeight="1" spans="1:69">
      <c r="A693" s="76" t="s">
        <v>414</v>
      </c>
      <c r="C693" s="387"/>
      <c r="D693" s="190" t="s">
        <v>828</v>
      </c>
      <c r="E693" s="76" t="s">
        <v>833</v>
      </c>
      <c r="G693" s="479"/>
      <c r="J693" s="190">
        <v>10</v>
      </c>
      <c r="K693" s="190">
        <v>5520</v>
      </c>
      <c r="L693" s="114">
        <f t="shared" si="93"/>
        <v>55200</v>
      </c>
      <c r="M693" s="129">
        <f t="shared" si="94"/>
        <v>16560</v>
      </c>
      <c r="N693" s="76">
        <v>16560</v>
      </c>
      <c r="O693" s="76">
        <f t="shared" si="95"/>
        <v>38640</v>
      </c>
      <c r="P693" s="91"/>
      <c r="Q693" s="91"/>
      <c r="S693" s="76" t="s">
        <v>809</v>
      </c>
      <c r="T693" s="387">
        <v>45950</v>
      </c>
      <c r="U693" s="387">
        <f t="shared" si="96"/>
        <v>46010</v>
      </c>
      <c r="V693" s="387">
        <v>46000</v>
      </c>
      <c r="X693" s="133"/>
      <c r="Y693" s="76">
        <v>10</v>
      </c>
      <c r="Z693" s="114">
        <v>5020</v>
      </c>
      <c r="AA693" s="114">
        <f t="shared" si="97"/>
        <v>50200</v>
      </c>
      <c r="AB693" s="114"/>
      <c r="AC693" s="114"/>
      <c r="AD693" s="140"/>
      <c r="AE693" s="114"/>
      <c r="AF693" s="114"/>
      <c r="AG693" s="114"/>
      <c r="AH693" s="114"/>
      <c r="AM693" s="114"/>
      <c r="AN693" s="76">
        <v>16560</v>
      </c>
      <c r="AQ693" s="387"/>
      <c r="AR693" s="387"/>
      <c r="AS693" s="387"/>
      <c r="AT693" s="387"/>
      <c r="AW693" s="387"/>
      <c r="AX693" s="129"/>
      <c r="AY693" s="114"/>
      <c r="AZ693" s="127"/>
      <c r="BA693" s="127"/>
      <c r="BB693" s="127"/>
      <c r="BC693" s="127"/>
      <c r="BI693" s="75"/>
      <c r="BJ693" s="91"/>
      <c r="BL693" s="76" t="str">
        <f t="shared" si="98"/>
        <v>NBE-10-4</v>
      </c>
      <c r="BM693" s="76" t="str">
        <f t="shared" si="99"/>
        <v>ICE</v>
      </c>
      <c r="BN693" s="76">
        <f t="shared" si="100"/>
        <v>0</v>
      </c>
      <c r="BO693" s="76" t="str">
        <f t="shared" si="101"/>
        <v>0,35x712х670 2.0/2.0 T2.5</v>
      </c>
      <c r="BP693" s="129">
        <f t="shared" si="102"/>
        <v>10</v>
      </c>
      <c r="BQ693" s="387">
        <f t="shared" si="103"/>
        <v>46010</v>
      </c>
    </row>
    <row r="694" s="76" customFormat="1" customHeight="1" spans="1:69">
      <c r="A694" s="76" t="s">
        <v>414</v>
      </c>
      <c r="C694" s="387"/>
      <c r="D694" s="190" t="s">
        <v>828</v>
      </c>
      <c r="E694" s="76" t="s">
        <v>834</v>
      </c>
      <c r="G694" s="479"/>
      <c r="J694" s="190">
        <v>10</v>
      </c>
      <c r="K694" s="190">
        <v>5520</v>
      </c>
      <c r="L694" s="114">
        <f t="shared" si="93"/>
        <v>55200</v>
      </c>
      <c r="M694" s="129">
        <f t="shared" si="94"/>
        <v>16560</v>
      </c>
      <c r="N694" s="76">
        <v>16560</v>
      </c>
      <c r="O694" s="76">
        <f t="shared" si="95"/>
        <v>38640</v>
      </c>
      <c r="P694" s="91"/>
      <c r="Q694" s="91"/>
      <c r="S694" s="76" t="s">
        <v>809</v>
      </c>
      <c r="T694" s="387">
        <v>45950</v>
      </c>
      <c r="U694" s="387">
        <f t="shared" si="96"/>
        <v>46010</v>
      </c>
      <c r="V694" s="387">
        <v>46000</v>
      </c>
      <c r="X694" s="133"/>
      <c r="Y694" s="76">
        <v>10</v>
      </c>
      <c r="Z694" s="114">
        <v>5020</v>
      </c>
      <c r="AA694" s="114">
        <f t="shared" si="97"/>
        <v>50200</v>
      </c>
      <c r="AB694" s="114"/>
      <c r="AC694" s="114"/>
      <c r="AD694" s="140"/>
      <c r="AE694" s="114"/>
      <c r="AF694" s="114"/>
      <c r="AG694" s="114"/>
      <c r="AH694" s="114"/>
      <c r="AM694" s="114"/>
      <c r="AN694" s="76">
        <v>16560</v>
      </c>
      <c r="AQ694" s="387"/>
      <c r="AR694" s="387"/>
      <c r="AS694" s="387"/>
      <c r="AT694" s="387"/>
      <c r="AW694" s="387"/>
      <c r="AX694" s="129"/>
      <c r="AY694" s="114"/>
      <c r="AZ694" s="127"/>
      <c r="BA694" s="127"/>
      <c r="BB694" s="127"/>
      <c r="BC694" s="127"/>
      <c r="BI694" s="75"/>
      <c r="BJ694" s="91"/>
      <c r="BL694" s="76" t="str">
        <f t="shared" si="98"/>
        <v>NBE-10-4</v>
      </c>
      <c r="BM694" s="76" t="str">
        <f t="shared" si="99"/>
        <v>ICE</v>
      </c>
      <c r="BN694" s="76">
        <f t="shared" si="100"/>
        <v>0</v>
      </c>
      <c r="BO694" s="76" t="str">
        <f t="shared" si="101"/>
        <v>0,35x712х860 2.0/2.0 T2.5</v>
      </c>
      <c r="BP694" s="129">
        <f t="shared" si="102"/>
        <v>10</v>
      </c>
      <c r="BQ694" s="387">
        <f t="shared" si="103"/>
        <v>46010</v>
      </c>
    </row>
    <row r="695" s="77" customFormat="1" customHeight="1" spans="1:69">
      <c r="A695" s="76" t="s">
        <v>414</v>
      </c>
      <c r="C695" s="569"/>
      <c r="D695" s="190" t="s">
        <v>835</v>
      </c>
      <c r="E695" s="190" t="s">
        <v>824</v>
      </c>
      <c r="G695" s="570"/>
      <c r="J695" s="269">
        <v>20</v>
      </c>
      <c r="K695" s="269">
        <v>5770</v>
      </c>
      <c r="L695" s="114">
        <f t="shared" si="93"/>
        <v>115400</v>
      </c>
      <c r="M695" s="129">
        <f t="shared" si="94"/>
        <v>34620</v>
      </c>
      <c r="N695" s="77">
        <f>34620+85638.34</f>
        <v>120258.34</v>
      </c>
      <c r="O695" s="76">
        <f t="shared" si="95"/>
        <v>-4858.34</v>
      </c>
      <c r="P695" s="160"/>
      <c r="Q695" s="160"/>
      <c r="S695" s="76" t="s">
        <v>836</v>
      </c>
      <c r="T695" s="387">
        <v>45996</v>
      </c>
      <c r="U695" s="569"/>
      <c r="V695" s="569"/>
      <c r="X695" s="161"/>
      <c r="Y695" s="77">
        <v>20</v>
      </c>
      <c r="Z695" s="155">
        <v>5270</v>
      </c>
      <c r="AA695" s="114">
        <f t="shared" si="97"/>
        <v>105400</v>
      </c>
      <c r="AB695" s="155"/>
      <c r="AC695" s="155"/>
      <c r="AD695" s="163"/>
      <c r="AE695" s="155"/>
      <c r="AF695" s="155"/>
      <c r="AG695" s="155"/>
      <c r="AH695" s="155"/>
      <c r="AM695" s="155"/>
      <c r="AN695" s="77">
        <f>34620+85638.34</f>
        <v>120258.34</v>
      </c>
      <c r="AQ695" s="387"/>
      <c r="AR695" s="569"/>
      <c r="AS695" s="569"/>
      <c r="AT695" s="569"/>
      <c r="AW695" s="569"/>
      <c r="AX695" s="157"/>
      <c r="AY695" s="155"/>
      <c r="AZ695" s="168"/>
      <c r="BA695" s="168"/>
      <c r="BB695" s="168"/>
      <c r="BC695" s="168"/>
      <c r="BI695" s="169"/>
      <c r="BJ695" s="160"/>
      <c r="BL695" s="76" t="str">
        <f t="shared" si="98"/>
        <v>NBE-10-5</v>
      </c>
      <c r="BM695" s="76" t="str">
        <f t="shared" si="99"/>
        <v>ICE</v>
      </c>
      <c r="BN695" s="76">
        <f t="shared" si="100"/>
        <v>0</v>
      </c>
      <c r="BO695" s="76" t="str">
        <f t="shared" si="101"/>
        <v>0,23x905x720 2.0/2.0 T3</v>
      </c>
      <c r="BP695" s="129">
        <f t="shared" si="102"/>
        <v>20</v>
      </c>
      <c r="BQ695" s="387">
        <f t="shared" si="103"/>
        <v>0</v>
      </c>
    </row>
    <row r="696" s="422" customFormat="1" ht="14.4" spans="1:69">
      <c r="A696" s="422" t="s">
        <v>414</v>
      </c>
      <c r="C696" s="619"/>
      <c r="D696" s="422" t="s">
        <v>837</v>
      </c>
      <c r="G696" s="686"/>
      <c r="H696" s="422" t="s">
        <v>75</v>
      </c>
      <c r="J696" s="687">
        <f>SUM(J672:J694)</f>
        <v>485</v>
      </c>
      <c r="K696" s="687"/>
      <c r="L696" s="687">
        <f>SUM(L672:L695)</f>
        <v>3099250</v>
      </c>
      <c r="M696" s="687">
        <f>SUM(M672:M695)</f>
        <v>929775</v>
      </c>
      <c r="N696" s="687">
        <f>SUM(N672:N695)</f>
        <v>1379880.064</v>
      </c>
      <c r="O696" s="687">
        <f>SUM(O672:O694)</f>
        <v>1724228.276</v>
      </c>
      <c r="R696" s="422" t="s">
        <v>88</v>
      </c>
      <c r="S696" s="422" t="s">
        <v>809</v>
      </c>
      <c r="T696" s="688">
        <v>45950</v>
      </c>
      <c r="U696" s="688"/>
      <c r="V696" s="688">
        <f>T696+50</f>
        <v>46000</v>
      </c>
      <c r="X696" s="689"/>
      <c r="Y696" s="687">
        <f>SUM(Y672:Y695)</f>
        <v>505</v>
      </c>
      <c r="Z696" s="690"/>
      <c r="AA696" s="687">
        <f>SUM(AA672:AA695)</f>
        <v>2675750</v>
      </c>
      <c r="AB696" s="690"/>
      <c r="AC696" s="690"/>
      <c r="AD696" s="692"/>
      <c r="AE696" s="690"/>
      <c r="AF696" s="690"/>
      <c r="AG696" s="690"/>
      <c r="AH696" s="690"/>
      <c r="AM696" s="690"/>
      <c r="AN696" s="690">
        <f>SUM(AN672:AN695)</f>
        <v>1286765.374</v>
      </c>
      <c r="AQ696" s="463">
        <f>V696</f>
        <v>46000</v>
      </c>
      <c r="AR696" s="619"/>
      <c r="AS696" s="688"/>
      <c r="AT696" s="688"/>
      <c r="AW696" s="688"/>
      <c r="AX696" s="687"/>
      <c r="AY696" s="690"/>
      <c r="AZ696" s="693"/>
      <c r="BA696" s="693"/>
      <c r="BB696" s="693"/>
      <c r="BC696" s="693"/>
      <c r="BI696" s="743"/>
    </row>
    <row r="697" s="76" customFormat="1" customHeight="1" spans="1:69">
      <c r="A697" s="76" t="s">
        <v>706</v>
      </c>
      <c r="B697" s="76" t="s">
        <v>440</v>
      </c>
      <c r="C697" s="387" t="s">
        <v>838</v>
      </c>
      <c r="D697" s="76" t="s">
        <v>839</v>
      </c>
      <c r="E697" s="76" t="s">
        <v>840</v>
      </c>
      <c r="F697" s="386"/>
      <c r="G697" s="479"/>
      <c r="H697" s="76" t="s">
        <v>93</v>
      </c>
      <c r="J697" s="129">
        <v>412.5</v>
      </c>
      <c r="K697" s="129">
        <f>Z697+250</f>
        <v>5600</v>
      </c>
      <c r="L697" s="114">
        <f>J697*K697</f>
        <v>2310000</v>
      </c>
      <c r="M697" s="129"/>
      <c r="N697" s="76">
        <f>1000000+384600</f>
        <v>1384600</v>
      </c>
      <c r="P697" s="91"/>
      <c r="Q697" s="91"/>
      <c r="R697" s="76" t="s">
        <v>88</v>
      </c>
      <c r="S697" s="76" t="s">
        <v>841</v>
      </c>
      <c r="T697" s="387">
        <v>45961</v>
      </c>
      <c r="U697" s="387">
        <f>T697+60</f>
        <v>46021</v>
      </c>
      <c r="V697" s="387">
        <f>T697+50</f>
        <v>46011</v>
      </c>
      <c r="X697" s="133"/>
      <c r="Y697" s="129">
        <v>412</v>
      </c>
      <c r="Z697" s="114">
        <v>5350</v>
      </c>
      <c r="AA697" s="114">
        <f>Y697*Z697</f>
        <v>2204200</v>
      </c>
      <c r="AB697" s="114"/>
      <c r="AC697" s="114"/>
      <c r="AD697" s="140"/>
      <c r="AE697" s="114"/>
      <c r="AF697" s="114"/>
      <c r="AG697" s="114"/>
      <c r="AH697" s="114"/>
      <c r="AM697" s="114"/>
      <c r="AN697" s="114">
        <f>1000000+384600</f>
        <v>1384600</v>
      </c>
      <c r="AQ697" s="387"/>
      <c r="AR697" s="387"/>
      <c r="AS697" s="387"/>
      <c r="AT697" s="387"/>
      <c r="AW697" s="387"/>
      <c r="AX697" s="129"/>
      <c r="AY697" s="114"/>
      <c r="AZ697" s="127"/>
      <c r="BA697" s="127"/>
      <c r="BB697" s="127"/>
      <c r="BC697" s="127"/>
      <c r="BI697" s="75"/>
      <c r="BJ697" s="91"/>
      <c r="BL697" s="76" t="str">
        <f>D697</f>
        <v>TJTW-85/2</v>
      </c>
      <c r="BM697" s="76" t="str">
        <f>A697</f>
        <v>SPC</v>
      </c>
      <c r="BN697" s="76" t="str">
        <f>C697</f>
        <v>TW 2025-08-18 2</v>
      </c>
      <c r="BO697" s="76" t="str">
        <f>E697</f>
        <v>0.22*740*823 Scroll Т3 2.0/2.0</v>
      </c>
      <c r="BP697" s="129">
        <f>J697</f>
        <v>412.5</v>
      </c>
      <c r="BQ697" s="387">
        <f>U697</f>
        <v>46021</v>
      </c>
    </row>
    <row r="698" s="79" customFormat="1" customHeight="1" spans="1:69">
      <c r="A698" s="79" t="s">
        <v>706</v>
      </c>
      <c r="B698" s="79" t="s">
        <v>440</v>
      </c>
      <c r="C698" s="463" t="s">
        <v>838</v>
      </c>
      <c r="D698" s="79" t="s">
        <v>839</v>
      </c>
      <c r="E698" s="79" t="str">
        <f>E697</f>
        <v>0.22*740*823 Scroll Т3 2.0/2.0</v>
      </c>
      <c r="G698" s="486"/>
      <c r="J698" s="79">
        <f>J697</f>
        <v>412.5</v>
      </c>
      <c r="K698" s="194"/>
      <c r="L698" s="79">
        <f>L697</f>
        <v>2310000</v>
      </c>
      <c r="M698" s="194"/>
      <c r="N698" s="79">
        <f>SUM(N697)</f>
        <v>1384600</v>
      </c>
      <c r="R698" s="79" t="str">
        <f>R697</f>
        <v>ZM</v>
      </c>
      <c r="S698" s="79" t="str">
        <f>S697</f>
        <v>ZM20251031-A</v>
      </c>
      <c r="T698" s="463">
        <f>T697</f>
        <v>45961</v>
      </c>
      <c r="U698" s="463"/>
      <c r="V698" s="463">
        <f>T698+50</f>
        <v>46011</v>
      </c>
      <c r="X698" s="193"/>
      <c r="Y698" s="79">
        <f>Y697</f>
        <v>412</v>
      </c>
      <c r="Z698" s="192"/>
      <c r="AA698" s="79">
        <f>AA697</f>
        <v>2204200</v>
      </c>
      <c r="AB698" s="192"/>
      <c r="AC698" s="192"/>
      <c r="AD698" s="196"/>
      <c r="AE698" s="192"/>
      <c r="AF698" s="192"/>
      <c r="AG698" s="192"/>
      <c r="AH698" s="192"/>
      <c r="AM698" s="192"/>
      <c r="AN698" s="192">
        <f>SUM(AN697)</f>
        <v>1384600</v>
      </c>
      <c r="AQ698" s="463">
        <f>V698</f>
        <v>46011</v>
      </c>
      <c r="AR698" s="463"/>
      <c r="AS698" s="463"/>
      <c r="AT698" s="463"/>
      <c r="AW698" s="463"/>
      <c r="AX698" s="194"/>
      <c r="AY698" s="192"/>
      <c r="AZ698" s="150"/>
      <c r="BA698" s="150"/>
      <c r="BB698" s="150"/>
      <c r="BC698" s="150"/>
      <c r="BI698" s="151"/>
    </row>
    <row r="699" s="76" customFormat="1" customHeight="1" spans="1:69">
      <c r="A699" s="76" t="s">
        <v>842</v>
      </c>
      <c r="B699" s="76" t="s">
        <v>456</v>
      </c>
      <c r="C699" s="387"/>
      <c r="D699" s="76" t="s">
        <v>843</v>
      </c>
      <c r="E699" s="76" t="s">
        <v>652</v>
      </c>
      <c r="G699" s="479">
        <f>117800</f>
        <v>117800</v>
      </c>
      <c r="H699" s="76" t="s">
        <v>93</v>
      </c>
      <c r="J699" s="129">
        <v>100</v>
      </c>
      <c r="K699" s="129">
        <f>Z699+340</f>
        <v>5890</v>
      </c>
      <c r="L699" s="129">
        <f>J699*K699</f>
        <v>589000</v>
      </c>
      <c r="M699" s="129"/>
      <c r="N699" s="114">
        <f>58900+477090+32338.03</f>
        <v>568328.03</v>
      </c>
      <c r="P699" s="91"/>
      <c r="Q699" s="91"/>
      <c r="R699" s="76" t="s">
        <v>66</v>
      </c>
      <c r="S699" s="76" t="s">
        <v>844</v>
      </c>
      <c r="T699" s="387">
        <v>45968</v>
      </c>
      <c r="U699" s="387">
        <f>T699+60</f>
        <v>46028</v>
      </c>
      <c r="V699" s="387">
        <f>T699+60</f>
        <v>46028</v>
      </c>
      <c r="X699" s="133" t="s">
        <v>355</v>
      </c>
      <c r="Y699" s="76">
        <v>100</v>
      </c>
      <c r="Z699" s="114">
        <v>5550</v>
      </c>
      <c r="AA699" s="114">
        <f>Y699*Z699</f>
        <v>555000</v>
      </c>
      <c r="AB699" s="114">
        <v>111000</v>
      </c>
      <c r="AC699" s="114">
        <f>AA699-AB699</f>
        <v>444000</v>
      </c>
      <c r="AD699" s="140"/>
      <c r="AE699" s="114"/>
      <c r="AF699" s="114"/>
      <c r="AG699" s="114"/>
      <c r="AH699" s="114"/>
      <c r="AM699" s="114"/>
      <c r="AN699" s="114">
        <f>58900+477090+32338.03</f>
        <v>568328.03</v>
      </c>
      <c r="AQ699" s="387"/>
      <c r="AR699" s="387"/>
      <c r="AS699" s="387"/>
      <c r="AT699" s="387" t="s">
        <v>298</v>
      </c>
      <c r="AU699" s="76" t="s">
        <v>845</v>
      </c>
      <c r="AV699" s="76">
        <v>8</v>
      </c>
      <c r="AW699" s="387" t="s">
        <v>846</v>
      </c>
      <c r="AX699" s="129"/>
      <c r="AY699" s="114"/>
      <c r="AZ699" s="127"/>
      <c r="BA699" s="127"/>
      <c r="BB699" s="127"/>
      <c r="BC699" s="127"/>
      <c r="BI699" s="75"/>
      <c r="BJ699" s="91"/>
      <c r="BL699" s="76" t="str">
        <f>D699</f>
        <v>TJTW-95</v>
      </c>
      <c r="BM699" s="76" t="str">
        <f>A699</f>
        <v>TCNCP</v>
      </c>
      <c r="BN699" s="76">
        <f>C699</f>
        <v>0</v>
      </c>
      <c r="BO699" s="76" t="str">
        <f>E699</f>
        <v>0.17*784*1040 2.0/2.0 DR9</v>
      </c>
      <c r="BP699" s="129">
        <f>J699</f>
        <v>100</v>
      </c>
      <c r="BQ699" s="387">
        <f>U699</f>
        <v>46028</v>
      </c>
    </row>
    <row r="700" s="76" customFormat="1" customHeight="1" spans="1:69">
      <c r="A700" s="76" t="s">
        <v>842</v>
      </c>
      <c r="B700" s="76" t="s">
        <v>456</v>
      </c>
      <c r="C700" s="387"/>
      <c r="D700" s="76" t="s">
        <v>843</v>
      </c>
      <c r="E700" s="76" t="s">
        <v>654</v>
      </c>
      <c r="G700" s="479"/>
      <c r="H700" s="76" t="s">
        <v>93</v>
      </c>
      <c r="J700" s="129">
        <v>100</v>
      </c>
      <c r="K700" s="129">
        <f>Z700+340</f>
        <v>5890</v>
      </c>
      <c r="L700" s="129">
        <f>J700*K700</f>
        <v>589000</v>
      </c>
      <c r="M700" s="129"/>
      <c r="N700" s="114">
        <f>58900+477090+55907.8799999999</f>
        <v>591897.88</v>
      </c>
      <c r="P700" s="91"/>
      <c r="Q700" s="91"/>
      <c r="R700" s="76" t="s">
        <v>66</v>
      </c>
      <c r="S700" s="76" t="s">
        <v>844</v>
      </c>
      <c r="T700" s="387">
        <v>45968</v>
      </c>
      <c r="U700" s="387">
        <f>T700+60</f>
        <v>46028</v>
      </c>
      <c r="V700" s="387">
        <f>T700+60</f>
        <v>46028</v>
      </c>
      <c r="X700" s="133" t="s">
        <v>355</v>
      </c>
      <c r="Y700" s="76">
        <v>100</v>
      </c>
      <c r="Z700" s="114">
        <v>5550</v>
      </c>
      <c r="AA700" s="114">
        <f>Y700*Z700</f>
        <v>555000</v>
      </c>
      <c r="AB700" s="114">
        <v>0</v>
      </c>
      <c r="AC700" s="114">
        <f>AA700-AB700</f>
        <v>555000</v>
      </c>
      <c r="AD700" s="140"/>
      <c r="AE700" s="114"/>
      <c r="AF700" s="114"/>
      <c r="AG700" s="114"/>
      <c r="AH700" s="114"/>
      <c r="AM700" s="114"/>
      <c r="AN700" s="114">
        <f>58900+477090+55907.8799999999</f>
        <v>591897.88</v>
      </c>
      <c r="AQ700" s="387"/>
      <c r="AR700" s="387"/>
      <c r="AS700" s="387"/>
      <c r="AT700" s="387"/>
      <c r="AW700" s="387"/>
      <c r="AX700" s="129"/>
      <c r="AY700" s="114"/>
      <c r="AZ700" s="127"/>
      <c r="BA700" s="127"/>
      <c r="BB700" s="127"/>
      <c r="BC700" s="127"/>
      <c r="BI700" s="75"/>
      <c r="BJ700" s="91"/>
      <c r="BL700" s="76" t="str">
        <f>D700</f>
        <v>TJTW-95</v>
      </c>
      <c r="BM700" s="76" t="str">
        <f>A700</f>
        <v>TCNCP</v>
      </c>
      <c r="BN700" s="76">
        <f>C700</f>
        <v>0</v>
      </c>
      <c r="BO700" s="76" t="str">
        <f>E700</f>
        <v>0.17*910*1071 2.0/2.0 DR9</v>
      </c>
      <c r="BP700" s="129">
        <f>J700</f>
        <v>100</v>
      </c>
      <c r="BQ700" s="387">
        <f>U700</f>
        <v>46028</v>
      </c>
    </row>
    <row r="701" s="79" customFormat="1" customHeight="1" spans="1:69">
      <c r="A701" s="79" t="s">
        <v>842</v>
      </c>
      <c r="B701" s="79" t="s">
        <v>456</v>
      </c>
      <c r="C701" s="463"/>
      <c r="D701" s="79" t="s">
        <v>843</v>
      </c>
      <c r="G701" s="486"/>
      <c r="K701" s="194"/>
      <c r="M701" s="194"/>
      <c r="N701" s="79">
        <f>SUM(N699:N700)</f>
        <v>1160225.91</v>
      </c>
      <c r="T701" s="463"/>
      <c r="U701" s="463"/>
      <c r="V701" s="463"/>
      <c r="X701" s="193"/>
      <c r="Z701" s="192"/>
      <c r="AA701" s="79">
        <f>SUM(AA699:AA700)</f>
        <v>1110000</v>
      </c>
      <c r="AB701" s="192">
        <f>SUM(AB699:AB700)</f>
        <v>111000</v>
      </c>
      <c r="AC701" s="192">
        <f>SUM(AC699:AC700)</f>
        <v>999000</v>
      </c>
      <c r="AD701" s="196"/>
      <c r="AE701" s="192"/>
      <c r="AF701" s="192"/>
      <c r="AG701" s="192"/>
      <c r="AH701" s="192"/>
      <c r="AM701" s="192"/>
      <c r="AN701" s="192">
        <f>SUM(AN699:AN700)</f>
        <v>1160225.91</v>
      </c>
      <c r="AQ701" s="463">
        <f>V701</f>
        <v>0</v>
      </c>
      <c r="AR701" s="463"/>
      <c r="AS701" s="463"/>
      <c r="AT701" s="463"/>
      <c r="AW701" s="463"/>
      <c r="AX701" s="194"/>
      <c r="AY701" s="192"/>
      <c r="AZ701" s="150"/>
      <c r="BA701" s="150"/>
      <c r="BB701" s="150"/>
      <c r="BC701" s="150"/>
      <c r="BI701" s="151"/>
    </row>
    <row r="702" s="76" customFormat="1" customHeight="1" spans="1:69">
      <c r="A702" s="76" t="s">
        <v>847</v>
      </c>
      <c r="B702" s="76" t="s">
        <v>572</v>
      </c>
      <c r="C702" s="387"/>
      <c r="D702" s="76" t="s">
        <v>848</v>
      </c>
      <c r="E702" s="76" t="s">
        <v>849</v>
      </c>
      <c r="F702" s="386"/>
      <c r="G702" s="479"/>
      <c r="H702" s="76" t="s">
        <v>93</v>
      </c>
      <c r="J702" s="129">
        <v>15</v>
      </c>
      <c r="K702" s="129">
        <v>6170</v>
      </c>
      <c r="L702" s="114">
        <f>J702*K702</f>
        <v>92550</v>
      </c>
      <c r="M702" s="129"/>
      <c r="N702" s="253">
        <v>83295</v>
      </c>
      <c r="P702" s="91"/>
      <c r="Q702" s="91"/>
      <c r="R702" s="76" t="s">
        <v>88</v>
      </c>
      <c r="S702" s="76" t="s">
        <v>850</v>
      </c>
      <c r="T702" s="387">
        <v>45968</v>
      </c>
      <c r="U702" s="387">
        <f>T702+60</f>
        <v>46028</v>
      </c>
      <c r="V702" s="387">
        <v>45664</v>
      </c>
      <c r="X702" s="133" t="s">
        <v>355</v>
      </c>
      <c r="Y702" s="129">
        <v>15</v>
      </c>
      <c r="Z702" s="114">
        <v>5920</v>
      </c>
      <c r="AA702" s="114">
        <f>Y702*Z702</f>
        <v>88800</v>
      </c>
      <c r="AB702" s="114"/>
      <c r="AC702" s="114"/>
      <c r="AD702" s="140"/>
      <c r="AE702" s="114"/>
      <c r="AF702" s="114"/>
      <c r="AG702" s="114"/>
      <c r="AH702" s="114"/>
      <c r="AM702" s="114"/>
      <c r="AN702" s="253">
        <v>83295</v>
      </c>
      <c r="AQ702" s="387"/>
      <c r="AR702" s="387"/>
      <c r="AS702" s="387"/>
      <c r="AT702" s="387" t="s">
        <v>544</v>
      </c>
      <c r="AU702" s="76" t="s">
        <v>665</v>
      </c>
      <c r="AV702" s="76">
        <v>1</v>
      </c>
      <c r="AW702" s="387" t="s">
        <v>665</v>
      </c>
      <c r="AX702" s="129"/>
      <c r="AY702" s="114"/>
      <c r="AZ702" s="127"/>
      <c r="BA702" s="127"/>
      <c r="BB702" s="127"/>
      <c r="BC702" s="127"/>
      <c r="BI702" s="75"/>
      <c r="BJ702" s="91"/>
      <c r="BL702" s="76" t="str">
        <f>D702</f>
        <v>TJTW-96</v>
      </c>
      <c r="BM702" s="76" t="str">
        <f>A702</f>
        <v>ОКЗ</v>
      </c>
      <c r="BN702" s="76">
        <f>C702</f>
        <v>0</v>
      </c>
      <c r="BO702" s="76" t="str">
        <f>E702</f>
        <v>0.22*792*652  Т3 5.6/2.8</v>
      </c>
      <c r="BP702" s="129">
        <f>J702</f>
        <v>15</v>
      </c>
      <c r="BQ702" s="387">
        <f>U702</f>
        <v>46028</v>
      </c>
    </row>
    <row r="703" s="76" customFormat="1" customHeight="1" spans="1:69">
      <c r="A703" s="76" t="s">
        <v>847</v>
      </c>
      <c r="C703" s="387"/>
      <c r="D703" s="76" t="s">
        <v>848</v>
      </c>
      <c r="E703" s="744" t="s">
        <v>851</v>
      </c>
      <c r="F703" s="386"/>
      <c r="G703" s="479"/>
      <c r="J703" s="129">
        <v>12</v>
      </c>
      <c r="K703" s="129">
        <v>6910</v>
      </c>
      <c r="L703" s="114">
        <f>J703*K703</f>
        <v>82920</v>
      </c>
      <c r="M703" s="129"/>
      <c r="N703" s="253">
        <v>74628</v>
      </c>
      <c r="P703" s="91"/>
      <c r="Q703" s="91"/>
      <c r="R703" s="76" t="s">
        <v>88</v>
      </c>
      <c r="S703" s="76" t="s">
        <v>852</v>
      </c>
      <c r="T703" s="387">
        <v>45968</v>
      </c>
      <c r="U703" s="387">
        <f>T703+60</f>
        <v>46028</v>
      </c>
      <c r="V703" s="387">
        <v>46033</v>
      </c>
      <c r="X703" s="133" t="s">
        <v>355</v>
      </c>
      <c r="Y703" s="129">
        <v>10</v>
      </c>
      <c r="Z703" s="114">
        <v>6600</v>
      </c>
      <c r="AA703" s="114">
        <f>Y703*Z703</f>
        <v>66000</v>
      </c>
      <c r="AB703" s="114"/>
      <c r="AC703" s="114"/>
      <c r="AD703" s="140"/>
      <c r="AE703" s="114"/>
      <c r="AF703" s="114"/>
      <c r="AG703" s="114"/>
      <c r="AH703" s="114"/>
      <c r="AM703" s="114"/>
      <c r="AN703" s="253">
        <v>74628</v>
      </c>
      <c r="AQ703" s="387"/>
      <c r="AR703" s="387"/>
      <c r="AS703" s="387"/>
      <c r="AT703" s="387"/>
      <c r="AW703" s="387"/>
      <c r="AX703" s="129"/>
      <c r="AY703" s="114"/>
      <c r="AZ703" s="127"/>
      <c r="BA703" s="127"/>
      <c r="BB703" s="127"/>
      <c r="BC703" s="127"/>
      <c r="BI703" s="75"/>
      <c r="BJ703" s="91"/>
      <c r="BL703" s="76" t="str">
        <f>D703</f>
        <v>TJTW-96</v>
      </c>
      <c r="BM703" s="76" t="str">
        <f>A703</f>
        <v>ОКЗ</v>
      </c>
      <c r="BN703" s="76">
        <f>C703</f>
        <v>0</v>
      </c>
      <c r="BO703" s="76" t="str">
        <f>E703</f>
        <v>Varnished electrogalvanized steel 0.37*31.8*C DR7</v>
      </c>
      <c r="BP703" s="129">
        <f>J703</f>
        <v>12</v>
      </c>
      <c r="BQ703" s="387">
        <f>U703</f>
        <v>46028</v>
      </c>
    </row>
    <row r="704" s="79" customFormat="1" customHeight="1" spans="1:69">
      <c r="A704" s="79" t="s">
        <v>847</v>
      </c>
      <c r="B704" s="79" t="s">
        <v>572</v>
      </c>
      <c r="C704" s="463"/>
      <c r="D704" s="79" t="s">
        <v>848</v>
      </c>
      <c r="G704" s="486"/>
      <c r="J704" s="79">
        <f>SUM(J702:J703)</f>
        <v>27</v>
      </c>
      <c r="K704" s="194"/>
      <c r="L704" s="79">
        <f>SUM(L702:L703)</f>
        <v>175470</v>
      </c>
      <c r="M704" s="194"/>
      <c r="R704" s="79" t="str">
        <f>R702</f>
        <v>ZM</v>
      </c>
      <c r="T704" s="463">
        <f>T702</f>
        <v>45968</v>
      </c>
      <c r="U704" s="463"/>
      <c r="V704" s="463">
        <v>46029</v>
      </c>
      <c r="X704" s="193"/>
      <c r="Y704" s="79">
        <f>SUM(Y702:Y703)</f>
        <v>25</v>
      </c>
      <c r="Z704" s="192"/>
      <c r="AA704" s="79">
        <f>SUM(AA702:AA703)</f>
        <v>154800</v>
      </c>
      <c r="AB704" s="192"/>
      <c r="AC704" s="192"/>
      <c r="AD704" s="196"/>
      <c r="AE704" s="192"/>
      <c r="AF704" s="192"/>
      <c r="AG704" s="192"/>
      <c r="AH704" s="192"/>
      <c r="AM704" s="192"/>
      <c r="AN704" s="192"/>
      <c r="AQ704" s="463">
        <f>V704</f>
        <v>46029</v>
      </c>
      <c r="AR704" s="463"/>
      <c r="AS704" s="463"/>
      <c r="AT704" s="463"/>
      <c r="AW704" s="463"/>
      <c r="AX704" s="194"/>
      <c r="AY704" s="192"/>
      <c r="AZ704" s="150"/>
      <c r="BA704" s="150"/>
      <c r="BB704" s="150"/>
      <c r="BC704" s="150"/>
      <c r="BI704" s="151"/>
    </row>
    <row r="705" s="76" customFormat="1" customHeight="1" spans="1:69">
      <c r="A705" s="76" t="s">
        <v>365</v>
      </c>
      <c r="B705" s="76" t="s">
        <v>572</v>
      </c>
      <c r="C705" s="387"/>
      <c r="D705" s="76" t="s">
        <v>853</v>
      </c>
      <c r="E705" s="76" t="s">
        <v>639</v>
      </c>
      <c r="G705" s="479"/>
      <c r="H705" s="76" t="s">
        <v>93</v>
      </c>
      <c r="J705" s="190">
        <v>90</v>
      </c>
      <c r="K705" s="190">
        <f>Z705+340</f>
        <v>5925</v>
      </c>
      <c r="L705" s="129">
        <f>K705*J705</f>
        <v>533250</v>
      </c>
      <c r="M705" s="129"/>
      <c r="N705" s="114">
        <v>53325</v>
      </c>
      <c r="P705" s="91"/>
      <c r="Q705" s="91"/>
      <c r="R705" s="76" t="s">
        <v>66</v>
      </c>
      <c r="S705" s="76" t="s">
        <v>854</v>
      </c>
      <c r="T705" s="387">
        <v>45967</v>
      </c>
      <c r="U705" s="387">
        <f>T705+45</f>
        <v>46012</v>
      </c>
      <c r="V705" s="387">
        <v>46016</v>
      </c>
      <c r="X705" s="133" t="s">
        <v>90</v>
      </c>
      <c r="Y705" s="190">
        <v>90.683</v>
      </c>
      <c r="Z705" s="114">
        <v>5585</v>
      </c>
      <c r="AA705" s="114">
        <f>Y705*Z705</f>
        <v>506464.555</v>
      </c>
      <c r="AB705" s="114">
        <v>88531.5</v>
      </c>
      <c r="AC705" s="114">
        <f>AA705-AB705</f>
        <v>417933.055</v>
      </c>
      <c r="AD705" s="140"/>
      <c r="AE705" s="114"/>
      <c r="AF705" s="114"/>
      <c r="AG705" s="114"/>
      <c r="AH705" s="114"/>
      <c r="AK705" s="76">
        <v>63.99</v>
      </c>
      <c r="AL705" s="76">
        <v>5925</v>
      </c>
      <c r="AM705" s="76">
        <v>537296.775</v>
      </c>
      <c r="AN705" s="114">
        <f>53325+483971.775</f>
        <v>537296.775</v>
      </c>
      <c r="AO705" s="76">
        <v>483971.775</v>
      </c>
      <c r="AQ705" s="387"/>
      <c r="AR705" s="387"/>
      <c r="AS705" s="387"/>
      <c r="AT705" s="387" t="s">
        <v>367</v>
      </c>
      <c r="AU705" s="76" t="s">
        <v>855</v>
      </c>
      <c r="AV705" s="76">
        <v>6</v>
      </c>
      <c r="AW705" s="387">
        <v>45661</v>
      </c>
      <c r="AX705" s="129"/>
      <c r="AY705" s="114"/>
      <c r="AZ705" s="127"/>
      <c r="BA705" s="127"/>
      <c r="BB705" s="127"/>
      <c r="BC705" s="127"/>
      <c r="BI705" s="75"/>
      <c r="BJ705" s="91"/>
      <c r="BL705" s="76" t="str">
        <f>D705</f>
        <v>TJTW-99</v>
      </c>
      <c r="BN705" s="76">
        <f>C705</f>
        <v>0</v>
      </c>
      <c r="BO705" s="76" t="str">
        <f>E705</f>
        <v>0.16*820*C T4 2.0/2.0</v>
      </c>
      <c r="BP705" s="129">
        <f>J705</f>
        <v>90</v>
      </c>
      <c r="BQ705" s="387">
        <f>U705</f>
        <v>46012</v>
      </c>
    </row>
    <row r="706" s="76" customFormat="1" customHeight="1" spans="1:69">
      <c r="A706" s="76" t="s">
        <v>365</v>
      </c>
      <c r="B706" s="76" t="s">
        <v>572</v>
      </c>
      <c r="C706" s="387"/>
      <c r="D706" s="76" t="s">
        <v>853</v>
      </c>
      <c r="E706" s="76" t="s">
        <v>637</v>
      </c>
      <c r="G706" s="479"/>
      <c r="H706" s="76" t="s">
        <v>93</v>
      </c>
      <c r="J706" s="190">
        <v>15</v>
      </c>
      <c r="K706" s="190">
        <f>Z706+340</f>
        <v>5925</v>
      </c>
      <c r="L706" s="129">
        <f>K706*J706</f>
        <v>88875</v>
      </c>
      <c r="M706" s="129"/>
      <c r="N706" s="114">
        <v>31725</v>
      </c>
      <c r="P706" s="91"/>
      <c r="Q706" s="91"/>
      <c r="R706" s="76" t="s">
        <v>66</v>
      </c>
      <c r="S706" s="76" t="s">
        <v>854</v>
      </c>
      <c r="T706" s="387">
        <v>45967</v>
      </c>
      <c r="U706" s="387">
        <f>T706+45</f>
        <v>46012</v>
      </c>
      <c r="V706" s="387">
        <v>46016</v>
      </c>
      <c r="X706" s="133" t="s">
        <v>90</v>
      </c>
      <c r="Y706" s="190">
        <v>14.405</v>
      </c>
      <c r="Z706" s="114">
        <v>5585</v>
      </c>
      <c r="AA706" s="114">
        <f>Y706*Z706</f>
        <v>80451.925</v>
      </c>
      <c r="AB706" s="114">
        <v>785839.67</v>
      </c>
      <c r="AC706" s="114">
        <f>AA706-AB706</f>
        <v>-705387.745</v>
      </c>
      <c r="AD706" s="140"/>
      <c r="AE706" s="114"/>
      <c r="AF706" s="114"/>
      <c r="AG706" s="114"/>
      <c r="AH706" s="114"/>
      <c r="AK706" s="76">
        <v>15.125</v>
      </c>
      <c r="AL706" s="76">
        <v>5925</v>
      </c>
      <c r="AM706" s="76">
        <v>112553.225</v>
      </c>
      <c r="AN706" s="114">
        <f>31725+80828.225</f>
        <v>112553.225</v>
      </c>
      <c r="AO706" s="76">
        <v>80828.225</v>
      </c>
      <c r="AQ706" s="387"/>
      <c r="AR706" s="387"/>
      <c r="AS706" s="387"/>
      <c r="AT706" s="387"/>
      <c r="AW706" s="387"/>
      <c r="AX706" s="129"/>
      <c r="AY706" s="114"/>
      <c r="AZ706" s="127"/>
      <c r="BA706" s="127"/>
      <c r="BB706" s="127"/>
      <c r="BC706" s="127"/>
      <c r="BI706" s="75"/>
      <c r="BJ706" s="91"/>
      <c r="BL706" s="76" t="str">
        <f>D706</f>
        <v>TJTW-99</v>
      </c>
      <c r="BM706" s="76" t="str">
        <f>A706</f>
        <v>PLK</v>
      </c>
      <c r="BN706" s="76">
        <f>C706</f>
        <v>0</v>
      </c>
      <c r="BO706" s="76" t="str">
        <f>E706</f>
        <v>0.16*875*C DR8.5 2.0/2.0</v>
      </c>
      <c r="BP706" s="129">
        <f>J706</f>
        <v>15</v>
      </c>
      <c r="BQ706" s="387">
        <f>U706</f>
        <v>46012</v>
      </c>
    </row>
    <row r="707" s="76" customFormat="1" customHeight="1" spans="1:69">
      <c r="A707" s="76" t="s">
        <v>365</v>
      </c>
      <c r="B707" s="76" t="s">
        <v>572</v>
      </c>
      <c r="C707" s="387"/>
      <c r="D707" s="76" t="s">
        <v>853</v>
      </c>
      <c r="E707" s="76" t="s">
        <v>640</v>
      </c>
      <c r="G707" s="479"/>
      <c r="H707" s="76" t="s">
        <v>93</v>
      </c>
      <c r="J707" s="190">
        <v>54</v>
      </c>
      <c r="K707" s="190">
        <f>Z707+340</f>
        <v>5875</v>
      </c>
      <c r="L707" s="129">
        <f>K707*J707</f>
        <v>317250</v>
      </c>
      <c r="M707" s="129"/>
      <c r="N707" s="253">
        <v>8887.5</v>
      </c>
      <c r="P707" s="91"/>
      <c r="Q707" s="91"/>
      <c r="R707" s="76" t="s">
        <v>66</v>
      </c>
      <c r="S707" s="76" t="s">
        <v>854</v>
      </c>
      <c r="T707" s="387">
        <v>45967</v>
      </c>
      <c r="U707" s="387">
        <f>T707+45</f>
        <v>46012</v>
      </c>
      <c r="V707" s="387">
        <v>46016</v>
      </c>
      <c r="X707" s="133" t="s">
        <v>90</v>
      </c>
      <c r="Y707" s="190">
        <v>51.934</v>
      </c>
      <c r="Z707" s="114">
        <v>5535</v>
      </c>
      <c r="AA707" s="114">
        <f>Y707*Z707</f>
        <v>287454.69</v>
      </c>
      <c r="AB707" s="114"/>
      <c r="AC707" s="114">
        <f>AA707-AB707</f>
        <v>287454.69</v>
      </c>
      <c r="AD707" s="140"/>
      <c r="AE707" s="114"/>
      <c r="AF707" s="114"/>
      <c r="AG707" s="114"/>
      <c r="AH707" s="114"/>
      <c r="AK707" s="76">
        <v>51.934</v>
      </c>
      <c r="AL707" s="76">
        <v>5875</v>
      </c>
      <c r="AM707" s="76">
        <v>277908.65</v>
      </c>
      <c r="AN707" s="253">
        <f>8887.5+269021.15</f>
        <v>277908.65</v>
      </c>
      <c r="AO707" s="76">
        <v>269021.15</v>
      </c>
      <c r="AQ707" s="387"/>
      <c r="AR707" s="387"/>
      <c r="AS707" s="387"/>
      <c r="AT707" s="387"/>
      <c r="AW707" s="387"/>
      <c r="AX707" s="129"/>
      <c r="AY707" s="114"/>
      <c r="AZ707" s="127"/>
      <c r="BA707" s="127"/>
      <c r="BB707" s="127"/>
      <c r="BC707" s="127"/>
      <c r="BI707" s="75"/>
      <c r="BJ707" s="91"/>
      <c r="BL707" s="76" t="str">
        <f>D707</f>
        <v>TJTW-99</v>
      </c>
      <c r="BM707" s="76" t="str">
        <f>A707</f>
        <v>PLK</v>
      </c>
      <c r="BN707" s="76">
        <f>C707</f>
        <v>0</v>
      </c>
      <c r="BO707" s="76" t="str">
        <f>E707</f>
        <v>0.17*807*C DR8.5 2.0/2.0</v>
      </c>
      <c r="BP707" s="129">
        <f>J707</f>
        <v>54</v>
      </c>
      <c r="BQ707" s="387">
        <f>U707</f>
        <v>46012</v>
      </c>
    </row>
    <row r="708" s="79" customFormat="1" customHeight="1" spans="1:69">
      <c r="A708" s="79" t="s">
        <v>365</v>
      </c>
      <c r="B708" s="79" t="s">
        <v>572</v>
      </c>
      <c r="C708" s="463"/>
      <c r="D708" s="79" t="s">
        <v>853</v>
      </c>
      <c r="G708" s="486"/>
      <c r="J708" s="79">
        <f>SUM(J705:J707)</f>
        <v>159</v>
      </c>
      <c r="K708" s="194"/>
      <c r="L708" s="79">
        <f>SUM(L705:L707)</f>
        <v>939375</v>
      </c>
      <c r="M708" s="194"/>
      <c r="N708" s="79">
        <f>SUM(N705:N707)</f>
        <v>93937.5</v>
      </c>
      <c r="R708" s="79" t="str">
        <f>R707</f>
        <v>JHL</v>
      </c>
      <c r="T708" s="463">
        <f>T707</f>
        <v>45967</v>
      </c>
      <c r="U708" s="463"/>
      <c r="V708" s="463">
        <v>46016</v>
      </c>
      <c r="X708" s="193" t="s">
        <v>355</v>
      </c>
      <c r="Y708" s="79">
        <f>SUM(Y705:Y707)</f>
        <v>157.022</v>
      </c>
      <c r="Z708" s="192"/>
      <c r="AA708" s="79">
        <f>SUM(AA705:AA707)</f>
        <v>874371.17</v>
      </c>
      <c r="AB708" s="192">
        <f>SUM(AB705:AB707)</f>
        <v>874371.17</v>
      </c>
      <c r="AC708" s="192">
        <f>SUM(AC705:AC707)</f>
        <v>0</v>
      </c>
      <c r="AD708" s="196"/>
      <c r="AE708" s="192"/>
      <c r="AF708" s="192"/>
      <c r="AG708" s="192"/>
      <c r="AH708" s="192"/>
      <c r="AM708" s="192"/>
      <c r="AN708" s="192">
        <f>SUM(AN705:AN707)</f>
        <v>927758.65</v>
      </c>
      <c r="AQ708" s="463">
        <f>V708</f>
        <v>46016</v>
      </c>
      <c r="AR708" s="463"/>
      <c r="AS708" s="463"/>
      <c r="AT708" s="463"/>
      <c r="AW708" s="463"/>
      <c r="AX708" s="194"/>
      <c r="AY708" s="192"/>
      <c r="AZ708" s="150"/>
      <c r="BA708" s="150"/>
      <c r="BB708" s="150"/>
      <c r="BC708" s="150"/>
      <c r="BI708" s="151"/>
    </row>
    <row r="709" s="76" customFormat="1" customHeight="1" spans="1:69">
      <c r="A709" s="76" t="s">
        <v>856</v>
      </c>
      <c r="B709" s="76" t="s">
        <v>572</v>
      </c>
      <c r="C709" s="387"/>
      <c r="D709" s="76" t="s">
        <v>857</v>
      </c>
      <c r="E709" s="190" t="s">
        <v>858</v>
      </c>
      <c r="G709" s="479"/>
      <c r="H709" s="76" t="s">
        <v>93</v>
      </c>
      <c r="J709" s="190">
        <v>20</v>
      </c>
      <c r="K709" s="190">
        <f>Z709+250</f>
        <v>5650</v>
      </c>
      <c r="L709" s="129">
        <f>K709*J709</f>
        <v>113000</v>
      </c>
      <c r="M709" s="129"/>
      <c r="N709" s="253">
        <v>81292.2</v>
      </c>
      <c r="P709" s="91"/>
      <c r="Q709" s="91"/>
      <c r="R709" s="76" t="s">
        <v>88</v>
      </c>
      <c r="S709" s="76" t="s">
        <v>859</v>
      </c>
      <c r="T709" s="387">
        <v>45968</v>
      </c>
      <c r="U709" s="387">
        <f>T709+60</f>
        <v>46028</v>
      </c>
      <c r="V709" s="387">
        <v>45667</v>
      </c>
      <c r="X709" s="133" t="s">
        <v>90</v>
      </c>
      <c r="Y709" s="190">
        <v>20</v>
      </c>
      <c r="Z709" s="114">
        <v>5400</v>
      </c>
      <c r="AA709" s="114">
        <f>Y709*Z709</f>
        <v>108000</v>
      </c>
      <c r="AB709" s="114"/>
      <c r="AC709" s="114"/>
      <c r="AD709" s="140"/>
      <c r="AE709" s="114"/>
      <c r="AF709" s="114"/>
      <c r="AG709" s="114"/>
      <c r="AH709" s="114"/>
      <c r="AM709" s="114"/>
      <c r="AN709" s="253">
        <v>81292.2</v>
      </c>
      <c r="AQ709" s="387"/>
      <c r="AR709" s="387"/>
      <c r="AS709" s="387"/>
      <c r="AT709" s="387" t="s">
        <v>367</v>
      </c>
      <c r="AU709" s="76" t="s">
        <v>855</v>
      </c>
      <c r="AV709" s="76">
        <v>6</v>
      </c>
      <c r="AW709" s="387">
        <v>46026</v>
      </c>
      <c r="AX709" s="129"/>
      <c r="AY709" s="114"/>
      <c r="AZ709" s="127"/>
      <c r="BA709" s="127"/>
      <c r="BB709" s="127"/>
      <c r="BC709" s="127"/>
      <c r="BI709" s="75"/>
      <c r="BJ709" s="91"/>
      <c r="BL709" s="76" t="str">
        <f>D709</f>
        <v>TJTW-98</v>
      </c>
      <c r="BM709" s="76" t="str">
        <f>A709</f>
        <v>ETL</v>
      </c>
      <c r="BN709" s="76">
        <f>C709</f>
        <v>0</v>
      </c>
      <c r="BO709" s="76" t="str">
        <f>E709</f>
        <v>0.20*865*1070 T3 2.0/2.0</v>
      </c>
      <c r="BP709" s="129">
        <f>J709</f>
        <v>20</v>
      </c>
      <c r="BQ709" s="387">
        <f>U709</f>
        <v>46028</v>
      </c>
    </row>
    <row r="710" s="76" customFormat="1" customHeight="1" spans="1:69">
      <c r="A710" s="76" t="s">
        <v>856</v>
      </c>
      <c r="B710" s="76" t="s">
        <v>572</v>
      </c>
      <c r="C710" s="387"/>
      <c r="D710" s="76" t="s">
        <v>857</v>
      </c>
      <c r="E710" s="190" t="s">
        <v>860</v>
      </c>
      <c r="G710" s="479"/>
      <c r="H710" s="76" t="s">
        <v>93</v>
      </c>
      <c r="J710" s="190">
        <v>17</v>
      </c>
      <c r="K710" s="190">
        <f>Z710+250</f>
        <v>5550</v>
      </c>
      <c r="L710" s="129">
        <f>K710*J710</f>
        <v>94350</v>
      </c>
      <c r="M710" s="129"/>
      <c r="N710" s="253">
        <v>94583.1</v>
      </c>
      <c r="P710" s="91"/>
      <c r="Q710" s="91"/>
      <c r="R710" s="76" t="s">
        <v>88</v>
      </c>
      <c r="S710" s="76" t="s">
        <v>859</v>
      </c>
      <c r="T710" s="387">
        <v>45968</v>
      </c>
      <c r="U710" s="387">
        <f>T710+60</f>
        <v>46028</v>
      </c>
      <c r="V710" s="387">
        <v>45667</v>
      </c>
      <c r="X710" s="133" t="s">
        <v>90</v>
      </c>
      <c r="Y710" s="190">
        <v>17</v>
      </c>
      <c r="Z710" s="114">
        <v>5300</v>
      </c>
      <c r="AA710" s="114">
        <f>Y710*Z710</f>
        <v>90100</v>
      </c>
      <c r="AB710" s="114"/>
      <c r="AC710" s="114"/>
      <c r="AD710" s="140"/>
      <c r="AE710" s="114"/>
      <c r="AF710" s="114"/>
      <c r="AG710" s="114"/>
      <c r="AH710" s="114"/>
      <c r="AM710" s="114"/>
      <c r="AN710" s="253">
        <v>94583.1</v>
      </c>
      <c r="AQ710" s="387"/>
      <c r="AR710" s="387"/>
      <c r="AS710" s="387"/>
      <c r="AT710" s="387"/>
      <c r="AW710" s="387"/>
      <c r="AX710" s="129"/>
      <c r="AY710" s="114"/>
      <c r="AZ710" s="127"/>
      <c r="BA710" s="127"/>
      <c r="BB710" s="127"/>
      <c r="BC710" s="127"/>
      <c r="BI710" s="75"/>
      <c r="BJ710" s="91"/>
      <c r="BL710" s="76" t="str">
        <f>D710</f>
        <v>TJTW-98</v>
      </c>
      <c r="BM710" s="76" t="str">
        <f>A710</f>
        <v>ETL</v>
      </c>
      <c r="BN710" s="76">
        <f>C710</f>
        <v>0</v>
      </c>
      <c r="BO710" s="76" t="str">
        <f>E710</f>
        <v>0.22*972*712 T3 2.0/2.0</v>
      </c>
      <c r="BP710" s="129">
        <f>J710</f>
        <v>17</v>
      </c>
      <c r="BQ710" s="387">
        <f>U710</f>
        <v>46028</v>
      </c>
    </row>
    <row r="711" s="76" customFormat="1" customHeight="1" spans="1:69">
      <c r="A711" s="76" t="s">
        <v>856</v>
      </c>
      <c r="B711" s="76" t="s">
        <v>572</v>
      </c>
      <c r="C711" s="387"/>
      <c r="D711" s="76" t="s">
        <v>857</v>
      </c>
      <c r="E711" s="190" t="s">
        <v>861</v>
      </c>
      <c r="G711" s="479"/>
      <c r="H711" s="76" t="s">
        <v>93</v>
      </c>
      <c r="J711" s="190">
        <v>15</v>
      </c>
      <c r="K711" s="190">
        <f>Z711+280</f>
        <v>5680</v>
      </c>
      <c r="L711" s="129">
        <f>K711*J711</f>
        <v>85200</v>
      </c>
      <c r="M711" s="129"/>
      <c r="N711" s="253">
        <v>93720</v>
      </c>
      <c r="P711" s="91"/>
      <c r="Q711" s="91"/>
      <c r="R711" s="76" t="s">
        <v>88</v>
      </c>
      <c r="S711" s="76" t="s">
        <v>859</v>
      </c>
      <c r="T711" s="387">
        <v>45968</v>
      </c>
      <c r="U711" s="387">
        <f>T711+60</f>
        <v>46028</v>
      </c>
      <c r="V711" s="387">
        <v>45667</v>
      </c>
      <c r="X711" s="133" t="s">
        <v>90</v>
      </c>
      <c r="Y711" s="190">
        <v>15</v>
      </c>
      <c r="Z711" s="114">
        <v>5400</v>
      </c>
      <c r="AA711" s="114">
        <f>Y711*Z711</f>
        <v>81000</v>
      </c>
      <c r="AB711" s="114"/>
      <c r="AC711" s="114"/>
      <c r="AD711" s="140"/>
      <c r="AE711" s="114"/>
      <c r="AF711" s="114"/>
      <c r="AG711" s="114"/>
      <c r="AH711" s="114"/>
      <c r="AM711" s="114"/>
      <c r="AN711" s="253">
        <v>93720</v>
      </c>
      <c r="AQ711" s="387"/>
      <c r="AR711" s="387"/>
      <c r="AS711" s="387"/>
      <c r="AT711" s="387"/>
      <c r="AW711" s="387"/>
      <c r="AX711" s="129"/>
      <c r="AY711" s="114"/>
      <c r="AZ711" s="127"/>
      <c r="BA711" s="127"/>
      <c r="BB711" s="127"/>
      <c r="BC711" s="127"/>
      <c r="BI711" s="75"/>
      <c r="BJ711" s="91"/>
      <c r="BL711" s="76" t="str">
        <f>D711</f>
        <v>TJTW-98</v>
      </c>
      <c r="BM711" s="76" t="str">
        <f>A711</f>
        <v>ETL</v>
      </c>
      <c r="BN711" s="76">
        <f>C711</f>
        <v>0</v>
      </c>
      <c r="BO711" s="76" t="str">
        <f>E711</f>
        <v>0.19*950*C T3 2.0/2.0</v>
      </c>
      <c r="BP711" s="129">
        <f>J711</f>
        <v>15</v>
      </c>
      <c r="BQ711" s="387">
        <f>U711</f>
        <v>46028</v>
      </c>
    </row>
    <row r="712" s="79" customFormat="1" customHeight="1" spans="1:69">
      <c r="A712" s="79" t="s">
        <v>856</v>
      </c>
      <c r="B712" s="79" t="s">
        <v>572</v>
      </c>
      <c r="C712" s="463"/>
      <c r="D712" s="79" t="s">
        <v>857</v>
      </c>
      <c r="G712" s="486"/>
      <c r="J712" s="79">
        <f>SUM(J709:J711)</f>
        <v>52</v>
      </c>
      <c r="K712" s="194"/>
      <c r="L712" s="79">
        <f>SUM(L709:L711)</f>
        <v>292550</v>
      </c>
      <c r="M712" s="194"/>
      <c r="N712" s="79">
        <f>SUM(N709:N711)</f>
        <v>269595.3</v>
      </c>
      <c r="R712" s="79" t="str">
        <f>R711</f>
        <v>ZM</v>
      </c>
      <c r="T712" s="463">
        <f>T711</f>
        <v>45968</v>
      </c>
      <c r="U712" s="463"/>
      <c r="V712" s="463">
        <v>45667</v>
      </c>
      <c r="X712" s="193"/>
      <c r="Y712" s="79">
        <f>SUM(Y709:Y711)</f>
        <v>52</v>
      </c>
      <c r="Z712" s="192"/>
      <c r="AA712" s="79">
        <f>SUM(AA709:AA711)</f>
        <v>279100</v>
      </c>
      <c r="AB712" s="192"/>
      <c r="AC712" s="192"/>
      <c r="AD712" s="196"/>
      <c r="AE712" s="192"/>
      <c r="AF712" s="192"/>
      <c r="AG712" s="192"/>
      <c r="AH712" s="192"/>
      <c r="AM712" s="192"/>
      <c r="AN712" s="79">
        <f>SUM(AN709:AN711)</f>
        <v>269595.3</v>
      </c>
      <c r="AQ712" s="463"/>
      <c r="AR712" s="463"/>
      <c r="AS712" s="463"/>
      <c r="AT712" s="463"/>
      <c r="AW712" s="463"/>
      <c r="AX712" s="194"/>
      <c r="AY712" s="192"/>
      <c r="AZ712" s="150"/>
      <c r="BA712" s="150"/>
      <c r="BB712" s="150"/>
      <c r="BC712" s="150"/>
      <c r="BI712" s="151"/>
    </row>
    <row r="713" s="76" customFormat="1" customHeight="1" spans="1:69">
      <c r="A713" s="76" t="s">
        <v>401</v>
      </c>
      <c r="C713" s="387"/>
      <c r="D713" s="76" t="s">
        <v>862</v>
      </c>
      <c r="E713" s="113"/>
      <c r="G713" s="479"/>
      <c r="H713" s="76" t="s">
        <v>401</v>
      </c>
      <c r="J713" s="129">
        <v>702</v>
      </c>
      <c r="K713" s="129">
        <v>7263</v>
      </c>
      <c r="L713" s="129">
        <f>J713*K713</f>
        <v>5098626</v>
      </c>
      <c r="M713" s="129">
        <f>L713*0.25</f>
        <v>1274656.5</v>
      </c>
      <c r="N713" s="76">
        <v>2500000</v>
      </c>
      <c r="P713" s="91"/>
      <c r="Q713" s="91"/>
      <c r="T713" s="387"/>
      <c r="U713" s="387"/>
      <c r="V713" s="387"/>
      <c r="Z713" s="114"/>
      <c r="AA713" s="114"/>
      <c r="AB713" s="114">
        <f>1000000+1000000</f>
        <v>2000000</v>
      </c>
      <c r="AC713" s="114"/>
      <c r="AD713" s="140"/>
      <c r="AE713" s="114"/>
      <c r="AF713" s="114"/>
      <c r="AG713" s="114"/>
      <c r="AH713" s="114"/>
      <c r="AM713" s="114"/>
      <c r="AN713" s="114"/>
      <c r="AQ713" s="745"/>
      <c r="AR713" s="745"/>
      <c r="AS713" s="387"/>
      <c r="AT713" s="387"/>
      <c r="AW713" s="387"/>
      <c r="AX713" s="129"/>
      <c r="AY713" s="114"/>
      <c r="AZ713" s="127"/>
      <c r="BA713" s="127"/>
      <c r="BB713" s="127"/>
      <c r="BC713" s="127"/>
      <c r="BI713" s="75"/>
      <c r="BJ713" s="91"/>
      <c r="BL713" s="76" t="str">
        <f t="shared" ref="BL713:BL733" si="104">D713</f>
        <v>PT-7</v>
      </c>
      <c r="BM713" s="76" t="str">
        <f t="shared" ref="BM713:BM733" si="105">A713</f>
        <v>PARTNER</v>
      </c>
      <c r="BN713" s="76">
        <f t="shared" ref="BN713:BN736" si="106">C713</f>
        <v>0</v>
      </c>
      <c r="BO713" s="76">
        <f t="shared" ref="BO713:BO733" si="107">E713</f>
        <v>0</v>
      </c>
      <c r="BP713" s="129">
        <f t="shared" ref="BP713:BP733" si="108">J713</f>
        <v>702</v>
      </c>
      <c r="BQ713" s="387">
        <f t="shared" ref="BQ713:BQ733" si="109">U713</f>
        <v>0</v>
      </c>
    </row>
    <row r="714" s="76" customFormat="1" customHeight="1" spans="1:69">
      <c r="A714" s="76" t="s">
        <v>401</v>
      </c>
      <c r="B714" s="76" t="s">
        <v>440</v>
      </c>
      <c r="C714" s="387"/>
      <c r="D714" s="76" t="s">
        <v>862</v>
      </c>
      <c r="E714" s="76" t="s">
        <v>863</v>
      </c>
      <c r="G714" s="479"/>
      <c r="H714" s="76" t="s">
        <v>401</v>
      </c>
      <c r="J714" s="129">
        <v>2079</v>
      </c>
      <c r="K714" s="129">
        <v>7539</v>
      </c>
      <c r="L714" s="129">
        <f>J714*K714</f>
        <v>15673581</v>
      </c>
      <c r="M714" s="129">
        <f>L714*0.25</f>
        <v>3918395.25</v>
      </c>
      <c r="N714" s="76">
        <v>3000000</v>
      </c>
      <c r="P714" s="91"/>
      <c r="Q714" s="91"/>
      <c r="S714" s="76" t="s">
        <v>864</v>
      </c>
      <c r="T714" s="387">
        <v>45969</v>
      </c>
      <c r="U714" s="387">
        <v>46376</v>
      </c>
      <c r="V714" s="387">
        <v>46021</v>
      </c>
      <c r="X714" s="133" t="s">
        <v>90</v>
      </c>
      <c r="Y714" s="76">
        <v>158</v>
      </c>
      <c r="Z714" s="114">
        <v>7190</v>
      </c>
      <c r="AA714" s="114">
        <f t="shared" ref="AA714:AA736" si="110">Y714*Z714</f>
        <v>1136020</v>
      </c>
      <c r="AB714" s="114"/>
      <c r="AC714" s="114"/>
      <c r="AD714" s="140"/>
      <c r="AE714" s="114"/>
      <c r="AF714" s="114"/>
      <c r="AG714" s="114"/>
      <c r="AH714" s="114"/>
      <c r="AM714" s="114"/>
      <c r="AN714" s="114"/>
      <c r="AQ714" s="746">
        <f>V714</f>
        <v>46021</v>
      </c>
      <c r="AR714" s="746"/>
      <c r="AS714" s="387"/>
      <c r="AT714" s="387"/>
      <c r="AW714" s="387"/>
      <c r="AX714" s="129"/>
      <c r="AY714" s="114"/>
      <c r="AZ714" s="127"/>
      <c r="BA714" s="127"/>
      <c r="BB714" s="127"/>
      <c r="BC714" s="127"/>
      <c r="BI714" s="75"/>
      <c r="BJ714" s="91"/>
      <c r="BL714" s="76" t="str">
        <f t="shared" si="104"/>
        <v>PT-7</v>
      </c>
      <c r="BM714" s="76" t="str">
        <f t="shared" si="105"/>
        <v>PARTNER</v>
      </c>
      <c r="BN714" s="76">
        <f t="shared" si="106"/>
        <v>0</v>
      </c>
      <c r="BO714" s="76" t="str">
        <f t="shared" si="107"/>
        <v>ETP 0.17*1057*900 DR7.5 СА 2.8/2.8</v>
      </c>
      <c r="BP714" s="129">
        <f t="shared" si="108"/>
        <v>2079</v>
      </c>
      <c r="BQ714" s="387">
        <f t="shared" si="109"/>
        <v>46376</v>
      </c>
    </row>
    <row r="715" s="76" customFormat="1" customHeight="1" spans="1:69">
      <c r="A715" s="76" t="s">
        <v>401</v>
      </c>
      <c r="B715" s="76" t="s">
        <v>440</v>
      </c>
      <c r="C715" s="387"/>
      <c r="D715" s="76" t="s">
        <v>862</v>
      </c>
      <c r="E715" s="76" t="s">
        <v>865</v>
      </c>
      <c r="G715" s="479"/>
      <c r="H715" s="76" t="s">
        <v>401</v>
      </c>
      <c r="J715" s="129">
        <v>918</v>
      </c>
      <c r="K715" s="129">
        <v>7680</v>
      </c>
      <c r="L715" s="129">
        <f>J715*K715</f>
        <v>7050240</v>
      </c>
      <c r="M715" s="129">
        <f>L715*0.25</f>
        <v>1762560</v>
      </c>
      <c r="N715" s="76">
        <v>1455611.75</v>
      </c>
      <c r="P715" s="91"/>
      <c r="Q715" s="91"/>
      <c r="S715" s="76" t="s">
        <v>864</v>
      </c>
      <c r="T715" s="387">
        <v>45969</v>
      </c>
      <c r="U715" s="387">
        <v>46376</v>
      </c>
      <c r="V715" s="387">
        <v>46021</v>
      </c>
      <c r="X715" s="133" t="s">
        <v>90</v>
      </c>
      <c r="Y715" s="76">
        <v>100</v>
      </c>
      <c r="Z715" s="114">
        <v>7200</v>
      </c>
      <c r="AA715" s="114">
        <f t="shared" si="110"/>
        <v>720000</v>
      </c>
      <c r="AB715" s="114"/>
      <c r="AC715" s="114"/>
      <c r="AD715" s="140"/>
      <c r="AE715" s="114"/>
      <c r="AF715" s="114"/>
      <c r="AG715" s="114"/>
      <c r="AH715" s="114"/>
      <c r="AM715" s="114"/>
      <c r="AN715" s="114"/>
      <c r="AQ715" s="746">
        <f>V715</f>
        <v>46021</v>
      </c>
      <c r="AR715" s="746"/>
      <c r="AS715" s="387"/>
      <c r="AT715" s="387"/>
      <c r="AW715" s="387"/>
      <c r="AX715" s="129"/>
      <c r="AY715" s="114"/>
      <c r="AZ715" s="127"/>
      <c r="BA715" s="127"/>
      <c r="BB715" s="127"/>
      <c r="BC715" s="127"/>
      <c r="BI715" s="75"/>
      <c r="BJ715" s="91"/>
      <c r="BL715" s="76" t="str">
        <f t="shared" si="104"/>
        <v>PT-7</v>
      </c>
      <c r="BM715" s="76" t="str">
        <f t="shared" si="105"/>
        <v>PARTNER</v>
      </c>
      <c r="BN715" s="76">
        <f t="shared" si="106"/>
        <v>0</v>
      </c>
      <c r="BO715" s="76" t="str">
        <f t="shared" si="107"/>
        <v>TFS 0.21*868*907 DR8 СА</v>
      </c>
      <c r="BP715" s="129">
        <f t="shared" si="108"/>
        <v>918</v>
      </c>
      <c r="BQ715" s="387">
        <f t="shared" si="109"/>
        <v>46376</v>
      </c>
    </row>
    <row r="716" s="76" customFormat="1" customHeight="1" spans="1:69">
      <c r="A716" s="76" t="s">
        <v>401</v>
      </c>
      <c r="C716" s="387"/>
      <c r="D716" s="76" t="s">
        <v>862</v>
      </c>
      <c r="E716" s="76" t="s">
        <v>863</v>
      </c>
      <c r="G716" s="479"/>
      <c r="J716" s="129"/>
      <c r="K716" s="129"/>
      <c r="L716" s="129"/>
      <c r="M716" s="129"/>
      <c r="N716" s="76">
        <v>1033905.3</v>
      </c>
      <c r="P716" s="91"/>
      <c r="Q716" s="91"/>
      <c r="S716" s="76" t="s">
        <v>866</v>
      </c>
      <c r="T716" s="387">
        <v>45969</v>
      </c>
      <c r="U716" s="387">
        <v>46042</v>
      </c>
      <c r="V716" s="387">
        <v>46096</v>
      </c>
      <c r="X716" s="76" t="s">
        <v>867</v>
      </c>
      <c r="Y716" s="189">
        <v>300</v>
      </c>
      <c r="Z716" s="114">
        <v>7190</v>
      </c>
      <c r="AA716" s="114">
        <f t="shared" si="110"/>
        <v>2157000</v>
      </c>
      <c r="AB716" s="114"/>
      <c r="AC716" s="114"/>
      <c r="AD716" s="140"/>
      <c r="AE716" s="114"/>
      <c r="AF716" s="114"/>
      <c r="AG716" s="114"/>
      <c r="AH716" s="114"/>
      <c r="AM716" s="114"/>
      <c r="AN716" s="114"/>
      <c r="AQ716" s="746">
        <f>V716</f>
        <v>46096</v>
      </c>
      <c r="AR716" s="746"/>
      <c r="AS716" s="387"/>
      <c r="AT716" s="387"/>
      <c r="AW716" s="387"/>
      <c r="AX716" s="129"/>
      <c r="AY716" s="114"/>
      <c r="AZ716" s="127"/>
      <c r="BA716" s="127"/>
      <c r="BB716" s="127"/>
      <c r="BC716" s="127"/>
      <c r="BI716" s="75"/>
      <c r="BJ716" s="91"/>
      <c r="BL716" s="76" t="str">
        <f t="shared" si="104"/>
        <v>PT-7</v>
      </c>
      <c r="BM716" s="76" t="str">
        <f t="shared" si="105"/>
        <v>PARTNER</v>
      </c>
      <c r="BN716" s="76">
        <f t="shared" si="106"/>
        <v>0</v>
      </c>
      <c r="BO716" s="76" t="str">
        <f t="shared" si="107"/>
        <v>ETP 0.17*1057*900 DR7.5 СА 2.8/2.8</v>
      </c>
      <c r="BP716" s="129">
        <f t="shared" si="108"/>
        <v>0</v>
      </c>
      <c r="BQ716" s="387">
        <f t="shared" si="109"/>
        <v>46042</v>
      </c>
    </row>
    <row r="717" s="76" customFormat="1" customHeight="1" spans="1:69">
      <c r="A717" s="76" t="s">
        <v>401</v>
      </c>
      <c r="C717" s="387"/>
      <c r="D717" s="76" t="s">
        <v>862</v>
      </c>
      <c r="E717" s="113" t="s">
        <v>868</v>
      </c>
      <c r="G717" s="479"/>
      <c r="J717" s="129"/>
      <c r="K717" s="129"/>
      <c r="L717" s="129"/>
      <c r="M717" s="129"/>
      <c r="N717" s="76">
        <v>246919.68</v>
      </c>
      <c r="P717" s="91"/>
      <c r="Q717" s="91"/>
      <c r="S717" s="76" t="s">
        <v>866</v>
      </c>
      <c r="T717" s="387">
        <v>45969</v>
      </c>
      <c r="U717" s="387">
        <v>46042</v>
      </c>
      <c r="V717" s="387">
        <v>46037</v>
      </c>
      <c r="X717" s="76" t="s">
        <v>869</v>
      </c>
      <c r="Y717" s="76">
        <v>109</v>
      </c>
      <c r="Z717" s="114">
        <v>6813</v>
      </c>
      <c r="AA717" s="114">
        <f t="shared" si="110"/>
        <v>742617</v>
      </c>
      <c r="AB717" s="114"/>
      <c r="AC717" s="114"/>
      <c r="AD717" s="140"/>
      <c r="AE717" s="114"/>
      <c r="AF717" s="114"/>
      <c r="AG717" s="114"/>
      <c r="AH717" s="114"/>
      <c r="AM717" s="114"/>
      <c r="AN717" s="114"/>
      <c r="AQ717" s="746">
        <f>V717</f>
        <v>46037</v>
      </c>
      <c r="AR717" s="746"/>
      <c r="AS717" s="387"/>
      <c r="AT717" s="387"/>
      <c r="AW717" s="387"/>
      <c r="AX717" s="129"/>
      <c r="AY717" s="114"/>
      <c r="AZ717" s="127"/>
      <c r="BA717" s="127"/>
      <c r="BB717" s="127"/>
      <c r="BC717" s="127"/>
      <c r="BI717" s="75"/>
      <c r="BJ717" s="91"/>
      <c r="BL717" s="76" t="str">
        <f t="shared" si="104"/>
        <v>PT-7</v>
      </c>
      <c r="BM717" s="76" t="str">
        <f t="shared" si="105"/>
        <v>PARTNER</v>
      </c>
      <c r="BN717" s="76">
        <f t="shared" si="106"/>
        <v>0</v>
      </c>
      <c r="BO717" s="76" t="str">
        <f t="shared" si="107"/>
        <v>TFS 0.18*1013*931 DR8 СА</v>
      </c>
      <c r="BP717" s="129">
        <f t="shared" si="108"/>
        <v>0</v>
      </c>
      <c r="BQ717" s="387">
        <f t="shared" si="109"/>
        <v>46042</v>
      </c>
    </row>
    <row r="718" s="76" customFormat="1" customHeight="1" spans="1:69">
      <c r="A718" s="76" t="s">
        <v>401</v>
      </c>
      <c r="C718" s="387"/>
      <c r="D718" s="76" t="s">
        <v>862</v>
      </c>
      <c r="E718" s="76" t="s">
        <v>865</v>
      </c>
      <c r="G718" s="479"/>
      <c r="J718" s="129"/>
      <c r="K718" s="129"/>
      <c r="L718" s="129"/>
      <c r="M718" s="129"/>
      <c r="N718" s="76">
        <v>154690.56</v>
      </c>
      <c r="P718" s="91"/>
      <c r="Q718" s="91"/>
      <c r="S718" s="76" t="s">
        <v>866</v>
      </c>
      <c r="T718" s="387">
        <v>45969</v>
      </c>
      <c r="U718" s="387">
        <v>46042</v>
      </c>
      <c r="V718" s="387">
        <v>46037</v>
      </c>
      <c r="X718" s="76" t="s">
        <v>870</v>
      </c>
      <c r="Y718" s="76">
        <v>100</v>
      </c>
      <c r="Z718" s="114">
        <v>7200</v>
      </c>
      <c r="AA718" s="114">
        <f t="shared" si="110"/>
        <v>720000</v>
      </c>
      <c r="AB718" s="114"/>
      <c r="AC718" s="114"/>
      <c r="AD718" s="140"/>
      <c r="AE718" s="114"/>
      <c r="AF718" s="114"/>
      <c r="AG718" s="114"/>
      <c r="AH718" s="114"/>
      <c r="AM718" s="114"/>
      <c r="AN718" s="114"/>
      <c r="AQ718" s="746">
        <f>V718</f>
        <v>46037</v>
      </c>
      <c r="AR718" s="746"/>
      <c r="AS718" s="387"/>
      <c r="AT718" s="387"/>
      <c r="AW718" s="387"/>
      <c r="AX718" s="129"/>
      <c r="AY718" s="114"/>
      <c r="AZ718" s="127"/>
      <c r="BA718" s="127"/>
      <c r="BB718" s="127"/>
      <c r="BC718" s="127"/>
      <c r="BI718" s="75"/>
      <c r="BJ718" s="91"/>
      <c r="BL718" s="76" t="str">
        <f t="shared" si="104"/>
        <v>PT-7</v>
      </c>
      <c r="BM718" s="76" t="str">
        <f t="shared" si="105"/>
        <v>PARTNER</v>
      </c>
      <c r="BN718" s="76">
        <f t="shared" si="106"/>
        <v>0</v>
      </c>
      <c r="BO718" s="76" t="str">
        <f t="shared" si="107"/>
        <v>TFS 0.21*868*907 DR8 СА</v>
      </c>
      <c r="BP718" s="129">
        <f t="shared" si="108"/>
        <v>0</v>
      </c>
      <c r="BQ718" s="387">
        <f t="shared" si="109"/>
        <v>46042</v>
      </c>
    </row>
    <row r="719" s="76" customFormat="1" customHeight="1" spans="1:69">
      <c r="A719" s="76" t="s">
        <v>401</v>
      </c>
      <c r="C719" s="387"/>
      <c r="D719" s="76" t="s">
        <v>862</v>
      </c>
      <c r="E719" s="76" t="s">
        <v>863</v>
      </c>
      <c r="G719" s="479"/>
      <c r="J719" s="129"/>
      <c r="K719" s="129"/>
      <c r="L719" s="129"/>
      <c r="M719" s="129"/>
      <c r="N719" s="76">
        <v>765800.45</v>
      </c>
      <c r="P719" s="91"/>
      <c r="Q719" s="91"/>
      <c r="S719" s="76" t="s">
        <v>871</v>
      </c>
      <c r="T719" s="387">
        <v>45987</v>
      </c>
      <c r="U719" s="387">
        <v>46073</v>
      </c>
      <c r="V719" s="387"/>
      <c r="X719" s="76" t="s">
        <v>872</v>
      </c>
      <c r="Y719" s="76">
        <v>297</v>
      </c>
      <c r="Z719" s="114">
        <v>7190</v>
      </c>
      <c r="AA719" s="114">
        <f t="shared" si="110"/>
        <v>2135430</v>
      </c>
      <c r="AB719" s="114"/>
      <c r="AC719" s="114"/>
      <c r="AD719" s="140"/>
      <c r="AE719" s="114"/>
      <c r="AF719" s="114"/>
      <c r="AG719" s="114"/>
      <c r="AH719" s="114"/>
      <c r="AM719" s="114"/>
      <c r="AN719" s="114"/>
      <c r="AQ719" s="746"/>
      <c r="AR719" s="746"/>
      <c r="AS719" s="387"/>
      <c r="AT719" s="387"/>
      <c r="AW719" s="387"/>
      <c r="AX719" s="129"/>
      <c r="AY719" s="114"/>
      <c r="AZ719" s="127"/>
      <c r="BA719" s="127"/>
      <c r="BB719" s="127"/>
      <c r="BC719" s="127"/>
      <c r="BI719" s="75"/>
      <c r="BJ719" s="91"/>
      <c r="BL719" s="76" t="str">
        <f t="shared" si="104"/>
        <v>PT-7</v>
      </c>
      <c r="BM719" s="76" t="str">
        <f t="shared" si="105"/>
        <v>PARTNER</v>
      </c>
      <c r="BN719" s="76">
        <f t="shared" si="106"/>
        <v>0</v>
      </c>
      <c r="BO719" s="76" t="str">
        <f t="shared" si="107"/>
        <v>ETP 0.17*1057*900 DR7.5 СА 2.8/2.8</v>
      </c>
      <c r="BP719" s="129">
        <f t="shared" si="108"/>
        <v>0</v>
      </c>
      <c r="BQ719" s="387">
        <f t="shared" si="109"/>
        <v>46073</v>
      </c>
    </row>
    <row r="720" s="76" customFormat="1" customHeight="1" spans="1:69">
      <c r="A720" s="76" t="s">
        <v>401</v>
      </c>
      <c r="C720" s="387"/>
      <c r="D720" s="76" t="s">
        <v>862</v>
      </c>
      <c r="E720" s="113" t="s">
        <v>868</v>
      </c>
      <c r="G720" s="479"/>
      <c r="J720" s="129"/>
      <c r="K720" s="129"/>
      <c r="L720" s="129"/>
      <c r="M720" s="129"/>
      <c r="N720" s="76">
        <v>341249.84</v>
      </c>
      <c r="P720" s="91"/>
      <c r="Q720" s="91"/>
      <c r="S720" s="76" t="s">
        <v>871</v>
      </c>
      <c r="T720" s="387">
        <v>45987</v>
      </c>
      <c r="U720" s="387">
        <v>46073</v>
      </c>
      <c r="V720" s="387"/>
      <c r="X720" s="76" t="s">
        <v>873</v>
      </c>
      <c r="Y720" s="76">
        <v>108</v>
      </c>
      <c r="Z720" s="114">
        <v>6813</v>
      </c>
      <c r="AA720" s="114">
        <f t="shared" si="110"/>
        <v>735804</v>
      </c>
      <c r="AB720" s="114"/>
      <c r="AC720" s="114"/>
      <c r="AD720" s="140"/>
      <c r="AE720" s="114"/>
      <c r="AF720" s="114"/>
      <c r="AG720" s="114"/>
      <c r="AH720" s="114"/>
      <c r="AM720" s="114"/>
      <c r="AN720" s="114"/>
      <c r="AQ720" s="746"/>
      <c r="AR720" s="746"/>
      <c r="AS720" s="387"/>
      <c r="AT720" s="387"/>
      <c r="AW720" s="387"/>
      <c r="AX720" s="129"/>
      <c r="AY720" s="114"/>
      <c r="AZ720" s="127"/>
      <c r="BA720" s="127"/>
      <c r="BB720" s="127"/>
      <c r="BC720" s="127"/>
      <c r="BI720" s="75"/>
      <c r="BJ720" s="91"/>
      <c r="BL720" s="76" t="str">
        <f t="shared" si="104"/>
        <v>PT-7</v>
      </c>
      <c r="BM720" s="76" t="str">
        <f t="shared" si="105"/>
        <v>PARTNER</v>
      </c>
      <c r="BN720" s="76">
        <f t="shared" si="106"/>
        <v>0</v>
      </c>
      <c r="BO720" s="76" t="str">
        <f t="shared" si="107"/>
        <v>TFS 0.18*1013*931 DR8 СА</v>
      </c>
      <c r="BP720" s="129">
        <f t="shared" si="108"/>
        <v>0</v>
      </c>
      <c r="BQ720" s="387">
        <f t="shared" si="109"/>
        <v>46073</v>
      </c>
    </row>
    <row r="721" s="76" customFormat="1" customHeight="1" spans="1:69">
      <c r="A721" s="76" t="s">
        <v>401</v>
      </c>
      <c r="C721" s="387"/>
      <c r="D721" s="76" t="s">
        <v>862</v>
      </c>
      <c r="E721" s="76" t="s">
        <v>865</v>
      </c>
      <c r="G721" s="479"/>
      <c r="J721" s="129"/>
      <c r="K721" s="129"/>
      <c r="L721" s="129"/>
      <c r="M721" s="129"/>
      <c r="N721" s="76">
        <v>357883.06</v>
      </c>
      <c r="P721" s="91"/>
      <c r="Q721" s="91"/>
      <c r="S721" s="76" t="s">
        <v>871</v>
      </c>
      <c r="T721" s="387">
        <v>45987</v>
      </c>
      <c r="U721" s="387">
        <v>46073</v>
      </c>
      <c r="V721" s="387"/>
      <c r="X721" s="76" t="s">
        <v>874</v>
      </c>
      <c r="Y721" s="76">
        <v>108</v>
      </c>
      <c r="Z721" s="114">
        <v>7200</v>
      </c>
      <c r="AA721" s="114">
        <f t="shared" si="110"/>
        <v>777600</v>
      </c>
      <c r="AB721" s="114"/>
      <c r="AC721" s="114"/>
      <c r="AD721" s="140"/>
      <c r="AE721" s="114"/>
      <c r="AF721" s="114"/>
      <c r="AG721" s="114"/>
      <c r="AH721" s="114"/>
      <c r="AM721" s="114"/>
      <c r="AN721" s="114"/>
      <c r="AQ721" s="746"/>
      <c r="AR721" s="746"/>
      <c r="AS721" s="387"/>
      <c r="AT721" s="387"/>
      <c r="AW721" s="387"/>
      <c r="AX721" s="129"/>
      <c r="AY721" s="114"/>
      <c r="AZ721" s="127"/>
      <c r="BA721" s="127"/>
      <c r="BB721" s="127"/>
      <c r="BC721" s="127"/>
      <c r="BI721" s="75"/>
      <c r="BJ721" s="91"/>
      <c r="BL721" s="76" t="str">
        <f t="shared" si="104"/>
        <v>PT-7</v>
      </c>
      <c r="BM721" s="76" t="str">
        <f t="shared" si="105"/>
        <v>PARTNER</v>
      </c>
      <c r="BN721" s="76">
        <f t="shared" si="106"/>
        <v>0</v>
      </c>
      <c r="BO721" s="76" t="str">
        <f t="shared" si="107"/>
        <v>TFS 0.21*868*907 DR8 СА</v>
      </c>
      <c r="BP721" s="129">
        <f t="shared" si="108"/>
        <v>0</v>
      </c>
      <c r="BQ721" s="387">
        <f t="shared" si="109"/>
        <v>46073</v>
      </c>
    </row>
    <row r="722" s="76" customFormat="1" customHeight="1" spans="1:69">
      <c r="A722" s="76" t="s">
        <v>401</v>
      </c>
      <c r="C722" s="387"/>
      <c r="D722" s="76" t="s">
        <v>862</v>
      </c>
      <c r="E722" s="76" t="s">
        <v>863</v>
      </c>
      <c r="G722" s="479"/>
      <c r="J722" s="129"/>
      <c r="K722" s="129"/>
      <c r="L722" s="129"/>
      <c r="M722" s="129"/>
      <c r="N722" s="76">
        <v>173080.21</v>
      </c>
      <c r="P722" s="91"/>
      <c r="Q722" s="91"/>
      <c r="S722" s="76" t="s">
        <v>875</v>
      </c>
      <c r="T722" s="387">
        <v>45987</v>
      </c>
      <c r="U722" s="387">
        <v>46101</v>
      </c>
      <c r="V722" s="387"/>
      <c r="X722" s="76" t="s">
        <v>876</v>
      </c>
      <c r="Y722" s="76">
        <v>297</v>
      </c>
      <c r="Z722" s="114">
        <v>7190</v>
      </c>
      <c r="AA722" s="114">
        <f t="shared" si="110"/>
        <v>2135430</v>
      </c>
      <c r="AB722" s="114"/>
      <c r="AC722" s="114"/>
      <c r="AD722" s="140"/>
      <c r="AE722" s="114"/>
      <c r="AF722" s="114"/>
      <c r="AG722" s="114"/>
      <c r="AH722" s="114"/>
      <c r="AM722" s="114"/>
      <c r="AN722" s="114"/>
      <c r="AQ722" s="746"/>
      <c r="AR722" s="746"/>
      <c r="AS722" s="387"/>
      <c r="AT722" s="387"/>
      <c r="AW722" s="387"/>
      <c r="AX722" s="129"/>
      <c r="AY722" s="114"/>
      <c r="AZ722" s="127"/>
      <c r="BA722" s="127"/>
      <c r="BB722" s="127"/>
      <c r="BC722" s="127"/>
      <c r="BI722" s="75"/>
      <c r="BJ722" s="91"/>
      <c r="BL722" s="76" t="str">
        <f t="shared" si="104"/>
        <v>PT-7</v>
      </c>
      <c r="BM722" s="76" t="str">
        <f t="shared" si="105"/>
        <v>PARTNER</v>
      </c>
      <c r="BN722" s="76">
        <f t="shared" si="106"/>
        <v>0</v>
      </c>
      <c r="BO722" s="76" t="str">
        <f t="shared" si="107"/>
        <v>ETP 0.17*1057*900 DR7.5 СА 2.8/2.8</v>
      </c>
      <c r="BP722" s="129">
        <f t="shared" si="108"/>
        <v>0</v>
      </c>
      <c r="BQ722" s="387">
        <f t="shared" si="109"/>
        <v>46101</v>
      </c>
    </row>
    <row r="723" s="76" customFormat="1" customHeight="1" spans="1:69">
      <c r="A723" s="76" t="s">
        <v>401</v>
      </c>
      <c r="C723" s="387"/>
      <c r="D723" s="76" t="s">
        <v>862</v>
      </c>
      <c r="E723" s="113" t="s">
        <v>877</v>
      </c>
      <c r="G723" s="479"/>
      <c r="J723" s="129"/>
      <c r="K723" s="129"/>
      <c r="L723" s="129"/>
      <c r="M723" s="129"/>
      <c r="N723" s="76">
        <v>707355.47</v>
      </c>
      <c r="P723" s="91"/>
      <c r="Q723" s="91"/>
      <c r="S723" s="76" t="s">
        <v>875</v>
      </c>
      <c r="T723" s="387">
        <v>45987</v>
      </c>
      <c r="U723" s="387">
        <v>46101</v>
      </c>
      <c r="V723" s="387" t="s">
        <v>436</v>
      </c>
      <c r="X723" s="76" t="s">
        <v>878</v>
      </c>
      <c r="Y723" s="76">
        <v>108</v>
      </c>
      <c r="Z723" s="114">
        <v>7090</v>
      </c>
      <c r="AA723" s="114">
        <f t="shared" si="110"/>
        <v>765720</v>
      </c>
      <c r="AB723" s="114"/>
      <c r="AC723" s="114"/>
      <c r="AD723" s="140"/>
      <c r="AE723" s="114"/>
      <c r="AF723" s="114"/>
      <c r="AG723" s="114"/>
      <c r="AH723" s="114"/>
      <c r="AM723" s="114"/>
      <c r="AN723" s="114"/>
      <c r="AQ723" s="746"/>
      <c r="AR723" s="746"/>
      <c r="AS723" s="387"/>
      <c r="AT723" s="387"/>
      <c r="AW723" s="387"/>
      <c r="AX723" s="129"/>
      <c r="AY723" s="114"/>
      <c r="AZ723" s="127"/>
      <c r="BA723" s="127"/>
      <c r="BB723" s="127"/>
      <c r="BC723" s="127"/>
      <c r="BI723" s="75"/>
      <c r="BJ723" s="91"/>
      <c r="BL723" s="76" t="str">
        <f t="shared" si="104"/>
        <v>PT-7</v>
      </c>
      <c r="BM723" s="76" t="str">
        <f t="shared" si="105"/>
        <v>PARTNER</v>
      </c>
      <c r="BN723" s="76">
        <f t="shared" si="106"/>
        <v>0</v>
      </c>
      <c r="BO723" s="76" t="str">
        <f t="shared" si="107"/>
        <v>ETP 0.18*1013*931 DR8 СА</v>
      </c>
      <c r="BP723" s="129">
        <f t="shared" si="108"/>
        <v>0</v>
      </c>
      <c r="BQ723" s="387">
        <f t="shared" si="109"/>
        <v>46101</v>
      </c>
    </row>
    <row r="724" s="76" customFormat="1" customHeight="1" spans="1:69">
      <c r="A724" s="76" t="s">
        <v>401</v>
      </c>
      <c r="C724" s="387"/>
      <c r="D724" s="76" t="s">
        <v>862</v>
      </c>
      <c r="E724" s="76" t="s">
        <v>865</v>
      </c>
      <c r="G724" s="479"/>
      <c r="J724" s="129"/>
      <c r="K724" s="129"/>
      <c r="L724" s="129"/>
      <c r="M724" s="129"/>
      <c r="N724" s="76">
        <v>300000</v>
      </c>
      <c r="P724" s="91"/>
      <c r="Q724" s="91"/>
      <c r="S724" s="76" t="s">
        <v>875</v>
      </c>
      <c r="T724" s="387">
        <v>45987</v>
      </c>
      <c r="U724" s="387">
        <v>46101</v>
      </c>
      <c r="V724" s="387"/>
      <c r="X724" s="76" t="s">
        <v>879</v>
      </c>
      <c r="Y724" s="76">
        <v>108</v>
      </c>
      <c r="Z724" s="114">
        <v>7200</v>
      </c>
      <c r="AA724" s="114">
        <f t="shared" si="110"/>
        <v>777600</v>
      </c>
      <c r="AB724" s="114"/>
      <c r="AC724" s="114"/>
      <c r="AD724" s="140"/>
      <c r="AE724" s="114"/>
      <c r="AF724" s="114"/>
      <c r="AG724" s="114"/>
      <c r="AH724" s="114"/>
      <c r="AM724" s="114"/>
      <c r="AN724" s="114"/>
      <c r="AQ724" s="746"/>
      <c r="AR724" s="746"/>
      <c r="AS724" s="387"/>
      <c r="AT724" s="387"/>
      <c r="AW724" s="387"/>
      <c r="AX724" s="129"/>
      <c r="AY724" s="114"/>
      <c r="AZ724" s="127"/>
      <c r="BA724" s="127"/>
      <c r="BB724" s="127"/>
      <c r="BC724" s="127"/>
      <c r="BI724" s="75"/>
      <c r="BJ724" s="91"/>
      <c r="BL724" s="76" t="str">
        <f t="shared" si="104"/>
        <v>PT-7</v>
      </c>
      <c r="BM724" s="76" t="str">
        <f t="shared" si="105"/>
        <v>PARTNER</v>
      </c>
      <c r="BN724" s="76">
        <f t="shared" si="106"/>
        <v>0</v>
      </c>
      <c r="BO724" s="76" t="str">
        <f t="shared" si="107"/>
        <v>TFS 0.21*868*907 DR8 СА</v>
      </c>
      <c r="BP724" s="129">
        <f t="shared" si="108"/>
        <v>0</v>
      </c>
      <c r="BQ724" s="387">
        <f t="shared" si="109"/>
        <v>46101</v>
      </c>
    </row>
    <row r="725" s="76" customFormat="1" customHeight="1" spans="1:69">
      <c r="A725" s="76" t="s">
        <v>401</v>
      </c>
      <c r="C725" s="387"/>
      <c r="D725" s="76" t="s">
        <v>862</v>
      </c>
      <c r="E725" s="76" t="s">
        <v>863</v>
      </c>
      <c r="G725" s="479"/>
      <c r="J725" s="129"/>
      <c r="K725" s="129"/>
      <c r="L725" s="129"/>
      <c r="M725" s="129"/>
      <c r="N725" s="76">
        <v>51840.46</v>
      </c>
      <c r="P725" s="91"/>
      <c r="Q725" s="91"/>
      <c r="S725" s="76" t="s">
        <v>880</v>
      </c>
      <c r="T725" s="387">
        <v>45987</v>
      </c>
      <c r="U725" s="387">
        <v>46132</v>
      </c>
      <c r="V725" s="387"/>
      <c r="X725" s="76" t="s">
        <v>881</v>
      </c>
      <c r="Y725" s="76">
        <v>297</v>
      </c>
      <c r="Z725" s="114">
        <v>7190</v>
      </c>
      <c r="AA725" s="114">
        <f t="shared" si="110"/>
        <v>2135430</v>
      </c>
      <c r="AB725" s="114"/>
      <c r="AC725" s="114"/>
      <c r="AD725" s="140"/>
      <c r="AE725" s="114"/>
      <c r="AF725" s="114"/>
      <c r="AG725" s="114"/>
      <c r="AH725" s="114"/>
      <c r="AM725" s="114"/>
      <c r="AN725" s="114"/>
      <c r="AQ725" s="746"/>
      <c r="AR725" s="746"/>
      <c r="AS725" s="387"/>
      <c r="AT725" s="387"/>
      <c r="AW725" s="387"/>
      <c r="AX725" s="129"/>
      <c r="AY725" s="114"/>
      <c r="AZ725" s="127"/>
      <c r="BA725" s="127"/>
      <c r="BB725" s="127"/>
      <c r="BC725" s="127"/>
      <c r="BI725" s="75"/>
      <c r="BJ725" s="91"/>
      <c r="BL725" s="76" t="str">
        <f t="shared" si="104"/>
        <v>PT-7</v>
      </c>
      <c r="BM725" s="76" t="str">
        <f t="shared" si="105"/>
        <v>PARTNER</v>
      </c>
      <c r="BN725" s="76">
        <f t="shared" si="106"/>
        <v>0</v>
      </c>
      <c r="BO725" s="76" t="str">
        <f t="shared" si="107"/>
        <v>ETP 0.17*1057*900 DR7.5 СА 2.8/2.8</v>
      </c>
      <c r="BP725" s="129">
        <f t="shared" si="108"/>
        <v>0</v>
      </c>
      <c r="BQ725" s="387">
        <f t="shared" si="109"/>
        <v>46132</v>
      </c>
    </row>
    <row r="726" s="76" customFormat="1" customHeight="1" spans="1:69">
      <c r="A726" s="76" t="s">
        <v>401</v>
      </c>
      <c r="C726" s="387"/>
      <c r="D726" s="76" t="s">
        <v>862</v>
      </c>
      <c r="E726" s="113" t="s">
        <v>877</v>
      </c>
      <c r="G726" s="479"/>
      <c r="J726" s="129"/>
      <c r="K726" s="129"/>
      <c r="L726" s="129"/>
      <c r="M726" s="129"/>
      <c r="N726" s="76">
        <v>3583447.62</v>
      </c>
      <c r="P726" s="91"/>
      <c r="Q726" s="91"/>
      <c r="S726" s="76" t="s">
        <v>880</v>
      </c>
      <c r="T726" s="387">
        <v>45987</v>
      </c>
      <c r="U726" s="387">
        <v>46132</v>
      </c>
      <c r="V726" s="387">
        <v>46096</v>
      </c>
      <c r="X726" s="76" t="s">
        <v>882</v>
      </c>
      <c r="Y726" s="76">
        <v>108</v>
      </c>
      <c r="Z726" s="114">
        <v>7090</v>
      </c>
      <c r="AA726" s="114">
        <f t="shared" si="110"/>
        <v>765720</v>
      </c>
      <c r="AB726" s="114"/>
      <c r="AC726" s="114"/>
      <c r="AD726" s="140"/>
      <c r="AE726" s="114"/>
      <c r="AF726" s="114"/>
      <c r="AG726" s="114"/>
      <c r="AH726" s="114"/>
      <c r="AM726" s="114"/>
      <c r="AN726" s="114"/>
      <c r="AQ726" s="746"/>
      <c r="AR726" s="746"/>
      <c r="AS726" s="387"/>
      <c r="AT726" s="387"/>
      <c r="AW726" s="387"/>
      <c r="AX726" s="129"/>
      <c r="AY726" s="114"/>
      <c r="AZ726" s="127"/>
      <c r="BA726" s="127"/>
      <c r="BB726" s="127"/>
      <c r="BC726" s="127"/>
      <c r="BI726" s="75"/>
      <c r="BJ726" s="91"/>
      <c r="BL726" s="76" t="str">
        <f t="shared" si="104"/>
        <v>PT-7</v>
      </c>
      <c r="BM726" s="76" t="str">
        <f t="shared" si="105"/>
        <v>PARTNER</v>
      </c>
      <c r="BN726" s="76">
        <f t="shared" si="106"/>
        <v>0</v>
      </c>
      <c r="BO726" s="76" t="str">
        <f t="shared" si="107"/>
        <v>ETP 0.18*1013*931 DR8 СА</v>
      </c>
      <c r="BP726" s="129">
        <f t="shared" si="108"/>
        <v>0</v>
      </c>
      <c r="BQ726" s="387">
        <f t="shared" si="109"/>
        <v>46132</v>
      </c>
    </row>
    <row r="727" s="76" customFormat="1" customHeight="1" spans="1:69">
      <c r="A727" s="76" t="s">
        <v>401</v>
      </c>
      <c r="C727" s="387"/>
      <c r="D727" s="76" t="s">
        <v>862</v>
      </c>
      <c r="E727" s="76" t="s">
        <v>865</v>
      </c>
      <c r="G727" s="479"/>
      <c r="J727" s="129"/>
      <c r="K727" s="129"/>
      <c r="L727" s="129"/>
      <c r="M727" s="129"/>
      <c r="N727" s="76">
        <v>300000</v>
      </c>
      <c r="P727" s="91"/>
      <c r="Q727" s="91"/>
      <c r="S727" s="76" t="s">
        <v>880</v>
      </c>
      <c r="T727" s="387">
        <v>45987</v>
      </c>
      <c r="U727" s="387">
        <v>46132</v>
      </c>
      <c r="V727" s="387"/>
      <c r="X727" s="76" t="s">
        <v>883</v>
      </c>
      <c r="Y727" s="76">
        <v>108</v>
      </c>
      <c r="Z727" s="114">
        <v>7200</v>
      </c>
      <c r="AA727" s="114">
        <f t="shared" si="110"/>
        <v>777600</v>
      </c>
      <c r="AB727" s="114"/>
      <c r="AC727" s="114"/>
      <c r="AD727" s="140"/>
      <c r="AE727" s="114"/>
      <c r="AF727" s="114"/>
      <c r="AG727" s="114"/>
      <c r="AH727" s="114"/>
      <c r="AM727" s="114"/>
      <c r="AN727" s="114"/>
      <c r="AQ727" s="746"/>
      <c r="AR727" s="746"/>
      <c r="AS727" s="387"/>
      <c r="AT727" s="387"/>
      <c r="AW727" s="387"/>
      <c r="AX727" s="129"/>
      <c r="AY727" s="114"/>
      <c r="AZ727" s="127"/>
      <c r="BA727" s="127"/>
      <c r="BB727" s="127"/>
      <c r="BC727" s="127"/>
      <c r="BI727" s="75"/>
      <c r="BJ727" s="91"/>
      <c r="BL727" s="76" t="str">
        <f t="shared" si="104"/>
        <v>PT-7</v>
      </c>
      <c r="BM727" s="76" t="str">
        <f t="shared" si="105"/>
        <v>PARTNER</v>
      </c>
      <c r="BN727" s="76">
        <f t="shared" si="106"/>
        <v>0</v>
      </c>
      <c r="BO727" s="76" t="str">
        <f t="shared" si="107"/>
        <v>TFS 0.21*868*907 DR8 СА</v>
      </c>
      <c r="BP727" s="129">
        <f t="shared" si="108"/>
        <v>0</v>
      </c>
      <c r="BQ727" s="387">
        <f t="shared" si="109"/>
        <v>46132</v>
      </c>
    </row>
    <row r="728" s="76" customFormat="1" customHeight="1" spans="1:69">
      <c r="A728" s="76" t="s">
        <v>401</v>
      </c>
      <c r="C728" s="387"/>
      <c r="D728" s="76" t="s">
        <v>862</v>
      </c>
      <c r="E728" s="76" t="s">
        <v>863</v>
      </c>
      <c r="G728" s="479"/>
      <c r="J728" s="129"/>
      <c r="K728" s="129"/>
      <c r="L728" s="129"/>
      <c r="M728" s="129"/>
      <c r="N728" s="76">
        <v>2060509.23</v>
      </c>
      <c r="P728" s="91"/>
      <c r="Q728" s="91"/>
      <c r="S728" s="76" t="s">
        <v>884</v>
      </c>
      <c r="T728" s="387">
        <v>45987</v>
      </c>
      <c r="U728" s="387">
        <v>46162</v>
      </c>
      <c r="V728" s="387"/>
      <c r="X728" s="76" t="s">
        <v>885</v>
      </c>
      <c r="Y728" s="76">
        <v>297</v>
      </c>
      <c r="Z728" s="114">
        <v>7190</v>
      </c>
      <c r="AA728" s="114">
        <f t="shared" si="110"/>
        <v>2135430</v>
      </c>
      <c r="AB728" s="114"/>
      <c r="AC728" s="114"/>
      <c r="AD728" s="140"/>
      <c r="AE728" s="114"/>
      <c r="AF728" s="114"/>
      <c r="AG728" s="114"/>
      <c r="AH728" s="114"/>
      <c r="AM728" s="114"/>
      <c r="AN728" s="114"/>
      <c r="AQ728" s="746"/>
      <c r="AR728" s="746"/>
      <c r="AS728" s="387"/>
      <c r="AT728" s="387"/>
      <c r="AW728" s="387"/>
      <c r="AX728" s="129"/>
      <c r="AY728" s="114"/>
      <c r="AZ728" s="127"/>
      <c r="BA728" s="127"/>
      <c r="BB728" s="127"/>
      <c r="BC728" s="127"/>
      <c r="BI728" s="75"/>
      <c r="BJ728" s="91"/>
      <c r="BL728" s="76" t="str">
        <f t="shared" si="104"/>
        <v>PT-7</v>
      </c>
      <c r="BM728" s="76" t="str">
        <f t="shared" si="105"/>
        <v>PARTNER</v>
      </c>
      <c r="BN728" s="76">
        <f t="shared" si="106"/>
        <v>0</v>
      </c>
      <c r="BO728" s="76" t="str">
        <f t="shared" si="107"/>
        <v>ETP 0.17*1057*900 DR7.5 СА 2.8/2.8</v>
      </c>
      <c r="BP728" s="129">
        <f t="shared" si="108"/>
        <v>0</v>
      </c>
      <c r="BQ728" s="387">
        <f t="shared" si="109"/>
        <v>46162</v>
      </c>
    </row>
    <row r="729" s="76" customFormat="1" customHeight="1" spans="1:69">
      <c r="A729" s="76" t="s">
        <v>401</v>
      </c>
      <c r="C729" s="387"/>
      <c r="D729" s="76" t="s">
        <v>862</v>
      </c>
      <c r="E729" s="113" t="s">
        <v>877</v>
      </c>
      <c r="G729" s="479"/>
      <c r="J729" s="129"/>
      <c r="K729" s="129"/>
      <c r="L729" s="129"/>
      <c r="M729" s="129"/>
      <c r="P729" s="91"/>
      <c r="Q729" s="91"/>
      <c r="S729" s="76" t="s">
        <v>884</v>
      </c>
      <c r="T729" s="387">
        <v>45987</v>
      </c>
      <c r="U729" s="387">
        <v>46162</v>
      </c>
      <c r="V729" s="387">
        <v>46096</v>
      </c>
      <c r="X729" s="76" t="s">
        <v>886</v>
      </c>
      <c r="Y729" s="76">
        <v>108</v>
      </c>
      <c r="Z729" s="114">
        <v>7090</v>
      </c>
      <c r="AA729" s="114">
        <f t="shared" si="110"/>
        <v>765720</v>
      </c>
      <c r="AB729" s="114"/>
      <c r="AC729" s="114"/>
      <c r="AD729" s="140"/>
      <c r="AE729" s="114"/>
      <c r="AF729" s="114"/>
      <c r="AG729" s="114"/>
      <c r="AH729" s="114"/>
      <c r="AM729" s="114"/>
      <c r="AN729" s="114"/>
      <c r="AQ729" s="746"/>
      <c r="AR729" s="746"/>
      <c r="AS729" s="387"/>
      <c r="AT729" s="387"/>
      <c r="AW729" s="387"/>
      <c r="AX729" s="129"/>
      <c r="AY729" s="114"/>
      <c r="AZ729" s="127"/>
      <c r="BA729" s="127"/>
      <c r="BB729" s="127"/>
      <c r="BC729" s="127"/>
      <c r="BI729" s="75"/>
      <c r="BJ729" s="91"/>
      <c r="BL729" s="76" t="str">
        <f t="shared" si="104"/>
        <v>PT-7</v>
      </c>
      <c r="BM729" s="76" t="str">
        <f t="shared" si="105"/>
        <v>PARTNER</v>
      </c>
      <c r="BN729" s="76">
        <f t="shared" si="106"/>
        <v>0</v>
      </c>
      <c r="BO729" s="76" t="str">
        <f t="shared" si="107"/>
        <v>ETP 0.18*1013*931 DR8 СА</v>
      </c>
      <c r="BP729" s="129">
        <f t="shared" si="108"/>
        <v>0</v>
      </c>
      <c r="BQ729" s="387">
        <f t="shared" si="109"/>
        <v>46162</v>
      </c>
    </row>
    <row r="730" s="76" customFormat="1" customHeight="1" spans="1:69">
      <c r="A730" s="76" t="s">
        <v>401</v>
      </c>
      <c r="C730" s="387"/>
      <c r="D730" s="76" t="s">
        <v>862</v>
      </c>
      <c r="E730" s="76" t="s">
        <v>865</v>
      </c>
      <c r="G730" s="479"/>
      <c r="J730" s="129"/>
      <c r="K730" s="129"/>
      <c r="L730" s="129"/>
      <c r="M730" s="129"/>
      <c r="P730" s="91"/>
      <c r="Q730" s="91"/>
      <c r="S730" s="76" t="s">
        <v>884</v>
      </c>
      <c r="T730" s="387">
        <v>45987</v>
      </c>
      <c r="U730" s="387">
        <v>46162</v>
      </c>
      <c r="V730" s="387"/>
      <c r="X730" s="76" t="s">
        <v>887</v>
      </c>
      <c r="Y730" s="76">
        <v>108</v>
      </c>
      <c r="Z730" s="114">
        <v>7200</v>
      </c>
      <c r="AA730" s="114">
        <f t="shared" si="110"/>
        <v>777600</v>
      </c>
      <c r="AB730" s="114"/>
      <c r="AC730" s="114"/>
      <c r="AD730" s="140"/>
      <c r="AE730" s="114"/>
      <c r="AF730" s="114"/>
      <c r="AG730" s="114"/>
      <c r="AH730" s="114"/>
      <c r="AM730" s="114"/>
      <c r="AN730" s="114"/>
      <c r="AQ730" s="746"/>
      <c r="AR730" s="746"/>
      <c r="AS730" s="387"/>
      <c r="AT730" s="387"/>
      <c r="AW730" s="387"/>
      <c r="AX730" s="129"/>
      <c r="AY730" s="114"/>
      <c r="AZ730" s="127"/>
      <c r="BA730" s="127"/>
      <c r="BB730" s="127"/>
      <c r="BC730" s="127"/>
      <c r="BI730" s="75"/>
      <c r="BJ730" s="91"/>
      <c r="BL730" s="76" t="str">
        <f t="shared" si="104"/>
        <v>PT-7</v>
      </c>
      <c r="BM730" s="76" t="str">
        <f t="shared" si="105"/>
        <v>PARTNER</v>
      </c>
      <c r="BN730" s="76">
        <f t="shared" si="106"/>
        <v>0</v>
      </c>
      <c r="BO730" s="76" t="str">
        <f t="shared" si="107"/>
        <v>TFS 0.21*868*907 DR8 СА</v>
      </c>
      <c r="BP730" s="129">
        <f t="shared" si="108"/>
        <v>0</v>
      </c>
      <c r="BQ730" s="387">
        <f t="shared" si="109"/>
        <v>46162</v>
      </c>
    </row>
    <row r="731" s="76" customFormat="1" customHeight="1" spans="1:69">
      <c r="A731" s="76" t="s">
        <v>401</v>
      </c>
      <c r="C731" s="387"/>
      <c r="D731" s="76" t="s">
        <v>862</v>
      </c>
      <c r="E731" s="76" t="s">
        <v>863</v>
      </c>
      <c r="G731" s="479"/>
      <c r="J731" s="129"/>
      <c r="K731" s="129"/>
      <c r="L731" s="129"/>
      <c r="M731" s="129"/>
      <c r="P731" s="91"/>
      <c r="Q731" s="91"/>
      <c r="S731" s="76" t="s">
        <v>888</v>
      </c>
      <c r="T731" s="387">
        <v>45987</v>
      </c>
      <c r="U731" s="387">
        <v>46193</v>
      </c>
      <c r="V731" s="387"/>
      <c r="X731" s="76" t="s">
        <v>889</v>
      </c>
      <c r="Y731" s="76">
        <v>297</v>
      </c>
      <c r="Z731" s="114">
        <v>7190</v>
      </c>
      <c r="AA731" s="114">
        <f t="shared" si="110"/>
        <v>2135430</v>
      </c>
      <c r="AB731" s="114"/>
      <c r="AC731" s="114"/>
      <c r="AD731" s="140"/>
      <c r="AE731" s="114"/>
      <c r="AF731" s="114"/>
      <c r="AG731" s="114"/>
      <c r="AH731" s="114"/>
      <c r="AM731" s="114"/>
      <c r="AN731" s="114"/>
      <c r="AQ731" s="746"/>
      <c r="AR731" s="746"/>
      <c r="AS731" s="387"/>
      <c r="AT731" s="387"/>
      <c r="AW731" s="387"/>
      <c r="AX731" s="129"/>
      <c r="AY731" s="114"/>
      <c r="AZ731" s="127"/>
      <c r="BA731" s="127"/>
      <c r="BB731" s="127"/>
      <c r="BC731" s="127"/>
      <c r="BI731" s="75"/>
      <c r="BJ731" s="91"/>
      <c r="BL731" s="76" t="str">
        <f t="shared" si="104"/>
        <v>PT-7</v>
      </c>
      <c r="BM731" s="76" t="str">
        <f t="shared" si="105"/>
        <v>PARTNER</v>
      </c>
      <c r="BN731" s="76">
        <f t="shared" si="106"/>
        <v>0</v>
      </c>
      <c r="BO731" s="76" t="str">
        <f t="shared" si="107"/>
        <v>ETP 0.17*1057*900 DR7.5 СА 2.8/2.8</v>
      </c>
      <c r="BP731" s="129">
        <f t="shared" si="108"/>
        <v>0</v>
      </c>
      <c r="BQ731" s="387">
        <f t="shared" si="109"/>
        <v>46193</v>
      </c>
    </row>
    <row r="732" s="76" customFormat="1" customHeight="1" spans="1:69">
      <c r="A732" s="76" t="s">
        <v>401</v>
      </c>
      <c r="C732" s="387"/>
      <c r="D732" s="76" t="s">
        <v>862</v>
      </c>
      <c r="E732" s="113" t="s">
        <v>877</v>
      </c>
      <c r="G732" s="479"/>
      <c r="J732" s="129"/>
      <c r="K732" s="129"/>
      <c r="L732" s="129"/>
      <c r="M732" s="129"/>
      <c r="P732" s="91"/>
      <c r="Q732" s="91"/>
      <c r="S732" s="76" t="s">
        <v>888</v>
      </c>
      <c r="T732" s="387">
        <v>45987</v>
      </c>
      <c r="U732" s="387">
        <v>46193</v>
      </c>
      <c r="V732" s="387"/>
      <c r="X732" s="76" t="s">
        <v>890</v>
      </c>
      <c r="Y732" s="76">
        <v>108</v>
      </c>
      <c r="Z732" s="114">
        <v>7090</v>
      </c>
      <c r="AA732" s="114">
        <f t="shared" si="110"/>
        <v>765720</v>
      </c>
      <c r="AB732" s="114"/>
      <c r="AC732" s="114"/>
      <c r="AD732" s="140"/>
      <c r="AE732" s="114"/>
      <c r="AF732" s="114"/>
      <c r="AG732" s="114"/>
      <c r="AH732" s="114"/>
      <c r="AM732" s="114"/>
      <c r="AN732" s="114"/>
      <c r="AQ732" s="746"/>
      <c r="AR732" s="746"/>
      <c r="AS732" s="387"/>
      <c r="AT732" s="387"/>
      <c r="AW732" s="387"/>
      <c r="AX732" s="129"/>
      <c r="AY732" s="114"/>
      <c r="AZ732" s="127"/>
      <c r="BA732" s="127"/>
      <c r="BB732" s="127"/>
      <c r="BC732" s="127"/>
      <c r="BI732" s="75"/>
      <c r="BJ732" s="91"/>
      <c r="BL732" s="76" t="str">
        <f t="shared" si="104"/>
        <v>PT-7</v>
      </c>
      <c r="BM732" s="76" t="str">
        <f t="shared" si="105"/>
        <v>PARTNER</v>
      </c>
      <c r="BN732" s="76">
        <f t="shared" si="106"/>
        <v>0</v>
      </c>
      <c r="BO732" s="76" t="str">
        <f t="shared" si="107"/>
        <v>ETP 0.18*1013*931 DR8 СА</v>
      </c>
      <c r="BP732" s="129">
        <f t="shared" si="108"/>
        <v>0</v>
      </c>
      <c r="BQ732" s="387">
        <f t="shared" si="109"/>
        <v>46193</v>
      </c>
    </row>
    <row r="733" s="76" customFormat="1" customHeight="1" spans="1:69">
      <c r="A733" s="76" t="s">
        <v>401</v>
      </c>
      <c r="C733" s="387"/>
      <c r="D733" s="76" t="s">
        <v>862</v>
      </c>
      <c r="E733" s="76" t="s">
        <v>865</v>
      </c>
      <c r="G733" s="479"/>
      <c r="J733" s="129"/>
      <c r="K733" s="129"/>
      <c r="L733" s="129"/>
      <c r="M733" s="129"/>
      <c r="P733" s="91"/>
      <c r="Q733" s="91"/>
      <c r="S733" s="76" t="s">
        <v>888</v>
      </c>
      <c r="T733" s="387">
        <v>45987</v>
      </c>
      <c r="U733" s="387">
        <v>46193</v>
      </c>
      <c r="V733" s="387"/>
      <c r="X733" s="76" t="s">
        <v>891</v>
      </c>
      <c r="Y733" s="76">
        <v>108</v>
      </c>
      <c r="Z733" s="114">
        <v>7200</v>
      </c>
      <c r="AA733" s="114">
        <f t="shared" si="110"/>
        <v>777600</v>
      </c>
      <c r="AB733" s="114"/>
      <c r="AC733" s="114"/>
      <c r="AD733" s="140"/>
      <c r="AE733" s="114"/>
      <c r="AF733" s="114"/>
      <c r="AG733" s="114"/>
      <c r="AH733" s="114"/>
      <c r="AM733" s="114"/>
      <c r="AN733" s="114"/>
      <c r="AQ733" s="746"/>
      <c r="AR733" s="746"/>
      <c r="AS733" s="387"/>
      <c r="AT733" s="387"/>
      <c r="AW733" s="387"/>
      <c r="AX733" s="129"/>
      <c r="AY733" s="114"/>
      <c r="AZ733" s="127"/>
      <c r="BA733" s="127"/>
      <c r="BB733" s="127"/>
      <c r="BC733" s="127"/>
      <c r="BI733" s="75"/>
      <c r="BJ733" s="91"/>
      <c r="BL733" s="76" t="str">
        <f t="shared" si="104"/>
        <v>PT-7</v>
      </c>
      <c r="BM733" s="76" t="str">
        <f t="shared" si="105"/>
        <v>PARTNER</v>
      </c>
      <c r="BN733" s="76">
        <f t="shared" si="106"/>
        <v>0</v>
      </c>
      <c r="BO733" s="76" t="str">
        <f t="shared" si="107"/>
        <v>TFS 0.21*868*907 DR8 СА</v>
      </c>
      <c r="BP733" s="129">
        <f t="shared" si="108"/>
        <v>0</v>
      </c>
      <c r="BQ733" s="387">
        <f t="shared" si="109"/>
        <v>46193</v>
      </c>
    </row>
    <row r="734" s="76" customFormat="1" customHeight="1" spans="1:69">
      <c r="A734" s="76" t="s">
        <v>401</v>
      </c>
      <c r="C734" s="387"/>
      <c r="D734" s="76" t="s">
        <v>862</v>
      </c>
      <c r="E734" s="76" t="s">
        <v>863</v>
      </c>
      <c r="G734" s="479"/>
      <c r="J734" s="129"/>
      <c r="K734" s="129"/>
      <c r="L734" s="129"/>
      <c r="M734" s="129"/>
      <c r="P734" s="91"/>
      <c r="Q734" s="91"/>
      <c r="S734" s="76" t="s">
        <v>892</v>
      </c>
      <c r="T734" s="387">
        <v>45987</v>
      </c>
      <c r="U734" s="387">
        <v>46223</v>
      </c>
      <c r="V734" s="387"/>
      <c r="X734" s="76" t="s">
        <v>893</v>
      </c>
      <c r="Y734" s="76">
        <v>135</v>
      </c>
      <c r="Z734" s="114">
        <v>7190</v>
      </c>
      <c r="AA734" s="114">
        <f t="shared" si="110"/>
        <v>970650</v>
      </c>
      <c r="AB734" s="114"/>
      <c r="AC734" s="114"/>
      <c r="AD734" s="140"/>
      <c r="AE734" s="114"/>
      <c r="AF734" s="114"/>
      <c r="AG734" s="114"/>
      <c r="AH734" s="114"/>
      <c r="AM734" s="114"/>
      <c r="AN734" s="114"/>
      <c r="AQ734" s="746"/>
      <c r="AR734" s="746"/>
      <c r="AS734" s="387"/>
      <c r="AT734" s="387"/>
      <c r="AW734" s="387"/>
      <c r="AX734" s="129"/>
      <c r="AY734" s="114"/>
      <c r="AZ734" s="127"/>
      <c r="BA734" s="127"/>
      <c r="BB734" s="127"/>
      <c r="BC734" s="127"/>
      <c r="BI734" s="75"/>
      <c r="BJ734" s="91"/>
      <c r="BN734" s="76">
        <f t="shared" si="106"/>
        <v>0</v>
      </c>
      <c r="BP734" s="129"/>
      <c r="BQ734" s="387"/>
    </row>
    <row r="735" s="76" customFormat="1" customHeight="1" spans="1:69">
      <c r="A735" s="76" t="s">
        <v>401</v>
      </c>
      <c r="C735" s="387"/>
      <c r="D735" s="76" t="s">
        <v>862</v>
      </c>
      <c r="E735" s="113" t="s">
        <v>877</v>
      </c>
      <c r="G735" s="479"/>
      <c r="J735" s="129"/>
      <c r="K735" s="129"/>
      <c r="L735" s="129"/>
      <c r="M735" s="129"/>
      <c r="P735" s="91"/>
      <c r="Q735" s="91"/>
      <c r="S735" s="76" t="s">
        <v>892</v>
      </c>
      <c r="T735" s="387">
        <v>45987</v>
      </c>
      <c r="U735" s="387">
        <v>46223</v>
      </c>
      <c r="V735" s="387"/>
      <c r="X735" s="76" t="s">
        <v>894</v>
      </c>
      <c r="Y735" s="76">
        <v>54</v>
      </c>
      <c r="Z735" s="114">
        <v>7090</v>
      </c>
      <c r="AA735" s="114">
        <f t="shared" si="110"/>
        <v>382860</v>
      </c>
      <c r="AB735" s="114"/>
      <c r="AC735" s="114"/>
      <c r="AD735" s="140"/>
      <c r="AE735" s="114"/>
      <c r="AF735" s="114"/>
      <c r="AG735" s="114"/>
      <c r="AH735" s="114"/>
      <c r="AM735" s="114"/>
      <c r="AN735" s="114"/>
      <c r="AQ735" s="746"/>
      <c r="AR735" s="746"/>
      <c r="AS735" s="387"/>
      <c r="AT735" s="387"/>
      <c r="AW735" s="387"/>
      <c r="AX735" s="129"/>
      <c r="AY735" s="114"/>
      <c r="AZ735" s="127"/>
      <c r="BA735" s="127"/>
      <c r="BB735" s="127"/>
      <c r="BC735" s="127"/>
      <c r="BI735" s="75"/>
      <c r="BJ735" s="91"/>
      <c r="BN735" s="76">
        <f t="shared" si="106"/>
        <v>0</v>
      </c>
      <c r="BP735" s="129"/>
      <c r="BQ735" s="387"/>
    </row>
    <row r="736" s="76" customFormat="1" customHeight="1" spans="1:69">
      <c r="A736" s="76" t="s">
        <v>401</v>
      </c>
      <c r="C736" s="387"/>
      <c r="D736" s="76" t="s">
        <v>862</v>
      </c>
      <c r="E736" s="76" t="s">
        <v>865</v>
      </c>
      <c r="G736" s="479"/>
      <c r="J736" s="129"/>
      <c r="K736" s="129"/>
      <c r="L736" s="129"/>
      <c r="M736" s="129"/>
      <c r="P736" s="91"/>
      <c r="Q736" s="91"/>
      <c r="S736" s="76" t="s">
        <v>892</v>
      </c>
      <c r="T736" s="387">
        <v>45987</v>
      </c>
      <c r="U736" s="387">
        <v>46223</v>
      </c>
      <c r="V736" s="387"/>
      <c r="X736" s="76" t="s">
        <v>895</v>
      </c>
      <c r="Y736" s="76">
        <v>162</v>
      </c>
      <c r="Z736" s="114">
        <v>7200</v>
      </c>
      <c r="AA736" s="114">
        <f t="shared" si="110"/>
        <v>1166400</v>
      </c>
      <c r="AB736" s="114"/>
      <c r="AC736" s="114"/>
      <c r="AD736" s="140"/>
      <c r="AE736" s="114"/>
      <c r="AF736" s="114"/>
      <c r="AG736" s="114"/>
      <c r="AH736" s="114"/>
      <c r="AM736" s="114"/>
      <c r="AN736" s="114"/>
      <c r="AQ736" s="746"/>
      <c r="AR736" s="746"/>
      <c r="AS736" s="387"/>
      <c r="AT736" s="387"/>
      <c r="AW736" s="387"/>
      <c r="AX736" s="129"/>
      <c r="AY736" s="114"/>
      <c r="AZ736" s="127"/>
      <c r="BA736" s="127"/>
      <c r="BB736" s="127"/>
      <c r="BC736" s="127"/>
      <c r="BI736" s="75"/>
      <c r="BJ736" s="91"/>
      <c r="BN736" s="76">
        <f t="shared" si="106"/>
        <v>0</v>
      </c>
      <c r="BP736" s="129"/>
      <c r="BQ736" s="387"/>
    </row>
    <row r="737" s="79" customFormat="1" customHeight="1" spans="1:69">
      <c r="C737" s="463"/>
      <c r="D737" s="79" t="s">
        <v>862</v>
      </c>
      <c r="G737" s="486"/>
      <c r="H737" s="79" t="str">
        <f>H713</f>
        <v>PARTNER</v>
      </c>
      <c r="J737" s="79">
        <f>SUM(J713:J715)</f>
        <v>3699</v>
      </c>
      <c r="K737" s="194"/>
      <c r="L737" s="79">
        <f>SUM(L713:L715)</f>
        <v>27822447</v>
      </c>
      <c r="M737" s="194"/>
      <c r="N737" s="79">
        <f>SUM(N713:N736)</f>
        <v>17032293.63</v>
      </c>
      <c r="T737" s="463"/>
      <c r="U737" s="463"/>
      <c r="V737" s="463"/>
      <c r="X737" s="193"/>
      <c r="Y737" s="79">
        <f>SUM(Y714:Y736)</f>
        <v>3683</v>
      </c>
      <c r="Z737" s="192"/>
      <c r="AA737" s="79">
        <f>SUM(AA714:AA733)</f>
        <v>23839471</v>
      </c>
      <c r="AB737" s="79">
        <f>SUM(AB713:AB733)</f>
        <v>2000000</v>
      </c>
      <c r="AC737" s="192"/>
      <c r="AD737" s="196"/>
      <c r="AE737" s="192"/>
      <c r="AF737" s="192"/>
      <c r="AG737" s="192"/>
      <c r="AH737" s="192"/>
      <c r="AM737" s="192"/>
      <c r="AN737" s="192"/>
      <c r="AQ737" s="463">
        <f t="shared" ref="AQ737:AQ746" si="111">V737</f>
        <v>0</v>
      </c>
      <c r="AR737" s="463"/>
      <c r="AS737" s="463"/>
      <c r="AT737" s="463"/>
      <c r="AW737" s="463"/>
      <c r="AX737" s="194"/>
      <c r="AY737" s="192"/>
      <c r="AZ737" s="150"/>
      <c r="BA737" s="150"/>
      <c r="BB737" s="150"/>
      <c r="BC737" s="150"/>
      <c r="BI737" s="151"/>
    </row>
    <row r="738" s="76" customFormat="1" customHeight="1" spans="1:69">
      <c r="A738" s="76" t="s">
        <v>365</v>
      </c>
      <c r="B738" s="76" t="s">
        <v>572</v>
      </c>
      <c r="C738" s="387"/>
      <c r="D738" s="76" t="s">
        <v>896</v>
      </c>
      <c r="E738" s="76" t="s">
        <v>639</v>
      </c>
      <c r="G738" s="479">
        <f>93937.5+1339815.17+235742.52+26193.61</f>
        <v>1695688.8</v>
      </c>
      <c r="H738" s="76" t="s">
        <v>93</v>
      </c>
      <c r="J738" s="190">
        <v>160</v>
      </c>
      <c r="K738" s="129">
        <f>Z738+280</f>
        <v>6080</v>
      </c>
      <c r="L738" s="129">
        <f>J738*K738</f>
        <v>972800</v>
      </c>
      <c r="M738" s="129"/>
      <c r="N738" s="76">
        <v>1024632</v>
      </c>
      <c r="P738" s="91"/>
      <c r="Q738" s="91"/>
      <c r="R738" s="76" t="s">
        <v>88</v>
      </c>
      <c r="S738" s="76" t="s">
        <v>897</v>
      </c>
      <c r="T738" s="387">
        <v>45859</v>
      </c>
      <c r="U738" s="387">
        <f>T738+45</f>
        <v>45904</v>
      </c>
      <c r="V738" s="387" t="s">
        <v>441</v>
      </c>
      <c r="X738" s="133" t="s">
        <v>90</v>
      </c>
      <c r="Y738" s="76">
        <v>160</v>
      </c>
      <c r="Z738" s="114">
        <v>5800</v>
      </c>
      <c r="AA738" s="114">
        <f>Y738*Z738</f>
        <v>928000</v>
      </c>
      <c r="AB738" s="114"/>
      <c r="AC738" s="114"/>
      <c r="AD738" s="140"/>
      <c r="AE738" s="114"/>
      <c r="AF738" s="114"/>
      <c r="AG738" s="114"/>
      <c r="AH738" s="114"/>
      <c r="AI738" s="91"/>
      <c r="AK738" s="76">
        <v>168.525</v>
      </c>
      <c r="AL738" s="76">
        <v>6080</v>
      </c>
      <c r="AM738" s="114">
        <f>AL738*AK738</f>
        <v>1024632</v>
      </c>
      <c r="AN738" s="114">
        <v>1024632</v>
      </c>
      <c r="AO738" s="76">
        <f>AM738-AN738</f>
        <v>0</v>
      </c>
      <c r="AP738" s="91"/>
      <c r="AQ738" s="387" t="s">
        <v>436</v>
      </c>
      <c r="AR738" s="387"/>
      <c r="AS738" s="387"/>
      <c r="AT738" s="387" t="s">
        <v>367</v>
      </c>
      <c r="AU738" s="76" t="s">
        <v>898</v>
      </c>
      <c r="AV738" s="76">
        <v>9</v>
      </c>
      <c r="AW738" s="387">
        <v>45983</v>
      </c>
      <c r="AX738" s="129"/>
      <c r="AY738" s="114"/>
      <c r="AZ738" s="127"/>
      <c r="BA738" s="127"/>
      <c r="BB738" s="127"/>
      <c r="BC738" s="127"/>
      <c r="BI738" s="75"/>
      <c r="BJ738" s="91"/>
      <c r="BL738" s="76" t="str">
        <f>D738</f>
        <v>TJTW-97</v>
      </c>
      <c r="BM738" s="76" t="str">
        <f>A738</f>
        <v>PLK</v>
      </c>
      <c r="BN738" s="76">
        <f>C738</f>
        <v>0</v>
      </c>
      <c r="BO738" s="76" t="str">
        <f>E738</f>
        <v>0.16*820*C T4 2.0/2.0</v>
      </c>
      <c r="BP738" s="129">
        <f>J738</f>
        <v>160</v>
      </c>
      <c r="BQ738" s="387">
        <f>U738</f>
        <v>45904</v>
      </c>
    </row>
    <row r="739" s="76" customFormat="1" customHeight="1" spans="1:69">
      <c r="A739" s="76" t="s">
        <v>365</v>
      </c>
      <c r="B739" s="76" t="s">
        <v>572</v>
      </c>
      <c r="C739" s="387"/>
      <c r="D739" s="76" t="s">
        <v>896</v>
      </c>
      <c r="E739" s="76" t="s">
        <v>637</v>
      </c>
      <c r="G739" s="479"/>
      <c r="H739" s="76" t="s">
        <v>93</v>
      </c>
      <c r="J739" s="190">
        <v>81</v>
      </c>
      <c r="K739" s="129">
        <f>Z739+280</f>
        <v>6180</v>
      </c>
      <c r="L739" s="129">
        <f>J739*K739</f>
        <v>500580</v>
      </c>
      <c r="M739" s="129"/>
      <c r="N739" s="76">
        <f>315183.17+235742.52+26193.6100000001</f>
        <v>577119.3</v>
      </c>
      <c r="P739" s="91"/>
      <c r="Q739" s="91"/>
      <c r="R739" s="76" t="s">
        <v>88</v>
      </c>
      <c r="S739" s="76" t="s">
        <v>899</v>
      </c>
      <c r="T739" s="387">
        <v>45859</v>
      </c>
      <c r="U739" s="387">
        <f>T739+45</f>
        <v>45904</v>
      </c>
      <c r="V739" s="387" t="s">
        <v>441</v>
      </c>
      <c r="X739" s="133" t="s">
        <v>90</v>
      </c>
      <c r="Y739" s="76">
        <v>81</v>
      </c>
      <c r="Z739" s="114">
        <v>5900</v>
      </c>
      <c r="AA739" s="114">
        <f>Y739*Z739</f>
        <v>477900</v>
      </c>
      <c r="AB739" s="114"/>
      <c r="AC739" s="114"/>
      <c r="AD739" s="140"/>
      <c r="AE739" s="114"/>
      <c r="AF739" s="114"/>
      <c r="AG739" s="114"/>
      <c r="AH739" s="114"/>
      <c r="AK739" s="76">
        <v>93.385</v>
      </c>
      <c r="AL739" s="76">
        <v>6180</v>
      </c>
      <c r="AM739" s="114">
        <f>AL739*AK739</f>
        <v>577119.3</v>
      </c>
      <c r="AN739" s="114">
        <f>315183.17+235742.52+26193.6100000001</f>
        <v>577119.3</v>
      </c>
      <c r="AO739" s="76">
        <f>AM739-AN739</f>
        <v>0</v>
      </c>
      <c r="AQ739" s="387"/>
      <c r="AR739" s="387"/>
      <c r="AS739" s="387"/>
      <c r="AT739" s="387"/>
      <c r="AW739" s="387"/>
      <c r="AX739" s="129"/>
      <c r="AY739" s="114"/>
      <c r="AZ739" s="127"/>
      <c r="BA739" s="127"/>
      <c r="BB739" s="127"/>
      <c r="BC739" s="127"/>
      <c r="BI739" s="75"/>
      <c r="BJ739" s="91"/>
      <c r="BL739" s="76" t="str">
        <f>D739</f>
        <v>TJTW-97</v>
      </c>
      <c r="BM739" s="76" t="str">
        <f>A739</f>
        <v>PLK</v>
      </c>
      <c r="BN739" s="76">
        <f>C739</f>
        <v>0</v>
      </c>
      <c r="BO739" s="76" t="str">
        <f>E739</f>
        <v>0.16*875*C DR8.5 2.0/2.0</v>
      </c>
      <c r="BP739" s="129">
        <f>J739</f>
        <v>81</v>
      </c>
      <c r="BQ739" s="387">
        <f>U739</f>
        <v>45904</v>
      </c>
    </row>
    <row r="740" s="79" customFormat="1" customHeight="1" spans="1:69">
      <c r="A740" s="79" t="s">
        <v>365</v>
      </c>
      <c r="B740" s="79" t="s">
        <v>572</v>
      </c>
      <c r="C740" s="463"/>
      <c r="D740" s="79" t="s">
        <v>896</v>
      </c>
      <c r="G740" s="486"/>
      <c r="K740" s="194"/>
      <c r="L740" s="79">
        <f>SUM(L738:L739)</f>
        <v>1473380</v>
      </c>
      <c r="M740" s="194"/>
      <c r="N740" s="79">
        <f>SUM(N738:N739)</f>
        <v>1601751.3</v>
      </c>
      <c r="T740" s="463"/>
      <c r="U740" s="463"/>
      <c r="V740" s="463" t="s">
        <v>441</v>
      </c>
      <c r="X740" s="193"/>
      <c r="Z740" s="192"/>
      <c r="AA740" s="79">
        <f>SUM(AA738:AA739)</f>
        <v>1405900</v>
      </c>
      <c r="AB740" s="192"/>
      <c r="AC740" s="192"/>
      <c r="AD740" s="196"/>
      <c r="AE740" s="192"/>
      <c r="AF740" s="192"/>
      <c r="AG740" s="192"/>
      <c r="AH740" s="192"/>
      <c r="AM740" s="192">
        <f>SUM(AM738:AM739)</f>
        <v>1601751.3</v>
      </c>
      <c r="AN740" s="192">
        <f>SUM(AN738:AN739)</f>
        <v>1601751.3</v>
      </c>
      <c r="AQ740" s="463" t="str">
        <f t="shared" si="111"/>
        <v>Shipped</v>
      </c>
      <c r="AR740" s="463"/>
      <c r="AS740" s="463"/>
      <c r="AT740" s="463"/>
      <c r="AW740" s="463"/>
      <c r="AX740" s="194"/>
      <c r="AY740" s="192"/>
      <c r="AZ740" s="150"/>
      <c r="BA740" s="150"/>
      <c r="BB740" s="150"/>
      <c r="BC740" s="150"/>
      <c r="BI740" s="151"/>
    </row>
    <row r="741" s="76" customFormat="1" customHeight="1" spans="1:69">
      <c r="A741" s="76" t="s">
        <v>744</v>
      </c>
      <c r="B741" s="76" t="s">
        <v>456</v>
      </c>
      <c r="C741" s="387" t="s">
        <v>900</v>
      </c>
      <c r="D741" s="76" t="s">
        <v>901</v>
      </c>
      <c r="E741" s="76" t="s">
        <v>902</v>
      </c>
      <c r="G741" s="479">
        <v>13</v>
      </c>
      <c r="H741" s="76" t="s">
        <v>93</v>
      </c>
      <c r="J741" s="129">
        <v>54</v>
      </c>
      <c r="K741" s="129">
        <f>Z741+250</f>
        <v>5800</v>
      </c>
      <c r="L741" s="129">
        <f t="shared" ref="L741:L746" si="112">J741*K741</f>
        <v>313200</v>
      </c>
      <c r="M741" s="129"/>
      <c r="N741" s="76">
        <v>209150.29</v>
      </c>
      <c r="P741" s="91"/>
      <c r="Q741" s="91"/>
      <c r="S741" s="76" t="s">
        <v>903</v>
      </c>
      <c r="T741" s="387">
        <v>45978</v>
      </c>
      <c r="U741" s="387">
        <f t="shared" ref="U741:U746" si="113">T741+60</f>
        <v>46038</v>
      </c>
      <c r="V741" s="387">
        <v>46038</v>
      </c>
      <c r="X741" s="133" t="s">
        <v>90</v>
      </c>
      <c r="Y741" s="76">
        <v>54</v>
      </c>
      <c r="Z741" s="114">
        <v>5550</v>
      </c>
      <c r="AA741" s="114">
        <f t="shared" ref="AA741:AA746" si="114">Y741*Z741</f>
        <v>299700</v>
      </c>
      <c r="AB741" s="114"/>
      <c r="AC741" s="114"/>
      <c r="AD741" s="140"/>
      <c r="AE741" s="114"/>
      <c r="AF741" s="114"/>
      <c r="AG741" s="114"/>
      <c r="AH741" s="114"/>
      <c r="AL741" s="76">
        <v>5800</v>
      </c>
      <c r="AM741" s="114"/>
      <c r="AN741" s="114">
        <v>209150.29</v>
      </c>
      <c r="AQ741" s="746">
        <f t="shared" si="111"/>
        <v>46038</v>
      </c>
      <c r="AR741" s="387">
        <f t="shared" ref="AR741:AR746" si="115">V741-30</f>
        <v>46008</v>
      </c>
      <c r="AS741" s="387"/>
      <c r="AT741" s="387" t="s">
        <v>298</v>
      </c>
      <c r="AU741" s="76" t="s">
        <v>904</v>
      </c>
      <c r="AV741" s="76">
        <v>1</v>
      </c>
      <c r="AW741" s="387">
        <v>46105</v>
      </c>
      <c r="AX741" s="129"/>
      <c r="AY741" s="114"/>
      <c r="AZ741" s="127"/>
      <c r="BA741" s="127"/>
      <c r="BB741" s="127"/>
      <c r="BC741" s="127"/>
      <c r="BI741" s="75"/>
      <c r="BJ741" s="91"/>
      <c r="BL741" s="76" t="str">
        <f t="shared" ref="BL741:BL746" si="116">D741</f>
        <v>TJTW-100</v>
      </c>
      <c r="BM741" s="76" t="str">
        <f t="shared" ref="BM741:BM746" si="117">A741</f>
        <v>SKARDA</v>
      </c>
      <c r="BN741" s="76" t="s">
        <v>900</v>
      </c>
      <c r="BO741" s="76" t="str">
        <f t="shared" ref="BO741:BO746" si="118">E741</f>
        <v>0.18*862*782 Scroll Sheets T5 2.8/2.8</v>
      </c>
      <c r="BP741" s="129">
        <f t="shared" ref="BP741:BP746" si="119">J741</f>
        <v>54</v>
      </c>
      <c r="BQ741" s="387">
        <f t="shared" ref="BQ741:BQ746" si="120">U741</f>
        <v>46038</v>
      </c>
    </row>
    <row r="742" s="76" customFormat="1" customHeight="1" spans="1:69">
      <c r="A742" s="76" t="s">
        <v>744</v>
      </c>
      <c r="B742" s="76" t="s">
        <v>456</v>
      </c>
      <c r="C742" s="387" t="s">
        <v>900</v>
      </c>
      <c r="D742" s="76" t="s">
        <v>901</v>
      </c>
      <c r="E742" s="76" t="s">
        <v>905</v>
      </c>
      <c r="G742" s="479">
        <v>10</v>
      </c>
      <c r="H742" s="76" t="s">
        <v>93</v>
      </c>
      <c r="J742" s="129">
        <v>54</v>
      </c>
      <c r="K742" s="129">
        <f>Z742+250</f>
        <v>5800</v>
      </c>
      <c r="L742" s="129">
        <f t="shared" si="112"/>
        <v>313200</v>
      </c>
      <c r="M742" s="129"/>
      <c r="N742" s="114">
        <v>155778.71</v>
      </c>
      <c r="P742" s="91"/>
      <c r="Q742" s="91"/>
      <c r="S742" s="76" t="s">
        <v>903</v>
      </c>
      <c r="T742" s="387">
        <v>45978</v>
      </c>
      <c r="U742" s="387">
        <f t="shared" si="113"/>
        <v>46038</v>
      </c>
      <c r="V742" s="387">
        <v>46038</v>
      </c>
      <c r="X742" s="133" t="s">
        <v>90</v>
      </c>
      <c r="Y742" s="76">
        <v>54</v>
      </c>
      <c r="Z742" s="114">
        <v>5550</v>
      </c>
      <c r="AA742" s="114">
        <f t="shared" si="114"/>
        <v>299700</v>
      </c>
      <c r="AB742" s="114"/>
      <c r="AC742" s="114"/>
      <c r="AD742" s="140"/>
      <c r="AE742" s="114"/>
      <c r="AF742" s="114"/>
      <c r="AG742" s="114"/>
      <c r="AH742" s="114"/>
      <c r="AL742" s="76">
        <v>5800</v>
      </c>
      <c r="AM742" s="114"/>
      <c r="AN742" s="114">
        <v>155778.71</v>
      </c>
      <c r="AQ742" s="746">
        <f t="shared" si="111"/>
        <v>46038</v>
      </c>
      <c r="AR742" s="387">
        <f t="shared" si="115"/>
        <v>46008</v>
      </c>
      <c r="AS742" s="387"/>
      <c r="AT742" s="387"/>
      <c r="AV742" s="76">
        <v>1</v>
      </c>
      <c r="AW742" s="387"/>
      <c r="AX742" s="129"/>
      <c r="AY742" s="114"/>
      <c r="AZ742" s="127"/>
      <c r="BA742" s="127"/>
      <c r="BB742" s="127"/>
      <c r="BC742" s="127"/>
      <c r="BI742" s="75"/>
      <c r="BJ742" s="91"/>
      <c r="BL742" s="76" t="str">
        <f t="shared" si="116"/>
        <v>TJTW-100</v>
      </c>
      <c r="BM742" s="76" t="str">
        <f t="shared" si="117"/>
        <v>SKARDA</v>
      </c>
      <c r="BN742" s="76" t="s">
        <v>900</v>
      </c>
      <c r="BO742" s="76" t="str">
        <f t="shared" si="118"/>
        <v>0.18*890*807.3 Scroll Sheets T5 2.8/2.8</v>
      </c>
      <c r="BP742" s="129">
        <f t="shared" si="119"/>
        <v>54</v>
      </c>
      <c r="BQ742" s="387">
        <f t="shared" si="120"/>
        <v>46038</v>
      </c>
    </row>
    <row r="743" s="76" customFormat="1" customHeight="1" spans="1:69">
      <c r="A743" s="76" t="s">
        <v>744</v>
      </c>
      <c r="B743" s="76" t="s">
        <v>456</v>
      </c>
      <c r="C743" s="387" t="s">
        <v>900</v>
      </c>
      <c r="D743" s="76" t="s">
        <v>901</v>
      </c>
      <c r="E743" s="76" t="s">
        <v>906</v>
      </c>
      <c r="G743" s="479"/>
      <c r="H743" s="76" t="s">
        <v>93</v>
      </c>
      <c r="J743" s="129">
        <v>54</v>
      </c>
      <c r="K743" s="129">
        <f>Z743+250</f>
        <v>5910</v>
      </c>
      <c r="L743" s="129">
        <f t="shared" si="112"/>
        <v>319140</v>
      </c>
      <c r="M743" s="129"/>
      <c r="N743" s="76">
        <v>1284438.12</v>
      </c>
      <c r="P743" s="91"/>
      <c r="Q743" s="91"/>
      <c r="S743" s="76" t="s">
        <v>903</v>
      </c>
      <c r="T743" s="387">
        <v>45978</v>
      </c>
      <c r="U743" s="387">
        <f t="shared" si="113"/>
        <v>46038</v>
      </c>
      <c r="V743" s="387">
        <v>46038</v>
      </c>
      <c r="X743" s="133" t="s">
        <v>90</v>
      </c>
      <c r="Y743" s="76">
        <v>54</v>
      </c>
      <c r="Z743" s="114">
        <v>5660</v>
      </c>
      <c r="AA743" s="114">
        <f t="shared" si="114"/>
        <v>305640</v>
      </c>
      <c r="AB743" s="114"/>
      <c r="AC743" s="114"/>
      <c r="AD743" s="140"/>
      <c r="AE743" s="114"/>
      <c r="AF743" s="114"/>
      <c r="AG743" s="114"/>
      <c r="AH743" s="114"/>
      <c r="AL743" s="76">
        <v>5910</v>
      </c>
      <c r="AM743" s="114"/>
      <c r="AN743" s="114">
        <v>1284438.12</v>
      </c>
      <c r="AQ743" s="746">
        <f t="shared" si="111"/>
        <v>46038</v>
      </c>
      <c r="AR743" s="387">
        <f t="shared" si="115"/>
        <v>46008</v>
      </c>
      <c r="AS743" s="387"/>
      <c r="AT743" s="387"/>
      <c r="AW743" s="387"/>
      <c r="AX743" s="129"/>
      <c r="AY743" s="114"/>
      <c r="AZ743" s="127"/>
      <c r="BA743" s="127"/>
      <c r="BB743" s="127"/>
      <c r="BC743" s="127"/>
      <c r="BI743" s="75"/>
      <c r="BJ743" s="91"/>
      <c r="BL743" s="76" t="str">
        <f t="shared" si="116"/>
        <v>TJTW-100</v>
      </c>
      <c r="BM743" s="76" t="str">
        <f t="shared" si="117"/>
        <v>SKARDA</v>
      </c>
      <c r="BN743" s="76" t="s">
        <v>900</v>
      </c>
      <c r="BO743" s="76" t="str">
        <f t="shared" si="118"/>
        <v>0.17*944*795 Sheets T4 2.8/2.8</v>
      </c>
      <c r="BP743" s="129">
        <f t="shared" si="119"/>
        <v>54</v>
      </c>
      <c r="BQ743" s="387">
        <f t="shared" si="120"/>
        <v>46038</v>
      </c>
    </row>
    <row r="744" s="76" customFormat="1" customHeight="1" spans="1:69">
      <c r="A744" s="76" t="s">
        <v>744</v>
      </c>
      <c r="B744" s="76" t="s">
        <v>456</v>
      </c>
      <c r="C744" s="387" t="s">
        <v>900</v>
      </c>
      <c r="D744" s="76" t="s">
        <v>901</v>
      </c>
      <c r="E744" s="76" t="s">
        <v>907</v>
      </c>
      <c r="G744" s="479">
        <v>7</v>
      </c>
      <c r="H744" s="76" t="s">
        <v>93</v>
      </c>
      <c r="J744" s="129">
        <v>27</v>
      </c>
      <c r="K744" s="129">
        <f>Z744+250</f>
        <v>5850</v>
      </c>
      <c r="L744" s="129">
        <f t="shared" si="112"/>
        <v>157950</v>
      </c>
      <c r="M744" s="129"/>
      <c r="N744" s="76">
        <v>155838.15</v>
      </c>
      <c r="P744" s="91"/>
      <c r="Q744" s="91"/>
      <c r="S744" s="76" t="s">
        <v>903</v>
      </c>
      <c r="T744" s="387">
        <v>45978</v>
      </c>
      <c r="U744" s="387">
        <v>46087</v>
      </c>
      <c r="V744" s="387">
        <v>46038</v>
      </c>
      <c r="X744" s="133" t="s">
        <v>90</v>
      </c>
      <c r="Y744" s="76">
        <v>27</v>
      </c>
      <c r="Z744" s="114">
        <v>5600</v>
      </c>
      <c r="AA744" s="114">
        <f t="shared" si="114"/>
        <v>151200</v>
      </c>
      <c r="AB744" s="114"/>
      <c r="AC744" s="114"/>
      <c r="AD744" s="140"/>
      <c r="AE744" s="114"/>
      <c r="AF744" s="114"/>
      <c r="AG744" s="114"/>
      <c r="AH744" s="114"/>
      <c r="AL744" s="76">
        <v>5850</v>
      </c>
      <c r="AM744" s="114"/>
      <c r="AN744" s="114">
        <v>155838.15</v>
      </c>
      <c r="AQ744" s="746">
        <f t="shared" si="111"/>
        <v>46038</v>
      </c>
      <c r="AR744" s="387">
        <f t="shared" si="115"/>
        <v>46008</v>
      </c>
      <c r="AS744" s="387"/>
      <c r="AT744" s="387"/>
      <c r="AW744" s="387"/>
      <c r="AX744" s="129"/>
      <c r="AY744" s="114"/>
      <c r="AZ744" s="127"/>
      <c r="BA744" s="127"/>
      <c r="BB744" s="127"/>
      <c r="BC744" s="127"/>
      <c r="BI744" s="75"/>
      <c r="BJ744" s="91"/>
      <c r="BL744" s="76" t="str">
        <f t="shared" si="116"/>
        <v>TJTW-100</v>
      </c>
      <c r="BM744" s="76" t="str">
        <f t="shared" si="117"/>
        <v>SKARDA</v>
      </c>
      <c r="BN744" s="76" t="s">
        <v>900</v>
      </c>
      <c r="BO744" s="76" t="str">
        <f t="shared" si="118"/>
        <v>0.16*892*808.4 Scroll Sheets T4 2.0/2.0</v>
      </c>
      <c r="BP744" s="129">
        <f t="shared" si="119"/>
        <v>27</v>
      </c>
      <c r="BQ744" s="387">
        <f t="shared" si="120"/>
        <v>46087</v>
      </c>
    </row>
    <row r="745" s="76" customFormat="1" customHeight="1" spans="1:69">
      <c r="A745" s="76" t="s">
        <v>744</v>
      </c>
      <c r="B745" s="76" t="s">
        <v>456</v>
      </c>
      <c r="C745" s="387" t="s">
        <v>900</v>
      </c>
      <c r="D745" s="76" t="s">
        <v>901</v>
      </c>
      <c r="E745" s="76" t="s">
        <v>908</v>
      </c>
      <c r="G745" s="479">
        <v>7</v>
      </c>
      <c r="H745" s="76" t="s">
        <v>93</v>
      </c>
      <c r="J745" s="129">
        <v>54</v>
      </c>
      <c r="K745" s="129">
        <f>Z745+250</f>
        <v>5650</v>
      </c>
      <c r="L745" s="129">
        <f t="shared" si="112"/>
        <v>305100</v>
      </c>
      <c r="M745" s="129"/>
      <c r="N745" s="76">
        <v>96409.4</v>
      </c>
      <c r="P745" s="91"/>
      <c r="Q745" s="91"/>
      <c r="S745" s="76" t="s">
        <v>903</v>
      </c>
      <c r="T745" s="387">
        <v>45978</v>
      </c>
      <c r="U745" s="387">
        <f t="shared" si="113"/>
        <v>46038</v>
      </c>
      <c r="V745" s="387">
        <v>46038</v>
      </c>
      <c r="X745" s="133" t="s">
        <v>90</v>
      </c>
      <c r="Y745" s="76">
        <v>54</v>
      </c>
      <c r="Z745" s="114">
        <v>5400</v>
      </c>
      <c r="AA745" s="114">
        <f t="shared" si="114"/>
        <v>291600</v>
      </c>
      <c r="AB745" s="114"/>
      <c r="AC745" s="114"/>
      <c r="AD745" s="140"/>
      <c r="AE745" s="114"/>
      <c r="AF745" s="114"/>
      <c r="AG745" s="114"/>
      <c r="AH745" s="114"/>
      <c r="AL745" s="76">
        <v>5650</v>
      </c>
      <c r="AM745" s="114"/>
      <c r="AN745" s="76">
        <v>96409.4</v>
      </c>
      <c r="AQ745" s="746">
        <f t="shared" si="111"/>
        <v>46038</v>
      </c>
      <c r="AR745" s="387">
        <f t="shared" si="115"/>
        <v>46008</v>
      </c>
      <c r="AS745" s="387"/>
      <c r="AT745" s="387"/>
      <c r="AW745" s="387"/>
      <c r="AX745" s="129"/>
      <c r="AY745" s="114"/>
      <c r="AZ745" s="127"/>
      <c r="BA745" s="127"/>
      <c r="BB745" s="127"/>
      <c r="BC745" s="127"/>
      <c r="BI745" s="75"/>
      <c r="BJ745" s="91"/>
      <c r="BL745" s="76" t="str">
        <f t="shared" si="116"/>
        <v>TJTW-100</v>
      </c>
      <c r="BM745" s="76" t="str">
        <f t="shared" si="117"/>
        <v>SKARDA</v>
      </c>
      <c r="BN745" s="76" t="s">
        <v>900</v>
      </c>
      <c r="BO745" s="76" t="str">
        <f t="shared" si="118"/>
        <v>0.20*892*808.4 Scroll Sheets T3 2.8/2.8</v>
      </c>
      <c r="BP745" s="129">
        <f t="shared" si="119"/>
        <v>54</v>
      </c>
      <c r="BQ745" s="387">
        <f t="shared" si="120"/>
        <v>46038</v>
      </c>
    </row>
    <row r="746" s="76" customFormat="1" customHeight="1" spans="1:69">
      <c r="A746" s="76" t="s">
        <v>744</v>
      </c>
      <c r="B746" s="76" t="s">
        <v>456</v>
      </c>
      <c r="C746" s="387" t="s">
        <v>900</v>
      </c>
      <c r="D746" s="76" t="s">
        <v>901</v>
      </c>
      <c r="E746" s="76" t="s">
        <v>909</v>
      </c>
      <c r="G746" s="479">
        <v>8</v>
      </c>
      <c r="H746" s="76" t="s">
        <v>93</v>
      </c>
      <c r="J746" s="129">
        <v>108</v>
      </c>
      <c r="K746" s="129">
        <f>Z746+340</f>
        <v>5640</v>
      </c>
      <c r="L746" s="129">
        <f t="shared" si="112"/>
        <v>609120</v>
      </c>
      <c r="M746" s="129"/>
      <c r="N746" s="76">
        <v>60912</v>
      </c>
      <c r="P746" s="91"/>
      <c r="Q746" s="91"/>
      <c r="S746" s="76" t="s">
        <v>910</v>
      </c>
      <c r="T746" s="387">
        <v>45978</v>
      </c>
      <c r="U746" s="387">
        <f t="shared" si="113"/>
        <v>46038</v>
      </c>
      <c r="V746" s="387">
        <v>46038</v>
      </c>
      <c r="X746" s="133" t="s">
        <v>90</v>
      </c>
      <c r="Y746" s="76">
        <v>108</v>
      </c>
      <c r="Z746" s="114">
        <v>5300</v>
      </c>
      <c r="AA746" s="114">
        <f t="shared" si="114"/>
        <v>572400</v>
      </c>
      <c r="AB746" s="114">
        <v>57240</v>
      </c>
      <c r="AC746" s="114">
        <f>AA746-AB746</f>
        <v>515160</v>
      </c>
      <c r="AD746" s="140"/>
      <c r="AE746" s="114"/>
      <c r="AF746" s="114"/>
      <c r="AG746" s="114"/>
      <c r="AH746" s="114"/>
      <c r="AL746" s="76">
        <v>5640</v>
      </c>
      <c r="AM746" s="114"/>
      <c r="AN746" s="114">
        <v>60912</v>
      </c>
      <c r="AQ746" s="746">
        <f t="shared" si="111"/>
        <v>46038</v>
      </c>
      <c r="AR746" s="387">
        <f t="shared" si="115"/>
        <v>46008</v>
      </c>
      <c r="AS746" s="387"/>
      <c r="AT746" s="387"/>
      <c r="AW746" s="387"/>
      <c r="AX746" s="129"/>
      <c r="AY746" s="114"/>
      <c r="AZ746" s="127"/>
      <c r="BA746" s="127"/>
      <c r="BB746" s="127"/>
      <c r="BC746" s="127"/>
      <c r="BI746" s="75"/>
      <c r="BJ746" s="91"/>
      <c r="BL746" s="76" t="str">
        <f t="shared" si="116"/>
        <v>TJTW-100</v>
      </c>
      <c r="BM746" s="76" t="str">
        <f t="shared" si="117"/>
        <v>SKARDA</v>
      </c>
      <c r="BN746" s="76" t="s">
        <v>900</v>
      </c>
      <c r="BO746" s="76" t="str">
        <f t="shared" si="118"/>
        <v>0.15*868*872.4 Scroll Sheets DR9 1.0/1.0</v>
      </c>
      <c r="BP746" s="129">
        <f t="shared" si="119"/>
        <v>108</v>
      </c>
      <c r="BQ746" s="387">
        <f t="shared" si="120"/>
        <v>46038</v>
      </c>
    </row>
    <row r="747" s="79" customFormat="1" customHeight="1" spans="1:69">
      <c r="A747" s="79" t="s">
        <v>744</v>
      </c>
      <c r="B747" s="79" t="s">
        <v>456</v>
      </c>
      <c r="C747" s="463" t="s">
        <v>900</v>
      </c>
      <c r="D747" s="79" t="s">
        <v>901</v>
      </c>
      <c r="G747" s="486"/>
      <c r="J747" s="79">
        <f>SUM(J741:J746)</f>
        <v>351</v>
      </c>
      <c r="K747" s="194"/>
      <c r="L747" s="79">
        <f>SUM(L741:L746)</f>
        <v>2017710</v>
      </c>
      <c r="M747" s="194"/>
      <c r="T747" s="463"/>
      <c r="U747" s="463"/>
      <c r="V747" s="463">
        <v>45673</v>
      </c>
      <c r="X747" s="193" t="s">
        <v>90</v>
      </c>
      <c r="Y747" s="79">
        <f>SUM(Y741:Y746)</f>
        <v>351</v>
      </c>
      <c r="AA747" s="79">
        <f>SUM(AA741:AA746)</f>
        <v>1920240</v>
      </c>
      <c r="AB747" s="192"/>
      <c r="AC747" s="192"/>
      <c r="AD747" s="196"/>
      <c r="AE747" s="192"/>
      <c r="AF747" s="192"/>
      <c r="AG747" s="192"/>
      <c r="AH747" s="192"/>
      <c r="AM747" s="192"/>
      <c r="AN747" s="192"/>
      <c r="AQ747" s="463">
        <f t="shared" ref="AQ747:AQ756" si="121">V747</f>
        <v>45673</v>
      </c>
      <c r="AR747" s="463"/>
      <c r="AS747" s="463"/>
      <c r="AT747" s="463"/>
      <c r="AW747" s="463"/>
      <c r="AX747" s="194"/>
      <c r="AY747" s="192"/>
      <c r="AZ747" s="150"/>
      <c r="BA747" s="150"/>
      <c r="BB747" s="150"/>
      <c r="BC747" s="150"/>
      <c r="BI747" s="151"/>
      <c r="BN747" s="79" t="str">
        <f>C747</f>
        <v>TW 2025-11-12-1</v>
      </c>
    </row>
    <row r="748" s="76" customFormat="1" customHeight="1" outlineLevel="1" spans="1:69">
      <c r="A748" s="387" t="s">
        <v>142</v>
      </c>
      <c r="B748" s="387" t="s">
        <v>440</v>
      </c>
      <c r="C748" s="387"/>
      <c r="D748" s="76" t="s">
        <v>911</v>
      </c>
      <c r="E748" s="76" t="s">
        <v>912</v>
      </c>
      <c r="G748" s="586"/>
      <c r="J748" s="264">
        <v>1960400</v>
      </c>
      <c r="K748" s="373">
        <v>0.01818</v>
      </c>
      <c r="L748" s="483">
        <f>J748*K748</f>
        <v>35640.072</v>
      </c>
      <c r="M748" s="114">
        <f>L748*0.2</f>
        <v>7128.0144</v>
      </c>
      <c r="N748" s="76">
        <f>7128.01+28512.062</f>
        <v>35640.072</v>
      </c>
      <c r="O748" s="76">
        <f>L748-N748</f>
        <v>0</v>
      </c>
      <c r="P748" s="91"/>
      <c r="Q748" s="91"/>
      <c r="R748" s="76" t="s">
        <v>88</v>
      </c>
      <c r="S748" s="76" t="s">
        <v>913</v>
      </c>
      <c r="T748" s="387">
        <v>45988</v>
      </c>
      <c r="U748" s="387">
        <f>T748+15</f>
        <v>46003</v>
      </c>
      <c r="V748" s="387">
        <f>T748+25</f>
        <v>46013</v>
      </c>
      <c r="X748" s="133" t="s">
        <v>90</v>
      </c>
      <c r="Y748" s="76">
        <v>1960400</v>
      </c>
      <c r="Z748" s="140">
        <v>0.135</v>
      </c>
      <c r="AA748" s="114">
        <f>Y748*Z748</f>
        <v>264654</v>
      </c>
      <c r="AB748" s="114"/>
      <c r="AC748" s="114">
        <f>AA748-AB748</f>
        <v>264654</v>
      </c>
      <c r="AD748" s="140"/>
      <c r="AE748" s="114"/>
      <c r="AF748" s="114"/>
      <c r="AG748" s="114"/>
      <c r="AH748" s="114"/>
      <c r="AI748" s="91"/>
      <c r="AL748" s="263"/>
      <c r="AM748" s="114"/>
      <c r="AN748" s="76">
        <f>7128.01+28512.062</f>
        <v>35640.072</v>
      </c>
      <c r="AO748" s="141"/>
      <c r="AP748" s="91"/>
      <c r="AQ748" s="387"/>
      <c r="AR748" s="387">
        <f t="shared" ref="AR748:AR756" si="122">V748-30</f>
        <v>45983</v>
      </c>
      <c r="AS748" s="387"/>
      <c r="AT748" s="387"/>
      <c r="AW748" s="387"/>
      <c r="AY748" s="263"/>
      <c r="AZ748" s="127"/>
      <c r="BA748" s="127"/>
      <c r="BB748" s="127"/>
      <c r="BC748" s="127"/>
      <c r="BJ748" s="91"/>
      <c r="BL748" s="76" t="str">
        <f>D748</f>
        <v>TJTW-101</v>
      </c>
      <c r="BM748" s="76" t="str">
        <f>A748</f>
        <v>NF</v>
      </c>
      <c r="BN748" s="76">
        <f>C748</f>
        <v>0</v>
      </c>
      <c r="BO748" s="76" t="str">
        <f>E748</f>
        <v>TFS EOE 72.9 BPAni FREE 300#</v>
      </c>
      <c r="BP748" s="129">
        <f>J748</f>
        <v>1960400</v>
      </c>
      <c r="BQ748" s="387">
        <f t="shared" ref="BQ748:BQ756" si="123">U748</f>
        <v>46003</v>
      </c>
    </row>
    <row r="749" s="79" customFormat="1" ht="14.45" customHeight="1" spans="1:69">
      <c r="A749" s="79" t="s">
        <v>142</v>
      </c>
      <c r="B749" s="79" t="s">
        <v>440</v>
      </c>
      <c r="C749" s="599"/>
      <c r="D749" s="79" t="s">
        <v>911</v>
      </c>
      <c r="E749" s="79" t="s">
        <v>912</v>
      </c>
      <c r="G749" s="486"/>
      <c r="J749" s="579">
        <v>1960400</v>
      </c>
      <c r="K749" s="194"/>
      <c r="L749" s="194">
        <f>L748</f>
        <v>35640.072</v>
      </c>
      <c r="M749" s="194"/>
      <c r="O749" s="192">
        <f>O748</f>
        <v>0</v>
      </c>
      <c r="P749" s="91"/>
      <c r="Q749" s="91"/>
      <c r="T749" s="463">
        <f>T748</f>
        <v>45988</v>
      </c>
      <c r="U749" s="463"/>
      <c r="V749" s="463">
        <f>V748</f>
        <v>46013</v>
      </c>
      <c r="X749" s="193" t="s">
        <v>90</v>
      </c>
      <c r="Y749" s="79">
        <f>Y748</f>
        <v>1960400</v>
      </c>
      <c r="Z749" s="192"/>
      <c r="AA749" s="192">
        <f>AA748</f>
        <v>264654</v>
      </c>
      <c r="AB749" s="192"/>
      <c r="AC749" s="192"/>
      <c r="AD749" s="196"/>
      <c r="AE749" s="192"/>
      <c r="AF749" s="192"/>
      <c r="AG749" s="192"/>
      <c r="AH749" s="192"/>
      <c r="AM749" s="192"/>
      <c r="AN749" s="192"/>
      <c r="AQ749" s="463"/>
      <c r="AR749" s="463"/>
      <c r="AS749" s="463"/>
      <c r="AT749" s="463"/>
      <c r="AW749" s="463"/>
      <c r="AX749" s="194"/>
      <c r="AY749" s="192"/>
      <c r="AZ749" s="150"/>
      <c r="BA749" s="150"/>
      <c r="BB749" s="150"/>
      <c r="BC749" s="150"/>
      <c r="BI749" s="494"/>
    </row>
    <row r="750" s="76" customFormat="1" customHeight="1" spans="1:69">
      <c r="A750" s="76" t="s">
        <v>71</v>
      </c>
      <c r="C750" s="387">
        <v>45989</v>
      </c>
      <c r="D750" s="76" t="s">
        <v>914</v>
      </c>
      <c r="E750" s="76" t="s">
        <v>87</v>
      </c>
      <c r="G750" s="479"/>
      <c r="J750" s="264">
        <v>6960000</v>
      </c>
      <c r="K750" s="143">
        <v>0.15244</v>
      </c>
      <c r="L750" s="483">
        <f t="shared" ref="L750:L756" si="124">J750*K750</f>
        <v>1060982.4</v>
      </c>
      <c r="M750" s="129">
        <f>L750*0.3</f>
        <v>318294.72</v>
      </c>
      <c r="P750" s="91"/>
      <c r="Q750" s="91"/>
      <c r="T750" s="387"/>
      <c r="U750" s="112"/>
      <c r="V750" s="387"/>
      <c r="X750" s="133"/>
      <c r="Z750" s="114"/>
      <c r="AA750" s="114"/>
      <c r="AB750" s="114"/>
      <c r="AC750" s="114"/>
      <c r="AD750" s="140"/>
      <c r="AE750" s="114"/>
      <c r="AF750" s="114"/>
      <c r="AG750" s="114"/>
      <c r="AH750" s="114"/>
      <c r="AM750" s="114"/>
      <c r="AN750" s="114"/>
      <c r="AQ750" s="387"/>
      <c r="AR750" s="387"/>
      <c r="AS750" s="387"/>
      <c r="AT750" s="387"/>
      <c r="AW750" s="387"/>
      <c r="AX750" s="129"/>
      <c r="AY750" s="114"/>
      <c r="AZ750" s="127"/>
      <c r="BA750" s="127"/>
      <c r="BB750" s="127"/>
      <c r="BC750" s="127"/>
      <c r="BI750" s="75"/>
      <c r="BJ750" s="91"/>
      <c r="BL750" s="76" t="str">
        <f t="shared" ref="BL750:BL756" si="125">D750</f>
        <v>INTW-19</v>
      </c>
      <c r="BM750" s="76" t="str">
        <f t="shared" ref="BM750:BM756" si="126">A750</f>
        <v>INDEX</v>
      </c>
      <c r="BN750" s="76">
        <f t="shared" ref="BN750:BN756" si="127">C750</f>
        <v>45989</v>
      </c>
      <c r="BO750" s="76" t="str">
        <f t="shared" ref="BO750:BO756" si="128">E750</f>
        <v>98.9mm 0.20 #401 SE*2</v>
      </c>
      <c r="BP750" s="264">
        <f t="shared" ref="BP750:BP756" si="129">J750</f>
        <v>6960000</v>
      </c>
      <c r="BQ750" s="387">
        <f t="shared" si="123"/>
        <v>0</v>
      </c>
    </row>
    <row r="751" s="76" customFormat="1" customHeight="1" spans="1:69">
      <c r="A751" s="76" t="s">
        <v>71</v>
      </c>
      <c r="C751" s="387">
        <v>45989</v>
      </c>
      <c r="D751" s="76" t="s">
        <v>915</v>
      </c>
      <c r="E751" s="76" t="s">
        <v>87</v>
      </c>
      <c r="G751" s="479"/>
      <c r="J751" s="76">
        <v>1160000</v>
      </c>
      <c r="K751" s="143">
        <v>0.15244</v>
      </c>
      <c r="L751" s="483">
        <f t="shared" si="124"/>
        <v>176830.4</v>
      </c>
      <c r="M751" s="129"/>
      <c r="N751" s="76">
        <v>176830.4</v>
      </c>
      <c r="P751" s="91"/>
      <c r="Q751" s="91"/>
      <c r="R751" s="76" t="s">
        <v>88</v>
      </c>
      <c r="S751" s="76" t="s">
        <v>916</v>
      </c>
      <c r="T751" s="387">
        <v>45994</v>
      </c>
      <c r="U751" s="112">
        <v>45708</v>
      </c>
      <c r="V751" s="387">
        <f>T751+15</f>
        <v>46009</v>
      </c>
      <c r="X751" s="133"/>
      <c r="Y751" s="76">
        <v>1160000</v>
      </c>
      <c r="Z751" s="114">
        <v>0.16</v>
      </c>
      <c r="AA751" s="114">
        <f t="shared" ref="AA751:AA756" si="130">Y751*Z751</f>
        <v>185600</v>
      </c>
      <c r="AB751" s="114"/>
      <c r="AC751" s="114"/>
      <c r="AD751" s="140"/>
      <c r="AE751" s="114"/>
      <c r="AF751" s="114"/>
      <c r="AG751" s="114"/>
      <c r="AH751" s="114"/>
      <c r="AM751" s="114"/>
      <c r="AN751" s="114">
        <v>176830.4</v>
      </c>
      <c r="AQ751" s="746">
        <f t="shared" si="121"/>
        <v>46009</v>
      </c>
      <c r="AR751" s="387">
        <f t="shared" si="122"/>
        <v>45979</v>
      </c>
      <c r="AS751" s="387"/>
      <c r="AT751" s="387"/>
      <c r="AW751" s="387"/>
      <c r="AX751" s="129"/>
      <c r="AY751" s="114"/>
      <c r="AZ751" s="127"/>
      <c r="BA751" s="127"/>
      <c r="BB751" s="127"/>
      <c r="BC751" s="127"/>
      <c r="BI751" s="75"/>
      <c r="BJ751" s="91"/>
      <c r="BL751" s="76" t="str">
        <f t="shared" si="125"/>
        <v>INTW-19-1</v>
      </c>
      <c r="BM751" s="76" t="str">
        <f t="shared" si="126"/>
        <v>INDEX</v>
      </c>
      <c r="BN751" s="387">
        <f t="shared" si="127"/>
        <v>45989</v>
      </c>
      <c r="BO751" s="76" t="str">
        <f t="shared" si="128"/>
        <v>98.9mm 0.20 #401 SE*2</v>
      </c>
      <c r="BP751" s="264">
        <f t="shared" si="129"/>
        <v>1160000</v>
      </c>
      <c r="BQ751" s="387">
        <f t="shared" si="123"/>
        <v>45708</v>
      </c>
    </row>
    <row r="752" s="76" customFormat="1" customHeight="1" spans="1:69">
      <c r="A752" s="76" t="s">
        <v>71</v>
      </c>
      <c r="C752" s="387">
        <v>45989</v>
      </c>
      <c r="D752" s="76" t="s">
        <v>917</v>
      </c>
      <c r="E752" s="76" t="s">
        <v>87</v>
      </c>
      <c r="G752" s="479"/>
      <c r="J752" s="76">
        <v>1160000</v>
      </c>
      <c r="K752" s="143">
        <v>0.15244</v>
      </c>
      <c r="L752" s="483">
        <f t="shared" si="124"/>
        <v>176830.4</v>
      </c>
      <c r="M752" s="129"/>
      <c r="N752" s="76">
        <v>176830.4</v>
      </c>
      <c r="P752" s="91"/>
      <c r="Q752" s="91"/>
      <c r="R752" s="76" t="s">
        <v>88</v>
      </c>
      <c r="S752" s="76" t="s">
        <v>916</v>
      </c>
      <c r="T752" s="387">
        <v>45994</v>
      </c>
      <c r="U752" s="112">
        <v>45736</v>
      </c>
      <c r="V752" s="387">
        <f t="shared" ref="V752:V756" si="131">T752+15</f>
        <v>46009</v>
      </c>
      <c r="X752" s="133"/>
      <c r="Y752" s="76">
        <v>1160000</v>
      </c>
      <c r="Z752" s="114">
        <v>0.16</v>
      </c>
      <c r="AA752" s="114">
        <f t="shared" si="130"/>
        <v>185600</v>
      </c>
      <c r="AB752" s="114"/>
      <c r="AC752" s="114"/>
      <c r="AD752" s="140"/>
      <c r="AE752" s="114"/>
      <c r="AF752" s="114"/>
      <c r="AG752" s="114"/>
      <c r="AH752" s="114"/>
      <c r="AM752" s="114"/>
      <c r="AN752" s="114">
        <v>176830.4</v>
      </c>
      <c r="AQ752" s="746">
        <f t="shared" si="121"/>
        <v>46009</v>
      </c>
      <c r="AR752" s="387">
        <f t="shared" si="122"/>
        <v>45979</v>
      </c>
      <c r="AS752" s="387"/>
      <c r="AT752" s="387"/>
      <c r="AW752" s="387"/>
      <c r="AX752" s="129"/>
      <c r="AY752" s="114"/>
      <c r="AZ752" s="127"/>
      <c r="BA752" s="127"/>
      <c r="BB752" s="127"/>
      <c r="BC752" s="127"/>
      <c r="BI752" s="75"/>
      <c r="BJ752" s="91"/>
      <c r="BL752" s="76" t="str">
        <f t="shared" si="125"/>
        <v>INTW-19-2</v>
      </c>
      <c r="BM752" s="76" t="str">
        <f t="shared" si="126"/>
        <v>INDEX</v>
      </c>
      <c r="BN752" s="387">
        <f t="shared" si="127"/>
        <v>45989</v>
      </c>
      <c r="BO752" s="76" t="str">
        <f t="shared" si="128"/>
        <v>98.9mm 0.20 #401 SE*2</v>
      </c>
      <c r="BP752" s="264">
        <f t="shared" si="129"/>
        <v>1160000</v>
      </c>
      <c r="BQ752" s="387">
        <f t="shared" si="123"/>
        <v>45736</v>
      </c>
    </row>
    <row r="753" s="76" customFormat="1" customHeight="1" spans="1:69">
      <c r="A753" s="76" t="s">
        <v>71</v>
      </c>
      <c r="C753" s="387">
        <v>45989</v>
      </c>
      <c r="D753" s="76" t="s">
        <v>918</v>
      </c>
      <c r="E753" s="76" t="s">
        <v>87</v>
      </c>
      <c r="G753" s="479"/>
      <c r="J753" s="76">
        <v>1160000</v>
      </c>
      <c r="K753" s="143">
        <v>0.15244</v>
      </c>
      <c r="L753" s="483">
        <f t="shared" si="124"/>
        <v>176830.4</v>
      </c>
      <c r="M753" s="129"/>
      <c r="P753" s="91"/>
      <c r="Q753" s="91"/>
      <c r="R753" s="76" t="s">
        <v>88</v>
      </c>
      <c r="S753" s="76" t="s">
        <v>916</v>
      </c>
      <c r="T753" s="387">
        <v>45994</v>
      </c>
      <c r="U753" s="112">
        <v>45767</v>
      </c>
      <c r="V753" s="387">
        <f t="shared" si="131"/>
        <v>46009</v>
      </c>
      <c r="X753" s="133"/>
      <c r="Y753" s="76">
        <v>1160000</v>
      </c>
      <c r="Z753" s="114">
        <v>0.16</v>
      </c>
      <c r="AA753" s="114">
        <f t="shared" si="130"/>
        <v>185600</v>
      </c>
      <c r="AB753" s="114"/>
      <c r="AC753" s="114"/>
      <c r="AD753" s="140"/>
      <c r="AE753" s="114"/>
      <c r="AF753" s="114"/>
      <c r="AG753" s="114"/>
      <c r="AH753" s="114"/>
      <c r="AM753" s="114"/>
      <c r="AN753" s="114">
        <v>176830.4</v>
      </c>
      <c r="AQ753" s="746">
        <f t="shared" si="121"/>
        <v>46009</v>
      </c>
      <c r="AR753" s="387">
        <f t="shared" si="122"/>
        <v>45979</v>
      </c>
      <c r="AS753" s="387"/>
      <c r="AT753" s="387"/>
      <c r="AW753" s="387"/>
      <c r="AX753" s="129"/>
      <c r="AY753" s="114"/>
      <c r="AZ753" s="127"/>
      <c r="BA753" s="127"/>
      <c r="BB753" s="127"/>
      <c r="BC753" s="127"/>
      <c r="BI753" s="75"/>
      <c r="BJ753" s="91"/>
      <c r="BL753" s="76" t="str">
        <f t="shared" si="125"/>
        <v>INTW-19-3</v>
      </c>
      <c r="BM753" s="76" t="str">
        <f t="shared" si="126"/>
        <v>INDEX</v>
      </c>
      <c r="BN753" s="387">
        <f t="shared" si="127"/>
        <v>45989</v>
      </c>
      <c r="BO753" s="76" t="str">
        <f t="shared" si="128"/>
        <v>98.9mm 0.20 #401 SE*2</v>
      </c>
      <c r="BP753" s="264">
        <f t="shared" si="129"/>
        <v>1160000</v>
      </c>
      <c r="BQ753" s="387">
        <f t="shared" si="123"/>
        <v>45767</v>
      </c>
    </row>
    <row r="754" s="76" customFormat="1" customHeight="1" spans="1:69">
      <c r="A754" s="76" t="s">
        <v>71</v>
      </c>
      <c r="C754" s="387">
        <v>45989</v>
      </c>
      <c r="D754" s="76" t="s">
        <v>919</v>
      </c>
      <c r="E754" s="76" t="s">
        <v>87</v>
      </c>
      <c r="G754" s="479"/>
      <c r="J754" s="76">
        <v>1160000</v>
      </c>
      <c r="K754" s="143">
        <v>0.15244</v>
      </c>
      <c r="L754" s="483">
        <f t="shared" si="124"/>
        <v>176830.4</v>
      </c>
      <c r="M754" s="129"/>
      <c r="P754" s="91"/>
      <c r="Q754" s="91"/>
      <c r="R754" s="76" t="s">
        <v>88</v>
      </c>
      <c r="S754" s="76" t="s">
        <v>916</v>
      </c>
      <c r="T754" s="387">
        <v>45994</v>
      </c>
      <c r="U754" s="112">
        <v>45797</v>
      </c>
      <c r="V754" s="387">
        <f t="shared" si="131"/>
        <v>46009</v>
      </c>
      <c r="X754" s="133"/>
      <c r="Y754" s="76">
        <v>1160000</v>
      </c>
      <c r="Z754" s="114">
        <v>0.16</v>
      </c>
      <c r="AA754" s="114">
        <f t="shared" si="130"/>
        <v>185600</v>
      </c>
      <c r="AB754" s="114"/>
      <c r="AC754" s="114"/>
      <c r="AD754" s="140"/>
      <c r="AE754" s="114"/>
      <c r="AF754" s="114"/>
      <c r="AG754" s="114"/>
      <c r="AH754" s="114"/>
      <c r="AM754" s="114"/>
      <c r="AN754" s="114"/>
      <c r="AQ754" s="746">
        <f t="shared" si="121"/>
        <v>46009</v>
      </c>
      <c r="AR754" s="387">
        <f t="shared" si="122"/>
        <v>45979</v>
      </c>
      <c r="AS754" s="387"/>
      <c r="AT754" s="387"/>
      <c r="AW754" s="387"/>
      <c r="AX754" s="129"/>
      <c r="AY754" s="114"/>
      <c r="AZ754" s="127"/>
      <c r="BA754" s="127"/>
      <c r="BB754" s="127"/>
      <c r="BC754" s="127"/>
      <c r="BI754" s="75"/>
      <c r="BJ754" s="91"/>
      <c r="BL754" s="76" t="str">
        <f t="shared" si="125"/>
        <v>INTW-19-4</v>
      </c>
      <c r="BM754" s="76" t="str">
        <f t="shared" si="126"/>
        <v>INDEX</v>
      </c>
      <c r="BN754" s="387">
        <f t="shared" si="127"/>
        <v>45989</v>
      </c>
      <c r="BO754" s="76" t="str">
        <f t="shared" si="128"/>
        <v>98.9mm 0.20 #401 SE*2</v>
      </c>
      <c r="BP754" s="264">
        <f t="shared" si="129"/>
        <v>1160000</v>
      </c>
      <c r="BQ754" s="387">
        <f t="shared" si="123"/>
        <v>45797</v>
      </c>
    </row>
    <row r="755" s="76" customFormat="1" customHeight="1" spans="1:69">
      <c r="A755" s="76" t="s">
        <v>71</v>
      </c>
      <c r="C755" s="387">
        <v>45989</v>
      </c>
      <c r="D755" s="76" t="s">
        <v>920</v>
      </c>
      <c r="E755" s="76" t="s">
        <v>87</v>
      </c>
      <c r="G755" s="479"/>
      <c r="J755" s="76">
        <v>1160000</v>
      </c>
      <c r="K755" s="143">
        <v>0.15244</v>
      </c>
      <c r="L755" s="483">
        <f t="shared" si="124"/>
        <v>176830.4</v>
      </c>
      <c r="M755" s="129"/>
      <c r="P755" s="91"/>
      <c r="Q755" s="91"/>
      <c r="R755" s="76" t="s">
        <v>88</v>
      </c>
      <c r="S755" s="76" t="s">
        <v>916</v>
      </c>
      <c r="T755" s="387">
        <v>45994</v>
      </c>
      <c r="U755" s="112">
        <v>45828</v>
      </c>
      <c r="V755" s="387">
        <f t="shared" si="131"/>
        <v>46009</v>
      </c>
      <c r="X755" s="133"/>
      <c r="Y755" s="76">
        <v>1160000</v>
      </c>
      <c r="Z755" s="114">
        <v>0.16</v>
      </c>
      <c r="AA755" s="114">
        <f t="shared" si="130"/>
        <v>185600</v>
      </c>
      <c r="AB755" s="114"/>
      <c r="AC755" s="114"/>
      <c r="AD755" s="140"/>
      <c r="AE755" s="114"/>
      <c r="AF755" s="114"/>
      <c r="AG755" s="114"/>
      <c r="AH755" s="114"/>
      <c r="AM755" s="114"/>
      <c r="AN755" s="114"/>
      <c r="AQ755" s="746">
        <f t="shared" si="121"/>
        <v>46009</v>
      </c>
      <c r="AR755" s="387">
        <f t="shared" si="122"/>
        <v>45979</v>
      </c>
      <c r="AS755" s="387"/>
      <c r="AT755" s="387"/>
      <c r="AW755" s="387"/>
      <c r="AX755" s="129"/>
      <c r="AY755" s="114"/>
      <c r="AZ755" s="127"/>
      <c r="BA755" s="127"/>
      <c r="BB755" s="127"/>
      <c r="BC755" s="127"/>
      <c r="BI755" s="75"/>
      <c r="BJ755" s="91"/>
      <c r="BL755" s="76" t="str">
        <f t="shared" si="125"/>
        <v>INTW-19-5</v>
      </c>
      <c r="BM755" s="76" t="str">
        <f t="shared" si="126"/>
        <v>INDEX</v>
      </c>
      <c r="BN755" s="387">
        <f t="shared" si="127"/>
        <v>45989</v>
      </c>
      <c r="BO755" s="76" t="str">
        <f t="shared" si="128"/>
        <v>98.9mm 0.20 #401 SE*2</v>
      </c>
      <c r="BP755" s="264">
        <f t="shared" si="129"/>
        <v>1160000</v>
      </c>
      <c r="BQ755" s="387">
        <f t="shared" si="123"/>
        <v>45828</v>
      </c>
    </row>
    <row r="756" s="76" customFormat="1" customHeight="1" spans="1:69">
      <c r="A756" s="76" t="s">
        <v>71</v>
      </c>
      <c r="C756" s="387">
        <v>45989</v>
      </c>
      <c r="D756" s="76" t="s">
        <v>921</v>
      </c>
      <c r="E756" s="76" t="s">
        <v>87</v>
      </c>
      <c r="G756" s="479"/>
      <c r="J756" s="76">
        <v>1160000</v>
      </c>
      <c r="K756" s="143">
        <v>0.15244</v>
      </c>
      <c r="L756" s="483">
        <f t="shared" si="124"/>
        <v>176830.4</v>
      </c>
      <c r="M756" s="129"/>
      <c r="P756" s="91"/>
      <c r="Q756" s="91"/>
      <c r="R756" s="76" t="s">
        <v>88</v>
      </c>
      <c r="S756" s="76" t="s">
        <v>916</v>
      </c>
      <c r="T756" s="387">
        <v>45994</v>
      </c>
      <c r="U756" s="112">
        <v>45858</v>
      </c>
      <c r="V756" s="387">
        <f t="shared" si="131"/>
        <v>46009</v>
      </c>
      <c r="X756" s="133"/>
      <c r="Y756" s="76">
        <v>1160000</v>
      </c>
      <c r="Z756" s="114">
        <v>0.16</v>
      </c>
      <c r="AA756" s="114">
        <f t="shared" si="130"/>
        <v>185600</v>
      </c>
      <c r="AB756" s="114"/>
      <c r="AC756" s="114"/>
      <c r="AD756" s="140"/>
      <c r="AE756" s="114"/>
      <c r="AF756" s="114"/>
      <c r="AG756" s="114"/>
      <c r="AH756" s="114"/>
      <c r="AM756" s="114"/>
      <c r="AN756" s="114"/>
      <c r="AQ756" s="746">
        <f t="shared" si="121"/>
        <v>46009</v>
      </c>
      <c r="AR756" s="387">
        <f t="shared" si="122"/>
        <v>45979</v>
      </c>
      <c r="AS756" s="387"/>
      <c r="AT756" s="387"/>
      <c r="AW756" s="387"/>
      <c r="AX756" s="129"/>
      <c r="AY756" s="114"/>
      <c r="AZ756" s="127"/>
      <c r="BA756" s="127"/>
      <c r="BB756" s="127"/>
      <c r="BC756" s="127"/>
      <c r="BI756" s="75"/>
      <c r="BJ756" s="91"/>
      <c r="BL756" s="76" t="str">
        <f t="shared" si="125"/>
        <v>INTW-19-6</v>
      </c>
      <c r="BM756" s="76" t="str">
        <f t="shared" si="126"/>
        <v>INDEX</v>
      </c>
      <c r="BN756" s="387">
        <f t="shared" si="127"/>
        <v>45989</v>
      </c>
      <c r="BO756" s="76" t="str">
        <f t="shared" si="128"/>
        <v>98.9mm 0.20 #401 SE*2</v>
      </c>
      <c r="BP756" s="264">
        <f t="shared" si="129"/>
        <v>1160000</v>
      </c>
      <c r="BQ756" s="387">
        <f t="shared" si="123"/>
        <v>45858</v>
      </c>
    </row>
    <row r="757" s="79" customFormat="1" ht="14.45" customHeight="1" spans="1:69">
      <c r="A757" s="79" t="s">
        <v>71</v>
      </c>
      <c r="C757" s="599"/>
      <c r="D757" s="79" t="s">
        <v>914</v>
      </c>
      <c r="E757" s="79" t="s">
        <v>87</v>
      </c>
      <c r="G757" s="486"/>
      <c r="J757" s="579">
        <v>6960000</v>
      </c>
      <c r="K757" s="194"/>
      <c r="L757" s="194">
        <f>L750</f>
        <v>1060982.4</v>
      </c>
      <c r="M757" s="194"/>
      <c r="O757" s="192">
        <f>O750</f>
        <v>0</v>
      </c>
      <c r="P757" s="91"/>
      <c r="Q757" s="91"/>
      <c r="T757" s="463"/>
      <c r="U757" s="463"/>
      <c r="V757" s="463"/>
      <c r="X757" s="193"/>
      <c r="Y757" s="79">
        <f>Y750</f>
        <v>0</v>
      </c>
      <c r="Z757" s="192"/>
      <c r="AA757" s="192">
        <f>AA750</f>
        <v>0</v>
      </c>
      <c r="AB757" s="192"/>
      <c r="AC757" s="192"/>
      <c r="AD757" s="196"/>
      <c r="AE757" s="192"/>
      <c r="AF757" s="192"/>
      <c r="AG757" s="192"/>
      <c r="AH757" s="192"/>
      <c r="AM757" s="192"/>
      <c r="AN757" s="192"/>
      <c r="AQ757" s="463"/>
      <c r="AR757" s="463"/>
      <c r="AS757" s="463"/>
      <c r="AT757" s="463"/>
      <c r="AW757" s="463"/>
      <c r="AX757" s="194"/>
      <c r="AY757" s="192"/>
      <c r="AZ757" s="150"/>
      <c r="BA757" s="150"/>
      <c r="BB757" s="150"/>
      <c r="BC757" s="150"/>
      <c r="BI757" s="494"/>
      <c r="BP757" s="579"/>
    </row>
    <row r="758" s="76" customFormat="1" customHeight="1" spans="1:69">
      <c r="A758" s="76" t="s">
        <v>842</v>
      </c>
      <c r="B758" s="76" t="s">
        <v>922</v>
      </c>
      <c r="C758" s="387" t="s">
        <v>923</v>
      </c>
      <c r="D758" s="76" t="s">
        <v>924</v>
      </c>
      <c r="E758" s="76" t="s">
        <v>652</v>
      </c>
      <c r="G758" s="479">
        <f>148050</f>
        <v>148050</v>
      </c>
      <c r="H758" s="76" t="s">
        <v>93</v>
      </c>
      <c r="J758" s="129">
        <v>150</v>
      </c>
      <c r="K758" s="129">
        <f>Z758+340</f>
        <v>5890</v>
      </c>
      <c r="L758" s="129">
        <f>J758*K758</f>
        <v>883500</v>
      </c>
      <c r="M758" s="129">
        <f>L758*0.1</f>
        <v>88350</v>
      </c>
      <c r="N758" s="114">
        <f>88350+171222.3</f>
        <v>259572.3</v>
      </c>
      <c r="P758" s="91"/>
      <c r="Q758" s="91"/>
      <c r="R758" s="76" t="s">
        <v>66</v>
      </c>
      <c r="S758" s="76" t="s">
        <v>925</v>
      </c>
      <c r="T758" s="387">
        <v>45993</v>
      </c>
      <c r="U758" s="387">
        <f>T758+45</f>
        <v>46038</v>
      </c>
      <c r="V758" s="387">
        <f>T758+50</f>
        <v>46043</v>
      </c>
      <c r="X758" s="133" t="s">
        <v>355</v>
      </c>
      <c r="Y758" s="76">
        <v>150</v>
      </c>
      <c r="Z758" s="114">
        <v>5550</v>
      </c>
      <c r="AA758" s="114">
        <f>Y758*Z758</f>
        <v>832500</v>
      </c>
      <c r="AB758" s="114">
        <v>83250</v>
      </c>
      <c r="AC758" s="114">
        <f>AA758-AB758</f>
        <v>749250</v>
      </c>
      <c r="AD758" s="140"/>
      <c r="AE758" s="114"/>
      <c r="AF758" s="114"/>
      <c r="AG758" s="114"/>
      <c r="AH758" s="114"/>
      <c r="AM758" s="114"/>
      <c r="AN758" s="114">
        <f>88350+171222.3</f>
        <v>259572.3</v>
      </c>
      <c r="AQ758" s="746">
        <f t="shared" ref="AQ758:AQ762" si="132">V758</f>
        <v>46043</v>
      </c>
      <c r="AR758" s="387">
        <f t="shared" ref="AR758:AR762" si="133">V758-30</f>
        <v>46013</v>
      </c>
      <c r="AS758" s="387"/>
      <c r="AT758" s="387"/>
      <c r="AV758" s="76">
        <v>4</v>
      </c>
      <c r="AX758" s="129"/>
      <c r="AY758" s="114"/>
      <c r="AZ758" s="127"/>
      <c r="BA758" s="127"/>
      <c r="BB758" s="127"/>
      <c r="BC758" s="127"/>
      <c r="BI758" s="75"/>
      <c r="BJ758" s="91"/>
      <c r="BL758" s="76" t="str">
        <f>D758</f>
        <v>TJTW-102</v>
      </c>
      <c r="BM758" s="76" t="str">
        <f>A758</f>
        <v>TCNCP</v>
      </c>
      <c r="BN758" s="76" t="str">
        <f>C758</f>
        <v>TW 2025-12-02</v>
      </c>
      <c r="BO758" s="76" t="str">
        <f>E758</f>
        <v>0.17*784*1040 2.0/2.0 DR9</v>
      </c>
      <c r="BP758" s="129">
        <f>J758</f>
        <v>150</v>
      </c>
      <c r="BQ758" s="387">
        <f>U758</f>
        <v>46038</v>
      </c>
    </row>
    <row r="759" s="76" customFormat="1" customHeight="1" spans="1:69">
      <c r="A759" s="76" t="s">
        <v>842</v>
      </c>
      <c r="B759" s="76" t="s">
        <v>922</v>
      </c>
      <c r="C759" s="387" t="s">
        <v>923</v>
      </c>
      <c r="D759" s="76" t="s">
        <v>924</v>
      </c>
      <c r="E759" s="76" t="s">
        <v>926</v>
      </c>
      <c r="G759" s="479"/>
      <c r="H759" s="76" t="s">
        <v>93</v>
      </c>
      <c r="J759" s="129">
        <v>100</v>
      </c>
      <c r="K759" s="129">
        <f>Z759+340</f>
        <v>5970</v>
      </c>
      <c r="L759" s="129">
        <f>J759*K759</f>
        <v>597000</v>
      </c>
      <c r="M759" s="129">
        <f>L759*0.1</f>
        <v>59700</v>
      </c>
      <c r="N759" s="114">
        <f>59700+316314.48+791072.95</f>
        <v>1167087.43</v>
      </c>
      <c r="P759" s="91"/>
      <c r="Q759" s="91"/>
      <c r="R759" s="76" t="s">
        <v>66</v>
      </c>
      <c r="S759" s="76" t="s">
        <v>925</v>
      </c>
      <c r="T759" s="387">
        <v>45993</v>
      </c>
      <c r="U759" s="387">
        <f>T759+45</f>
        <v>46038</v>
      </c>
      <c r="V759" s="387">
        <f>V758</f>
        <v>46043</v>
      </c>
      <c r="X759" s="133" t="s">
        <v>355</v>
      </c>
      <c r="Y759" s="76">
        <v>100</v>
      </c>
      <c r="Z759" s="114">
        <v>5630</v>
      </c>
      <c r="AA759" s="114">
        <f>Y759*Z759</f>
        <v>563000</v>
      </c>
      <c r="AB759" s="114">
        <v>56300</v>
      </c>
      <c r="AC759" s="114">
        <f>AA759-AB759</f>
        <v>506700</v>
      </c>
      <c r="AD759" s="140"/>
      <c r="AE759" s="114"/>
      <c r="AF759" s="114"/>
      <c r="AG759" s="114"/>
      <c r="AH759" s="114"/>
      <c r="AM759" s="114"/>
      <c r="AN759" s="114">
        <f>59700+316314.48+791072.95</f>
        <v>1167087.43</v>
      </c>
      <c r="AQ759" s="746">
        <f t="shared" si="132"/>
        <v>46043</v>
      </c>
      <c r="AR759" s="387">
        <f t="shared" si="133"/>
        <v>46013</v>
      </c>
      <c r="AS759" s="387" t="s">
        <v>701</v>
      </c>
      <c r="AT759" s="387"/>
      <c r="AU759" s="76" t="s">
        <v>927</v>
      </c>
      <c r="AV759" s="76">
        <v>5</v>
      </c>
      <c r="AW759" s="387">
        <v>46089</v>
      </c>
      <c r="AX759" s="129"/>
      <c r="AY759" s="114"/>
      <c r="AZ759" s="127"/>
      <c r="BA759" s="127"/>
      <c r="BB759" s="127"/>
      <c r="BC759" s="127"/>
      <c r="BI759" s="75"/>
      <c r="BJ759" s="91"/>
      <c r="BL759" s="76" t="str">
        <f>D759</f>
        <v>TJTW-102</v>
      </c>
      <c r="BM759" s="76" t="str">
        <f>A759</f>
        <v>TCNCP</v>
      </c>
      <c r="BN759" s="76" t="str">
        <f>C759</f>
        <v>TW 2025-12-02</v>
      </c>
      <c r="BO759" s="76" t="str">
        <f>E759</f>
        <v>0.16*824*1048 2.0/2.0 DR9</v>
      </c>
      <c r="BP759" s="129">
        <f>J759</f>
        <v>100</v>
      </c>
      <c r="BQ759" s="387">
        <f>U759</f>
        <v>46038</v>
      </c>
    </row>
    <row r="760" s="79" customFormat="1" customHeight="1" spans="1:69">
      <c r="A760" s="79" t="s">
        <v>842</v>
      </c>
      <c r="B760" s="79" t="s">
        <v>922</v>
      </c>
      <c r="C760" s="463" t="s">
        <v>923</v>
      </c>
      <c r="D760" s="79" t="s">
        <v>924</v>
      </c>
      <c r="G760" s="486"/>
      <c r="K760" s="194"/>
      <c r="M760" s="194"/>
      <c r="N760" s="79">
        <f>SUM(N758:N759)</f>
        <v>1426659.73</v>
      </c>
      <c r="T760" s="463"/>
      <c r="U760" s="463"/>
      <c r="V760" s="463"/>
      <c r="X760" s="193"/>
      <c r="Z760" s="192"/>
      <c r="AA760" s="79">
        <f>SUM(AA758:AA759)</f>
        <v>1395500</v>
      </c>
      <c r="AB760" s="192">
        <f>SUM(AB758:AB759)</f>
        <v>139550</v>
      </c>
      <c r="AC760" s="192">
        <f>SUM(AC758:AC759)</f>
        <v>1255950</v>
      </c>
      <c r="AD760" s="196"/>
      <c r="AE760" s="192"/>
      <c r="AF760" s="192"/>
      <c r="AG760" s="192"/>
      <c r="AH760" s="192"/>
      <c r="AM760" s="192"/>
      <c r="AN760" s="192">
        <f>SUM(AN758:AN759)</f>
        <v>1426659.73</v>
      </c>
      <c r="AQ760" s="463">
        <f t="shared" si="132"/>
        <v>0</v>
      </c>
      <c r="AR760" s="463"/>
      <c r="AS760" s="463" t="s">
        <v>701</v>
      </c>
      <c r="AT760" s="463"/>
      <c r="AW760" s="463"/>
      <c r="AX760" s="194"/>
      <c r="AY760" s="192"/>
      <c r="AZ760" s="150"/>
      <c r="BA760" s="150"/>
      <c r="BB760" s="150"/>
      <c r="BC760" s="150"/>
      <c r="BI760" s="151"/>
    </row>
    <row r="761" s="76" customFormat="1" customHeight="1" spans="1:69">
      <c r="A761" s="76" t="s">
        <v>365</v>
      </c>
      <c r="B761" s="76" t="s">
        <v>572</v>
      </c>
      <c r="C761" s="387"/>
      <c r="D761" s="76" t="s">
        <v>928</v>
      </c>
      <c r="E761" s="190" t="s">
        <v>639</v>
      </c>
      <c r="G761" s="479">
        <f>127224</f>
        <v>127224</v>
      </c>
      <c r="J761" s="129">
        <v>108</v>
      </c>
      <c r="K761" s="129">
        <f>Z761+340</f>
        <v>5890</v>
      </c>
      <c r="L761" s="129">
        <f>J761*K761</f>
        <v>636120</v>
      </c>
      <c r="M761" s="129">
        <f>L761*0.1</f>
        <v>63612</v>
      </c>
      <c r="N761" s="76">
        <f>63612+747371.72</f>
        <v>810983.72</v>
      </c>
      <c r="P761" s="91"/>
      <c r="Q761" s="91"/>
      <c r="R761" s="76" t="s">
        <v>66</v>
      </c>
      <c r="S761" s="76" t="s">
        <v>929</v>
      </c>
      <c r="T761" s="387">
        <v>45996</v>
      </c>
      <c r="U761" s="387">
        <f>T761+45</f>
        <v>46041</v>
      </c>
      <c r="V761" s="387">
        <v>46091</v>
      </c>
      <c r="X761" s="133" t="s">
        <v>355</v>
      </c>
      <c r="Y761" s="76">
        <v>108</v>
      </c>
      <c r="Z761" s="114">
        <v>5550</v>
      </c>
      <c r="AA761" s="114">
        <f>Y761*Z761</f>
        <v>599400</v>
      </c>
      <c r="AB761" s="114">
        <v>119880</v>
      </c>
      <c r="AC761" s="114"/>
      <c r="AD761" s="140"/>
      <c r="AE761" s="114"/>
      <c r="AF761" s="114"/>
      <c r="AG761" s="114"/>
      <c r="AH761" s="114"/>
      <c r="AM761" s="114"/>
      <c r="AN761" s="76">
        <f>63612+747371.72</f>
        <v>810983.72</v>
      </c>
      <c r="AQ761" s="746">
        <f t="shared" si="132"/>
        <v>46091</v>
      </c>
      <c r="AR761" s="387">
        <f t="shared" si="133"/>
        <v>46061</v>
      </c>
      <c r="AS761" s="387"/>
      <c r="AT761" s="387"/>
      <c r="AW761" s="387"/>
      <c r="AX761" s="129"/>
      <c r="AY761" s="114"/>
      <c r="AZ761" s="127"/>
      <c r="BA761" s="127"/>
      <c r="BB761" s="127"/>
      <c r="BC761" s="127"/>
      <c r="BI761" s="75"/>
      <c r="BJ761" s="91"/>
      <c r="BL761" s="76" t="str">
        <f>D761</f>
        <v>TJTW-103</v>
      </c>
      <c r="BM761" s="76" t="str">
        <f>A761</f>
        <v>PLK</v>
      </c>
      <c r="BN761" s="76" t="s">
        <v>930</v>
      </c>
      <c r="BO761" s="76" t="str">
        <f>E761</f>
        <v>0.16*820*C T4 2.0/2.0</v>
      </c>
      <c r="BP761" s="129">
        <f>J761</f>
        <v>108</v>
      </c>
      <c r="BQ761" s="387">
        <f>U761</f>
        <v>46041</v>
      </c>
    </row>
    <row r="762" s="76" customFormat="1" customHeight="1" spans="1:69">
      <c r="A762" s="76" t="s">
        <v>365</v>
      </c>
      <c r="B762" s="76" t="s">
        <v>572</v>
      </c>
      <c r="C762" s="387"/>
      <c r="D762" s="76" t="s">
        <v>928</v>
      </c>
      <c r="E762" s="190" t="s">
        <v>637</v>
      </c>
      <c r="G762" s="479"/>
      <c r="J762" s="129">
        <v>108</v>
      </c>
      <c r="K762" s="129">
        <f>Z762+340</f>
        <v>5890</v>
      </c>
      <c r="L762" s="129">
        <f>J762*K762</f>
        <v>636120</v>
      </c>
      <c r="M762" s="129">
        <f>L762*0.1</f>
        <v>63612</v>
      </c>
      <c r="N762" s="76">
        <f>63612+396737.22</f>
        <v>460349.22</v>
      </c>
      <c r="P762" s="91"/>
      <c r="Q762" s="91"/>
      <c r="R762" s="76" t="s">
        <v>66</v>
      </c>
      <c r="S762" s="76" t="s">
        <v>929</v>
      </c>
      <c r="T762" s="387">
        <v>45996</v>
      </c>
      <c r="U762" s="387">
        <f>T762+45</f>
        <v>46041</v>
      </c>
      <c r="V762" s="387">
        <v>46041</v>
      </c>
      <c r="X762" s="133" t="s">
        <v>90</v>
      </c>
      <c r="Y762" s="76">
        <v>108</v>
      </c>
      <c r="Z762" s="114">
        <v>5550</v>
      </c>
      <c r="AA762" s="114">
        <f>Y762*Z762</f>
        <v>599400</v>
      </c>
      <c r="AB762" s="114"/>
      <c r="AC762" s="114"/>
      <c r="AD762" s="140"/>
      <c r="AE762" s="114"/>
      <c r="AF762" s="114"/>
      <c r="AG762" s="114"/>
      <c r="AH762" s="114"/>
      <c r="AM762" s="114"/>
      <c r="AN762" s="114">
        <f>63612+396737.22</f>
        <v>460349.22</v>
      </c>
      <c r="AQ762" s="746">
        <f t="shared" si="132"/>
        <v>46041</v>
      </c>
      <c r="AR762" s="387">
        <f t="shared" si="133"/>
        <v>46011</v>
      </c>
      <c r="AS762" s="387" t="s">
        <v>701</v>
      </c>
      <c r="AT762" s="387"/>
      <c r="AU762" s="76" t="s">
        <v>931</v>
      </c>
      <c r="AV762" s="76">
        <v>4</v>
      </c>
      <c r="AW762" s="387">
        <v>46096</v>
      </c>
      <c r="AX762" s="129"/>
      <c r="AY762" s="114"/>
      <c r="AZ762" s="127"/>
      <c r="BA762" s="127"/>
      <c r="BB762" s="127"/>
      <c r="BC762" s="127"/>
      <c r="BI762" s="75"/>
      <c r="BJ762" s="91"/>
      <c r="BL762" s="76" t="str">
        <f>D762</f>
        <v>TJTW-103</v>
      </c>
      <c r="BM762" s="76" t="str">
        <f>A762</f>
        <v>PLK</v>
      </c>
      <c r="BN762" s="76" t="s">
        <v>932</v>
      </c>
      <c r="BO762" s="76" t="str">
        <f>E762</f>
        <v>0.16*875*C DR8.5 2.0/2.0</v>
      </c>
      <c r="BP762" s="129">
        <f>J762</f>
        <v>108</v>
      </c>
      <c r="BQ762" s="387">
        <f>U762</f>
        <v>46041</v>
      </c>
    </row>
    <row r="763" s="79" customFormat="1" customHeight="1" spans="1:69">
      <c r="A763" s="79" t="s">
        <v>365</v>
      </c>
      <c r="B763" s="79" t="s">
        <v>572</v>
      </c>
      <c r="C763" s="463"/>
      <c r="D763" s="79" t="s">
        <v>928</v>
      </c>
      <c r="G763" s="486"/>
      <c r="J763" s="79">
        <f>SUM(J761:J762)</f>
        <v>216</v>
      </c>
      <c r="K763" s="194"/>
      <c r="L763" s="79">
        <f>SUM(L761:L762)</f>
        <v>1272240</v>
      </c>
      <c r="M763" s="194"/>
      <c r="N763" s="79">
        <f>SUM(N761:N762)</f>
        <v>1271332.94</v>
      </c>
      <c r="T763" s="463"/>
      <c r="U763" s="463"/>
      <c r="V763" s="463"/>
      <c r="X763" s="193"/>
      <c r="Y763" s="79">
        <f>SUM(Y761:Y762)</f>
        <v>216</v>
      </c>
      <c r="Z763" s="192"/>
      <c r="AA763" s="79">
        <f>SUM(AA761:AA762)</f>
        <v>1198800</v>
      </c>
      <c r="AB763" s="192"/>
      <c r="AC763" s="192"/>
      <c r="AD763" s="196"/>
      <c r="AE763" s="192"/>
      <c r="AF763" s="192"/>
      <c r="AG763" s="192"/>
      <c r="AH763" s="192"/>
      <c r="AM763" s="192"/>
      <c r="AN763" s="192">
        <f>SUM(AN761:AN762)</f>
        <v>1271332.94</v>
      </c>
      <c r="AQ763" s="463"/>
      <c r="AR763" s="463"/>
      <c r="AS763" s="463"/>
      <c r="AT763" s="463"/>
      <c r="AW763" s="463"/>
      <c r="AX763" s="194"/>
      <c r="AY763" s="192"/>
      <c r="AZ763" s="150"/>
      <c r="BA763" s="150"/>
      <c r="BB763" s="150"/>
      <c r="BC763" s="150"/>
      <c r="BI763" s="151"/>
    </row>
    <row r="764" s="76" customFormat="1" customHeight="1" spans="1:69">
      <c r="A764" s="76" t="s">
        <v>933</v>
      </c>
      <c r="B764" s="137" t="s">
        <v>456</v>
      </c>
      <c r="C764" s="387"/>
      <c r="D764" s="76" t="s">
        <v>934</v>
      </c>
      <c r="E764" s="76" t="s">
        <v>935</v>
      </c>
      <c r="G764" s="479"/>
      <c r="H764" s="76" t="s">
        <v>93</v>
      </c>
      <c r="J764" s="264">
        <v>2280000</v>
      </c>
      <c r="K764" s="143">
        <v>0.2329</v>
      </c>
      <c r="L764" s="114">
        <f>J764*K764</f>
        <v>531012</v>
      </c>
      <c r="M764" s="129">
        <f>L764*0.3</f>
        <v>159303.6</v>
      </c>
      <c r="N764" s="76">
        <f>531012+9316</f>
        <v>540328</v>
      </c>
      <c r="O764" s="76">
        <f>L764-N764</f>
        <v>-9316</v>
      </c>
      <c r="P764" s="91"/>
      <c r="Q764" s="91"/>
      <c r="R764" s="76" t="s">
        <v>88</v>
      </c>
      <c r="S764" s="76" t="s">
        <v>936</v>
      </c>
      <c r="T764" s="387">
        <v>46008</v>
      </c>
      <c r="U764" s="387">
        <f>T764+20</f>
        <v>46028</v>
      </c>
      <c r="V764" s="387">
        <f>T764+25</f>
        <v>46033</v>
      </c>
      <c r="X764" s="133" t="s">
        <v>90</v>
      </c>
      <c r="Y764" s="76">
        <v>2320000</v>
      </c>
      <c r="Z764" s="114">
        <v>0.25</v>
      </c>
      <c r="AA764" s="114">
        <f>Y764*Z764</f>
        <v>580000</v>
      </c>
      <c r="AB764" s="114"/>
      <c r="AC764" s="114"/>
      <c r="AD764" s="140"/>
      <c r="AE764" s="114"/>
      <c r="AF764" s="114"/>
      <c r="AG764" s="114"/>
      <c r="AH764" s="114"/>
      <c r="AM764" s="114"/>
      <c r="AN764" s="76">
        <f>531012+9316</f>
        <v>540328</v>
      </c>
      <c r="AP764" s="91"/>
      <c r="AQ764" s="746">
        <f t="shared" ref="AQ764:AQ767" si="134">V764</f>
        <v>46033</v>
      </c>
      <c r="AR764" s="387">
        <f t="shared" ref="AR764:AR767" si="135">V764-30</f>
        <v>46003</v>
      </c>
      <c r="AS764" s="387" t="s">
        <v>701</v>
      </c>
      <c r="AT764" s="387"/>
      <c r="AU764" s="76" t="s">
        <v>937</v>
      </c>
      <c r="AV764" s="76">
        <v>2</v>
      </c>
      <c r="AW764" s="387">
        <v>46063</v>
      </c>
      <c r="AX764" s="129"/>
      <c r="AY764" s="114"/>
      <c r="AZ764" s="127"/>
      <c r="BA764" s="127"/>
      <c r="BB764" s="127"/>
      <c r="BC764" s="127"/>
      <c r="BI764" s="75"/>
      <c r="BJ764" s="91"/>
      <c r="BL764" s="76" t="str">
        <f>D764</f>
        <v>TJTW-104</v>
      </c>
      <c r="BM764" s="76" t="str">
        <f>A764</f>
        <v>KALMETA</v>
      </c>
      <c r="BN764" s="76">
        <f>C764</f>
        <v>0</v>
      </c>
      <c r="BO764" s="76" t="str">
        <f>E764</f>
        <v>EOE 99.8mm 0.21 #401</v>
      </c>
      <c r="BP764" s="129">
        <f>J764</f>
        <v>2280000</v>
      </c>
      <c r="BQ764" s="387">
        <f>U764</f>
        <v>46028</v>
      </c>
    </row>
    <row r="765" s="79" customFormat="1" customHeight="1" spans="1:69">
      <c r="A765" s="79" t="s">
        <v>933</v>
      </c>
      <c r="B765" s="79" t="s">
        <v>456</v>
      </c>
      <c r="C765" s="463"/>
      <c r="D765" s="79" t="s">
        <v>934</v>
      </c>
      <c r="G765" s="486"/>
      <c r="J765" s="79">
        <f>SUM(J764:J764)</f>
        <v>2280000</v>
      </c>
      <c r="K765" s="194"/>
      <c r="L765" s="79">
        <f>SUM(L764:L764)</f>
        <v>531012</v>
      </c>
      <c r="M765" s="194"/>
      <c r="N765" s="79">
        <f>SUM(N764:N764)</f>
        <v>540328</v>
      </c>
      <c r="O765" s="79">
        <f>O764</f>
        <v>-9316</v>
      </c>
      <c r="T765" s="463"/>
      <c r="U765" s="463"/>
      <c r="V765" s="463"/>
      <c r="X765" s="193" t="s">
        <v>90</v>
      </c>
      <c r="Y765" s="79">
        <f>SUM(Y764:Y764)</f>
        <v>2320000</v>
      </c>
      <c r="Z765" s="192"/>
      <c r="AA765" s="79">
        <f>SUM(AA764:AA764)</f>
        <v>580000</v>
      </c>
      <c r="AB765" s="192"/>
      <c r="AC765" s="192"/>
      <c r="AD765" s="196"/>
      <c r="AE765" s="192"/>
      <c r="AF765" s="192"/>
      <c r="AG765" s="192"/>
      <c r="AH765" s="192"/>
      <c r="AM765" s="192"/>
      <c r="AN765" s="192">
        <f>SUM(AN764:AN764)</f>
        <v>540328</v>
      </c>
      <c r="AQ765" s="463"/>
      <c r="AR765" s="463"/>
      <c r="AS765" s="463"/>
      <c r="AT765" s="463"/>
      <c r="AW765" s="463"/>
      <c r="AX765" s="194"/>
      <c r="AY765" s="192"/>
      <c r="AZ765" s="150"/>
      <c r="BA765" s="150"/>
      <c r="BB765" s="150"/>
      <c r="BC765" s="150"/>
      <c r="BI765" s="151"/>
    </row>
    <row r="766" s="76" customFormat="1" customHeight="1" spans="1:69">
      <c r="A766" s="76" t="s">
        <v>797</v>
      </c>
      <c r="B766" s="76" t="s">
        <v>578</v>
      </c>
      <c r="C766" s="387" t="s">
        <v>938</v>
      </c>
      <c r="D766" s="76" t="s">
        <v>939</v>
      </c>
      <c r="E766" s="76" t="s">
        <v>940</v>
      </c>
      <c r="F766" s="386"/>
      <c r="G766" s="479"/>
      <c r="H766" s="76" t="s">
        <v>93</v>
      </c>
      <c r="J766" s="129">
        <v>10</v>
      </c>
      <c r="K766" s="129">
        <f>Z766+340</f>
        <v>5245</v>
      </c>
      <c r="L766" s="114">
        <f>J766*K766</f>
        <v>52450</v>
      </c>
      <c r="M766" s="129">
        <v>5245</v>
      </c>
      <c r="N766" s="129">
        <f>5245+84369.5</f>
        <v>89614.5</v>
      </c>
      <c r="O766" s="76">
        <f>L766-N766</f>
        <v>-37164.5</v>
      </c>
      <c r="P766" s="91"/>
      <c r="Q766" s="91"/>
      <c r="R766" s="76" t="s">
        <v>66</v>
      </c>
      <c r="S766" s="76" t="s">
        <v>941</v>
      </c>
      <c r="T766" s="387">
        <v>46007</v>
      </c>
      <c r="U766" s="387">
        <f>T766+45</f>
        <v>46052</v>
      </c>
      <c r="V766" s="387">
        <f>T766+50</f>
        <v>46057</v>
      </c>
      <c r="X766" s="133" t="s">
        <v>90</v>
      </c>
      <c r="Y766" s="129">
        <v>10</v>
      </c>
      <c r="Z766" s="114">
        <v>4905</v>
      </c>
      <c r="AA766" s="114">
        <f>Y766*Z766</f>
        <v>49050</v>
      </c>
      <c r="AB766" s="114">
        <v>14715</v>
      </c>
      <c r="AC766" s="114"/>
      <c r="AD766" s="140"/>
      <c r="AE766" s="114"/>
      <c r="AF766" s="114"/>
      <c r="AG766" s="114"/>
      <c r="AH766" s="114"/>
      <c r="AK766" s="129"/>
      <c r="AM766" s="114"/>
      <c r="AN766" s="129">
        <f>5245+84369.5</f>
        <v>89614.5</v>
      </c>
      <c r="AQ766" s="746">
        <f t="shared" si="134"/>
        <v>46057</v>
      </c>
      <c r="AR766" s="387">
        <f t="shared" si="135"/>
        <v>46027</v>
      </c>
      <c r="AS766" s="387"/>
      <c r="AT766" s="387"/>
      <c r="AW766" s="387"/>
      <c r="AX766" s="129"/>
      <c r="AY766" s="114"/>
      <c r="AZ766" s="127"/>
      <c r="BA766" s="127"/>
      <c r="BB766" s="127"/>
      <c r="BC766" s="127"/>
      <c r="BI766" s="75"/>
      <c r="BJ766" s="91"/>
      <c r="BL766" s="76" t="str">
        <f>D766</f>
        <v>TJTW-105</v>
      </c>
      <c r="BM766" s="76" t="str">
        <f>A766</f>
        <v>INTEX</v>
      </c>
      <c r="BN766" s="76" t="str">
        <f>C766</f>
        <v>SPC_04</v>
      </c>
      <c r="BO766" s="76" t="str">
        <f>E766</f>
        <v>0.30*728*1092 2.0/2.0 T3</v>
      </c>
      <c r="BP766" s="129">
        <f>J766</f>
        <v>10</v>
      </c>
      <c r="BQ766" s="387">
        <f>U766</f>
        <v>46052</v>
      </c>
    </row>
    <row r="767" s="76" customFormat="1" customHeight="1" spans="1:69">
      <c r="A767" s="76" t="s">
        <v>797</v>
      </c>
      <c r="B767" s="76" t="s">
        <v>578</v>
      </c>
      <c r="C767" s="387" t="s">
        <v>938</v>
      </c>
      <c r="D767" s="76" t="s">
        <v>939</v>
      </c>
      <c r="E767" s="76" t="s">
        <v>942</v>
      </c>
      <c r="F767" s="386"/>
      <c r="G767" s="479"/>
      <c r="H767" s="76" t="s">
        <v>93</v>
      </c>
      <c r="J767" s="129">
        <v>10</v>
      </c>
      <c r="K767" s="129">
        <f>Z767+340</f>
        <v>5245</v>
      </c>
      <c r="L767" s="114">
        <f>J767*K767</f>
        <v>52450</v>
      </c>
      <c r="M767" s="129">
        <v>5245</v>
      </c>
      <c r="N767" s="129">
        <f>5245+9374.39</f>
        <v>14619.39</v>
      </c>
      <c r="O767" s="76">
        <f>L767-N767</f>
        <v>37830.61</v>
      </c>
      <c r="P767" s="91"/>
      <c r="Q767" s="91"/>
      <c r="R767" s="76" t="s">
        <v>66</v>
      </c>
      <c r="S767" s="76" t="s">
        <v>941</v>
      </c>
      <c r="T767" s="387">
        <v>46007</v>
      </c>
      <c r="U767" s="387">
        <f>T767+45</f>
        <v>46052</v>
      </c>
      <c r="V767" s="387">
        <f>T767+50</f>
        <v>46057</v>
      </c>
      <c r="X767" s="133" t="s">
        <v>90</v>
      </c>
      <c r="Y767" s="129">
        <v>10</v>
      </c>
      <c r="Z767" s="114">
        <v>4905</v>
      </c>
      <c r="AA767" s="114">
        <f>Y767*Z767</f>
        <v>49050</v>
      </c>
      <c r="AB767" s="114"/>
      <c r="AC767" s="114"/>
      <c r="AD767" s="140"/>
      <c r="AE767" s="114"/>
      <c r="AF767" s="114"/>
      <c r="AG767" s="114"/>
      <c r="AH767" s="114"/>
      <c r="AK767" s="129"/>
      <c r="AM767" s="114"/>
      <c r="AN767" s="129">
        <f>5245+9374.39</f>
        <v>14619.39</v>
      </c>
      <c r="AQ767" s="746">
        <f t="shared" si="134"/>
        <v>46057</v>
      </c>
      <c r="AR767" s="387">
        <f t="shared" si="135"/>
        <v>46027</v>
      </c>
      <c r="AS767" s="387"/>
      <c r="AT767" s="387"/>
      <c r="AW767" s="387"/>
      <c r="AX767" s="129"/>
      <c r="AY767" s="114"/>
      <c r="AZ767" s="127"/>
      <c r="BA767" s="127"/>
      <c r="BB767" s="127"/>
      <c r="BC767" s="127"/>
      <c r="BI767" s="75"/>
      <c r="BJ767" s="91"/>
      <c r="BL767" s="76" t="str">
        <f>D767</f>
        <v>TJTW-105</v>
      </c>
      <c r="BM767" s="76" t="str">
        <f>A767</f>
        <v>INTEX</v>
      </c>
      <c r="BN767" s="76" t="str">
        <f>C767</f>
        <v>SPC_04</v>
      </c>
      <c r="BO767" s="76" t="str">
        <f>E767</f>
        <v>0.30*770*850 2.0/2.0 T3</v>
      </c>
      <c r="BP767" s="129">
        <f>J767</f>
        <v>10</v>
      </c>
      <c r="BQ767" s="387">
        <f>U767</f>
        <v>46052</v>
      </c>
    </row>
    <row r="768" s="79" customFormat="1" customHeight="1" spans="1:69">
      <c r="A768" s="79" t="s">
        <v>797</v>
      </c>
      <c r="B768" s="79" t="s">
        <v>578</v>
      </c>
      <c r="C768" s="463" t="s">
        <v>938</v>
      </c>
      <c r="D768" s="79" t="s">
        <v>939</v>
      </c>
      <c r="G768" s="486"/>
      <c r="J768" s="79">
        <f>SUM(J766:J767)</f>
        <v>20</v>
      </c>
      <c r="K768" s="194"/>
      <c r="L768" s="79">
        <f>SUM(L766:L767)</f>
        <v>104900</v>
      </c>
      <c r="M768" s="194">
        <f>SUM(M766:M767)</f>
        <v>10490</v>
      </c>
      <c r="N768" s="79">
        <f>SUM(N766:N767)</f>
        <v>104233.89</v>
      </c>
      <c r="O768" s="79">
        <f>SUM(O766:O767)</f>
        <v>666.110000000001</v>
      </c>
      <c r="T768" s="463"/>
      <c r="U768" s="463"/>
      <c r="V768" s="463"/>
      <c r="X768" s="193" t="s">
        <v>90</v>
      </c>
      <c r="Y768" s="79">
        <f>SUM(Y766:Y767)</f>
        <v>20</v>
      </c>
      <c r="Z768" s="192"/>
      <c r="AA768" s="79">
        <f>SUM(AA766:AA767)</f>
        <v>98100</v>
      </c>
      <c r="AB768" s="192">
        <f>SUM(AB766:AB767)</f>
        <v>14715</v>
      </c>
      <c r="AC768" s="192"/>
      <c r="AD768" s="196"/>
      <c r="AE768" s="192"/>
      <c r="AF768" s="192"/>
      <c r="AG768" s="192"/>
      <c r="AH768" s="192"/>
      <c r="AM768" s="192"/>
      <c r="AN768" s="79">
        <f>SUM(AN766:AN767)</f>
        <v>104233.89</v>
      </c>
      <c r="AO768" s="79">
        <f>SUM(AO766:AO767)</f>
        <v>0</v>
      </c>
      <c r="AQ768" s="463"/>
      <c r="AR768" s="463"/>
      <c r="AS768" s="463"/>
      <c r="AT768" s="463"/>
      <c r="AW768" s="463"/>
      <c r="AX768" s="194"/>
      <c r="AY768" s="192"/>
      <c r="AZ768" s="150"/>
      <c r="BA768" s="150"/>
      <c r="BB768" s="150"/>
      <c r="BC768" s="150"/>
      <c r="BI768" s="151"/>
    </row>
    <row r="769" s="76" customFormat="1" customHeight="1" spans="1:69">
      <c r="A769" s="76" t="s">
        <v>365</v>
      </c>
      <c r="B769" s="76" t="s">
        <v>572</v>
      </c>
      <c r="C769" s="387"/>
      <c r="D769" s="76" t="s">
        <v>943</v>
      </c>
      <c r="E769" s="76" t="s">
        <v>944</v>
      </c>
      <c r="G769" s="479"/>
      <c r="H769" s="76" t="s">
        <v>93</v>
      </c>
      <c r="J769" s="190">
        <v>100</v>
      </c>
      <c r="K769" s="129">
        <f>Z769+340</f>
        <v>5990</v>
      </c>
      <c r="L769" s="129">
        <f>J769*K769</f>
        <v>599000</v>
      </c>
      <c r="M769" s="129">
        <f>L769*0.1</f>
        <v>59900</v>
      </c>
      <c r="N769" s="76">
        <f>59900+528210.18</f>
        <v>588110.18</v>
      </c>
      <c r="O769" s="76">
        <f>L769-N769</f>
        <v>10889.8199999999</v>
      </c>
      <c r="P769" s="91"/>
      <c r="Q769" s="91"/>
      <c r="R769" s="76" t="s">
        <v>66</v>
      </c>
      <c r="S769" s="76" t="s">
        <v>945</v>
      </c>
      <c r="T769" s="387">
        <v>46010</v>
      </c>
      <c r="U769" s="387">
        <f>T769+45</f>
        <v>46055</v>
      </c>
      <c r="V769" s="387">
        <v>46091</v>
      </c>
      <c r="X769" s="133" t="s">
        <v>355</v>
      </c>
      <c r="Y769" s="76">
        <v>108</v>
      </c>
      <c r="Z769" s="114">
        <v>5650</v>
      </c>
      <c r="AA769" s="114">
        <f>Y769*Z769</f>
        <v>610200</v>
      </c>
      <c r="AB769" s="114">
        <v>61020</v>
      </c>
      <c r="AC769" s="114"/>
      <c r="AD769" s="140"/>
      <c r="AE769" s="114"/>
      <c r="AF769" s="114"/>
      <c r="AG769" s="114"/>
      <c r="AH769" s="114"/>
      <c r="AM769" s="114"/>
      <c r="AN769" s="76">
        <f>59900+528210.18</f>
        <v>588110.18</v>
      </c>
      <c r="AQ769" s="746">
        <f t="shared" ref="AQ769:AQ773" si="136">V769</f>
        <v>46091</v>
      </c>
      <c r="AR769" s="387">
        <f t="shared" ref="AR769:AR773" si="137">V769-30</f>
        <v>46061</v>
      </c>
      <c r="AS769" s="387" t="s">
        <v>701</v>
      </c>
      <c r="AT769" s="387"/>
      <c r="AU769" s="76" t="s">
        <v>946</v>
      </c>
      <c r="AV769" s="76">
        <v>4</v>
      </c>
      <c r="AW769" s="387">
        <v>46096</v>
      </c>
      <c r="AX769" s="129"/>
      <c r="AY769" s="114"/>
      <c r="AZ769" s="127"/>
      <c r="BA769" s="127"/>
      <c r="BB769" s="127"/>
      <c r="BC769" s="127"/>
      <c r="BI769" s="75"/>
      <c r="BJ769" s="91"/>
      <c r="BL769" s="76" t="str">
        <f>D769</f>
        <v>TJTW-106</v>
      </c>
      <c r="BM769" s="76" t="str">
        <f>A769</f>
        <v>PLK</v>
      </c>
      <c r="BN769" s="76">
        <f>C769</f>
        <v>0</v>
      </c>
      <c r="BO769" s="76" t="str">
        <f>E769</f>
        <v>0.16*875*C DR8.5 2.0/2.0 BA "eye to the side"</v>
      </c>
      <c r="BP769" s="129">
        <f>J769</f>
        <v>100</v>
      </c>
      <c r="BQ769" s="387">
        <f>U769</f>
        <v>46055</v>
      </c>
    </row>
    <row r="770" s="79" customFormat="1" customHeight="1" spans="1:69">
      <c r="A770" s="79" t="s">
        <v>365</v>
      </c>
      <c r="B770" s="79" t="s">
        <v>572</v>
      </c>
      <c r="C770" s="463"/>
      <c r="D770" s="79" t="s">
        <v>943</v>
      </c>
      <c r="G770" s="486"/>
      <c r="J770" s="79">
        <f>J769</f>
        <v>100</v>
      </c>
      <c r="K770" s="194"/>
      <c r="L770" s="79">
        <f>SUM(L769)</f>
        <v>599000</v>
      </c>
      <c r="M770" s="194"/>
      <c r="N770" s="79">
        <f>SUM(N769)</f>
        <v>588110.18</v>
      </c>
      <c r="O770" s="79">
        <f>SUM(O769)</f>
        <v>10889.8199999999</v>
      </c>
      <c r="T770" s="463"/>
      <c r="U770" s="463"/>
      <c r="V770" s="463"/>
      <c r="X770" s="193" t="s">
        <v>355</v>
      </c>
      <c r="Y770" s="79">
        <f>Y769</f>
        <v>108</v>
      </c>
      <c r="Z770" s="192"/>
      <c r="AA770" s="79">
        <f>AA769</f>
        <v>610200</v>
      </c>
      <c r="AB770" s="192"/>
      <c r="AC770" s="192"/>
      <c r="AD770" s="196"/>
      <c r="AE770" s="192"/>
      <c r="AF770" s="192"/>
      <c r="AG770" s="192"/>
      <c r="AH770" s="192"/>
      <c r="AM770" s="192"/>
      <c r="AN770" s="79">
        <f>SUM(AN769)</f>
        <v>588110.18</v>
      </c>
      <c r="AQ770" s="463"/>
      <c r="AR770" s="463"/>
      <c r="AS770" s="463"/>
      <c r="AT770" s="463"/>
      <c r="AW770" s="463"/>
      <c r="AX770" s="194"/>
      <c r="AY770" s="192"/>
      <c r="AZ770" s="150"/>
      <c r="BA770" s="150"/>
      <c r="BB770" s="150"/>
      <c r="BC770" s="150"/>
      <c r="BI770" s="151"/>
    </row>
    <row r="771" s="76" customFormat="1" customHeight="1" spans="1:69">
      <c r="A771" s="76" t="s">
        <v>744</v>
      </c>
      <c r="B771" s="76" t="s">
        <v>456</v>
      </c>
      <c r="C771" s="387" t="s">
        <v>947</v>
      </c>
      <c r="D771" s="76" t="s">
        <v>948</v>
      </c>
      <c r="E771" s="76" t="s">
        <v>949</v>
      </c>
      <c r="G771" s="479">
        <v>8</v>
      </c>
      <c r="J771" s="129">
        <v>54</v>
      </c>
      <c r="K771" s="129">
        <f>Z771+340</f>
        <v>5685</v>
      </c>
      <c r="L771" s="129">
        <f>J771*K771</f>
        <v>306990</v>
      </c>
      <c r="M771" s="129"/>
      <c r="N771" s="76">
        <v>30699</v>
      </c>
      <c r="P771" s="91"/>
      <c r="Q771" s="91"/>
      <c r="R771" s="76" t="s">
        <v>66</v>
      </c>
      <c r="S771" s="76" t="s">
        <v>950</v>
      </c>
      <c r="T771" s="387">
        <v>46013</v>
      </c>
      <c r="U771" s="387">
        <f>T771+45</f>
        <v>46058</v>
      </c>
      <c r="V771" s="387">
        <v>46091</v>
      </c>
      <c r="X771" s="133" t="s">
        <v>355</v>
      </c>
      <c r="Y771" s="76">
        <v>60.565</v>
      </c>
      <c r="Z771" s="114">
        <v>5345</v>
      </c>
      <c r="AA771" s="114">
        <f>Y771*Z771</f>
        <v>323719.925</v>
      </c>
      <c r="AB771" s="114">
        <f>28863+294856.925</f>
        <v>323719.925</v>
      </c>
      <c r="AC771" s="114">
        <f>AA771-AB771</f>
        <v>0</v>
      </c>
      <c r="AD771" s="140"/>
      <c r="AE771" s="114"/>
      <c r="AF771" s="114"/>
      <c r="AG771" s="114"/>
      <c r="AH771" s="114"/>
      <c r="AM771" s="114"/>
      <c r="AN771" s="114">
        <v>30699</v>
      </c>
      <c r="AQ771" s="746">
        <f t="shared" si="136"/>
        <v>46091</v>
      </c>
      <c r="AR771" s="387">
        <f t="shared" si="137"/>
        <v>46061</v>
      </c>
      <c r="AS771" s="387" t="s">
        <v>701</v>
      </c>
      <c r="AT771" s="387"/>
      <c r="AU771" s="76" t="s">
        <v>951</v>
      </c>
      <c r="AV771" s="76">
        <v>2</v>
      </c>
      <c r="AW771" s="387">
        <v>46124</v>
      </c>
      <c r="AX771" s="129"/>
      <c r="AY771" s="114"/>
      <c r="AZ771" s="127"/>
      <c r="BA771" s="127"/>
      <c r="BB771" s="127"/>
      <c r="BC771" s="127"/>
      <c r="BI771" s="75"/>
      <c r="BJ771" s="91"/>
      <c r="BL771" s="76" t="str">
        <f t="shared" ref="BL771:BL776" si="138">D771</f>
        <v>TJTW-107</v>
      </c>
      <c r="BM771" s="76" t="str">
        <f t="shared" ref="BM771:BM776" si="139">A771</f>
        <v>SKARDA</v>
      </c>
      <c r="BN771" s="76" t="str">
        <f>C771</f>
        <v>TW 2025-12-22</v>
      </c>
      <c r="BO771" s="76" t="str">
        <f t="shared" ref="BO771:BO776" si="140">E771</f>
        <v>0.15*868*872.4 DR9 1.0/1.0</v>
      </c>
      <c r="BP771" s="129">
        <f t="shared" ref="BP771:BP776" si="141">J771</f>
        <v>54</v>
      </c>
      <c r="BQ771" s="387">
        <f t="shared" ref="BQ771:BQ776" si="142">U771</f>
        <v>46058</v>
      </c>
    </row>
    <row r="772" s="76" customFormat="1" customHeight="1" spans="1:69">
      <c r="A772" s="76" t="s">
        <v>744</v>
      </c>
      <c r="B772" s="76" t="s">
        <v>456</v>
      </c>
      <c r="C772" s="387" t="s">
        <v>947</v>
      </c>
      <c r="D772" s="76" t="s">
        <v>948</v>
      </c>
      <c r="E772" s="76" t="s">
        <v>952</v>
      </c>
      <c r="G772" s="479"/>
      <c r="J772" s="129">
        <v>54</v>
      </c>
      <c r="K772" s="129">
        <f>Z772+250</f>
        <v>6100</v>
      </c>
      <c r="L772" s="129">
        <f>J772*K772</f>
        <v>329400</v>
      </c>
      <c r="M772" s="129"/>
      <c r="N772" s="76">
        <v>684846.9</v>
      </c>
      <c r="P772" s="91"/>
      <c r="Q772" s="91"/>
      <c r="R772" s="76" t="s">
        <v>88</v>
      </c>
      <c r="S772" s="76" t="s">
        <v>953</v>
      </c>
      <c r="T772" s="387">
        <v>46013</v>
      </c>
      <c r="U772" s="387">
        <f>T772+60</f>
        <v>46073</v>
      </c>
      <c r="V772" s="387">
        <v>46096</v>
      </c>
      <c r="X772" s="133" t="s">
        <v>355</v>
      </c>
      <c r="Y772" s="76">
        <v>54</v>
      </c>
      <c r="Z772" s="114">
        <v>5850</v>
      </c>
      <c r="AA772" s="114">
        <f>Y772*Z772</f>
        <v>315900</v>
      </c>
      <c r="AB772" s="114"/>
      <c r="AC772" s="114"/>
      <c r="AD772" s="140"/>
      <c r="AE772" s="114"/>
      <c r="AF772" s="114"/>
      <c r="AG772" s="114"/>
      <c r="AH772" s="114"/>
      <c r="AM772" s="114"/>
      <c r="AN772" s="114">
        <v>684846.9</v>
      </c>
      <c r="AQ772" s="746">
        <f t="shared" si="136"/>
        <v>46096</v>
      </c>
      <c r="AR772" s="387">
        <f t="shared" si="137"/>
        <v>46066</v>
      </c>
      <c r="AS772" s="387" t="s">
        <v>701</v>
      </c>
      <c r="AT772" s="387"/>
      <c r="AU772" s="76" t="s">
        <v>954</v>
      </c>
      <c r="AV772" s="76">
        <v>3</v>
      </c>
      <c r="AW772" s="387">
        <v>46121</v>
      </c>
      <c r="AX772" s="129"/>
      <c r="AY772" s="114"/>
      <c r="AZ772" s="127"/>
      <c r="BA772" s="127"/>
      <c r="BB772" s="127"/>
      <c r="BC772" s="127"/>
      <c r="BI772" s="75"/>
      <c r="BJ772" s="91"/>
      <c r="BL772" s="76" t="str">
        <f t="shared" si="138"/>
        <v>TJTW-107</v>
      </c>
      <c r="BM772" s="76" t="str">
        <f t="shared" si="139"/>
        <v>SKARDA</v>
      </c>
      <c r="BN772" s="76" t="str">
        <f>C772</f>
        <v>TW 2025-12-22</v>
      </c>
      <c r="BO772" s="76" t="str">
        <f t="shared" si="140"/>
        <v>0.17*944*795  T4 2.8/2.8</v>
      </c>
      <c r="BP772" s="129">
        <f t="shared" si="141"/>
        <v>54</v>
      </c>
      <c r="BQ772" s="387">
        <f t="shared" si="142"/>
        <v>46073</v>
      </c>
    </row>
    <row r="773" s="76" customFormat="1" customHeight="1" spans="1:69">
      <c r="A773" s="76" t="s">
        <v>744</v>
      </c>
      <c r="B773" s="76" t="s">
        <v>456</v>
      </c>
      <c r="C773" s="387" t="s">
        <v>947</v>
      </c>
      <c r="D773" s="76" t="s">
        <v>948</v>
      </c>
      <c r="E773" s="76" t="s">
        <v>955</v>
      </c>
      <c r="G773" s="479">
        <v>7</v>
      </c>
      <c r="J773" s="129">
        <v>27</v>
      </c>
      <c r="K773" s="129">
        <f>Z773+250</f>
        <v>5750</v>
      </c>
      <c r="L773" s="129">
        <f>J773*K773</f>
        <v>155250</v>
      </c>
      <c r="M773" s="129"/>
      <c r="N773" s="76">
        <f>66488.84+27833.76</f>
        <v>94322.6</v>
      </c>
      <c r="P773" s="91"/>
      <c r="Q773" s="91"/>
      <c r="R773" s="76" t="s">
        <v>88</v>
      </c>
      <c r="S773" s="76" t="s">
        <v>953</v>
      </c>
      <c r="T773" s="387">
        <v>46013</v>
      </c>
      <c r="U773" s="387">
        <f>T773+60</f>
        <v>46073</v>
      </c>
      <c r="V773" s="387">
        <v>46096</v>
      </c>
      <c r="X773" s="133" t="s">
        <v>355</v>
      </c>
      <c r="Y773" s="76">
        <v>27</v>
      </c>
      <c r="Z773" s="114">
        <v>5500</v>
      </c>
      <c r="AA773" s="114">
        <f>Y773*Z773</f>
        <v>148500</v>
      </c>
      <c r="AB773" s="114"/>
      <c r="AC773" s="114"/>
      <c r="AD773" s="140"/>
      <c r="AE773" s="114"/>
      <c r="AF773" s="114"/>
      <c r="AG773" s="114"/>
      <c r="AH773" s="114"/>
      <c r="AM773" s="114"/>
      <c r="AN773" s="76">
        <f>66488.84+27833.76</f>
        <v>94322.6</v>
      </c>
      <c r="AQ773" s="746">
        <f t="shared" si="136"/>
        <v>46096</v>
      </c>
      <c r="AR773" s="387">
        <f t="shared" si="137"/>
        <v>46066</v>
      </c>
      <c r="AS773" s="387"/>
      <c r="AT773" s="387"/>
      <c r="AW773" s="387"/>
      <c r="AX773" s="129"/>
      <c r="AY773" s="114"/>
      <c r="AZ773" s="127"/>
      <c r="BA773" s="127"/>
      <c r="BB773" s="127"/>
      <c r="BC773" s="127"/>
      <c r="BI773" s="75"/>
      <c r="BJ773" s="91"/>
      <c r="BL773" s="76" t="str">
        <f t="shared" si="138"/>
        <v>TJTW-107</v>
      </c>
      <c r="BM773" s="76" t="str">
        <f t="shared" si="139"/>
        <v>SKARDA</v>
      </c>
      <c r="BN773" s="76" t="str">
        <f>C773</f>
        <v>TW 2025-12-22</v>
      </c>
      <c r="BO773" s="76" t="str">
        <f t="shared" si="140"/>
        <v>0.20*892*808.4  T3 2.8/2.8</v>
      </c>
      <c r="BP773" s="129">
        <f t="shared" si="141"/>
        <v>27</v>
      </c>
      <c r="BQ773" s="387">
        <f t="shared" si="142"/>
        <v>46073</v>
      </c>
    </row>
    <row r="774" s="79" customFormat="1" customHeight="1" spans="1:69">
      <c r="A774" s="79" t="s">
        <v>744</v>
      </c>
      <c r="B774" s="79" t="s">
        <v>456</v>
      </c>
      <c r="C774" s="463" t="s">
        <v>947</v>
      </c>
      <c r="D774" s="79" t="s">
        <v>948</v>
      </c>
      <c r="G774" s="486"/>
      <c r="J774" s="79">
        <f>SUM(J771:J773)</f>
        <v>135</v>
      </c>
      <c r="K774" s="194"/>
      <c r="L774" s="79">
        <f>SUM(L771:L773)</f>
        <v>791640</v>
      </c>
      <c r="M774" s="194"/>
      <c r="N774" s="79">
        <f>SUM(N771:N773)</f>
        <v>809868.5</v>
      </c>
      <c r="T774" s="463"/>
      <c r="U774" s="463"/>
      <c r="V774" s="463"/>
      <c r="X774" s="193" t="s">
        <v>355</v>
      </c>
      <c r="Y774" s="79">
        <f>SUM(Y771:Y773)</f>
        <v>141.565</v>
      </c>
      <c r="Z774" s="192"/>
      <c r="AA774" s="79">
        <f>SUM(AA771:AA773)</f>
        <v>788119.925</v>
      </c>
      <c r="AB774" s="192"/>
      <c r="AC774" s="192"/>
      <c r="AD774" s="196"/>
      <c r="AE774" s="192"/>
      <c r="AF774" s="192"/>
      <c r="AG774" s="192"/>
      <c r="AH774" s="192"/>
      <c r="AM774" s="192"/>
      <c r="AN774" s="192">
        <f>SUM(AN771:AN773)</f>
        <v>809868.5</v>
      </c>
      <c r="AQ774" s="463"/>
      <c r="AR774" s="463"/>
      <c r="AS774" s="463"/>
      <c r="AT774" s="463"/>
      <c r="AW774" s="463"/>
      <c r="AX774" s="194"/>
      <c r="AY774" s="192"/>
      <c r="AZ774" s="150"/>
      <c r="BA774" s="150"/>
      <c r="BB774" s="150"/>
      <c r="BC774" s="150"/>
      <c r="BI774" s="151"/>
      <c r="BL774" s="79" t="str">
        <f t="shared" si="138"/>
        <v>TJTW-107</v>
      </c>
      <c r="BM774" s="79" t="str">
        <f t="shared" si="139"/>
        <v>SKARDA</v>
      </c>
      <c r="BO774" s="79">
        <f t="shared" si="140"/>
        <v>0</v>
      </c>
      <c r="BP774" s="79">
        <f t="shared" si="141"/>
        <v>135</v>
      </c>
      <c r="BQ774" s="79">
        <f t="shared" si="142"/>
        <v>0</v>
      </c>
    </row>
    <row r="775" s="76" customFormat="1" customHeight="1" spans="1:69">
      <c r="A775" s="76" t="s">
        <v>933</v>
      </c>
      <c r="B775" s="76" t="s">
        <v>456</v>
      </c>
      <c r="C775" s="387"/>
      <c r="D775" s="76" t="s">
        <v>956</v>
      </c>
      <c r="E775" s="76" t="s">
        <v>685</v>
      </c>
      <c r="G775" s="479"/>
      <c r="J775" s="264">
        <v>2097600</v>
      </c>
      <c r="K775" s="129">
        <v>0.23</v>
      </c>
      <c r="L775" s="129">
        <f>J775*K775</f>
        <v>482448</v>
      </c>
      <c r="M775" s="129"/>
      <c r="N775" s="114">
        <v>482448</v>
      </c>
      <c r="P775" s="91"/>
      <c r="Q775" s="91"/>
      <c r="R775" s="113" t="s">
        <v>148</v>
      </c>
      <c r="S775" s="76" t="s">
        <v>957</v>
      </c>
      <c r="T775" s="387">
        <v>46028</v>
      </c>
      <c r="U775" s="387">
        <f>T775+15</f>
        <v>46043</v>
      </c>
      <c r="V775" s="387">
        <v>46049</v>
      </c>
      <c r="X775" s="133" t="s">
        <v>90</v>
      </c>
      <c r="Y775" s="264">
        <v>2097600</v>
      </c>
      <c r="Z775" s="140">
        <v>0.245</v>
      </c>
      <c r="AA775" s="114">
        <f>Y775*Z775</f>
        <v>513912</v>
      </c>
      <c r="AB775" s="114">
        <v>513912</v>
      </c>
      <c r="AC775" s="114">
        <f>AA775-AB775</f>
        <v>0</v>
      </c>
      <c r="AD775" s="140"/>
      <c r="AE775" s="114"/>
      <c r="AF775" s="114"/>
      <c r="AG775" s="114"/>
      <c r="AH775" s="114"/>
      <c r="AM775" s="114"/>
      <c r="AN775" s="114">
        <v>482448</v>
      </c>
      <c r="AQ775" s="746">
        <f>V775</f>
        <v>46049</v>
      </c>
      <c r="AR775" s="387">
        <f>V775-30</f>
        <v>46019</v>
      </c>
      <c r="AS775" s="387" t="s">
        <v>701</v>
      </c>
      <c r="AT775" s="387"/>
      <c r="AU775" s="76" t="s">
        <v>958</v>
      </c>
      <c r="AV775" s="76">
        <v>2</v>
      </c>
      <c r="AW775" s="387">
        <v>46070</v>
      </c>
      <c r="AX775" s="129"/>
      <c r="AY775" s="114"/>
      <c r="AZ775" s="127"/>
      <c r="BA775" s="127"/>
      <c r="BB775" s="127"/>
      <c r="BC775" s="127"/>
      <c r="BI775" s="75"/>
      <c r="BJ775" s="91"/>
      <c r="BL775" s="76" t="str">
        <f t="shared" si="138"/>
        <v>TJTW-109</v>
      </c>
      <c r="BM775" s="76" t="str">
        <f t="shared" si="139"/>
        <v>KALMETA</v>
      </c>
      <c r="BN775" s="76">
        <f>C775</f>
        <v>0</v>
      </c>
      <c r="BO775" s="76" t="str">
        <f t="shared" si="140"/>
        <v>EOE.99.8mm 0.22 #401</v>
      </c>
      <c r="BP775" s="129">
        <f t="shared" si="141"/>
        <v>2097600</v>
      </c>
      <c r="BQ775" s="387">
        <f t="shared" si="142"/>
        <v>46043</v>
      </c>
    </row>
    <row r="776" s="79" customFormat="1" customHeight="1" spans="1:69">
      <c r="A776" s="79" t="s">
        <v>933</v>
      </c>
      <c r="B776" s="79" t="s">
        <v>456</v>
      </c>
      <c r="C776" s="463"/>
      <c r="D776" s="79" t="s">
        <v>956</v>
      </c>
      <c r="G776" s="486"/>
      <c r="J776" s="79">
        <f>SUM(J775)</f>
        <v>2097600</v>
      </c>
      <c r="K776" s="194"/>
      <c r="L776" s="79">
        <f>SUM(L775)</f>
        <v>482448</v>
      </c>
      <c r="M776" s="194"/>
      <c r="T776" s="463"/>
      <c r="U776" s="463"/>
      <c r="V776" s="463"/>
      <c r="X776" s="193" t="s">
        <v>90</v>
      </c>
      <c r="Y776" s="79">
        <f>SUM(Y775)</f>
        <v>2097600</v>
      </c>
      <c r="Z776" s="192"/>
      <c r="AA776" s="79">
        <f>SUM(AA775)</f>
        <v>513912</v>
      </c>
      <c r="AB776" s="192"/>
      <c r="AC776" s="192"/>
      <c r="AD776" s="196"/>
      <c r="AE776" s="192"/>
      <c r="AF776" s="192"/>
      <c r="AG776" s="192"/>
      <c r="AH776" s="192"/>
      <c r="AM776" s="192"/>
      <c r="AN776" s="192"/>
      <c r="AQ776" s="463"/>
      <c r="AR776" s="463"/>
      <c r="AS776" s="463"/>
      <c r="AT776" s="463"/>
      <c r="AW776" s="463"/>
      <c r="AX776" s="194"/>
      <c r="AY776" s="192"/>
      <c r="AZ776" s="150"/>
      <c r="BA776" s="150"/>
      <c r="BB776" s="150"/>
      <c r="BC776" s="150"/>
      <c r="BI776" s="151"/>
      <c r="BL776" s="79" t="str">
        <f t="shared" si="138"/>
        <v>TJTW-109</v>
      </c>
      <c r="BM776" s="79" t="str">
        <f t="shared" si="139"/>
        <v>KALMETA</v>
      </c>
      <c r="BO776" s="79">
        <f t="shared" si="140"/>
        <v>0</v>
      </c>
      <c r="BP776" s="79">
        <f t="shared" si="141"/>
        <v>2097600</v>
      </c>
      <c r="BQ776" s="79">
        <f t="shared" si="142"/>
        <v>0</v>
      </c>
    </row>
    <row r="777" s="76" customFormat="1" customHeight="1" spans="1:69">
      <c r="A777" s="76" t="s">
        <v>933</v>
      </c>
      <c r="B777" s="76" t="s">
        <v>456</v>
      </c>
      <c r="C777" s="387" t="s">
        <v>959</v>
      </c>
      <c r="D777" s="76" t="s">
        <v>960</v>
      </c>
      <c r="E777" s="76" t="s">
        <v>961</v>
      </c>
      <c r="G777" s="479"/>
      <c r="J777" s="264">
        <v>32</v>
      </c>
      <c r="K777" s="129"/>
      <c r="L777" s="129"/>
      <c r="M777" s="129"/>
      <c r="P777" s="91"/>
      <c r="Q777" s="91"/>
      <c r="R777" s="76" t="s">
        <v>88</v>
      </c>
      <c r="T777" s="387"/>
      <c r="U777" s="387"/>
      <c r="V777" s="387"/>
      <c r="X777" s="133" t="s">
        <v>90</v>
      </c>
      <c r="Y777" s="264">
        <v>32</v>
      </c>
      <c r="Z777" s="114">
        <v>160</v>
      </c>
      <c r="AA777" s="114">
        <v>5120</v>
      </c>
      <c r="AB777" s="114"/>
      <c r="AC777" s="114"/>
      <c r="AD777" s="140"/>
      <c r="AE777" s="114"/>
      <c r="AF777" s="114"/>
      <c r="AG777" s="114"/>
      <c r="AH777" s="114"/>
      <c r="AM777" s="114"/>
      <c r="AN777" s="114"/>
      <c r="AQ777" s="387"/>
      <c r="AR777" s="387"/>
      <c r="AS777" s="387"/>
      <c r="AT777" s="387"/>
      <c r="AW777" s="387"/>
      <c r="AX777" s="129"/>
      <c r="AY777" s="114"/>
      <c r="AZ777" s="127"/>
      <c r="BA777" s="127"/>
      <c r="BB777" s="127"/>
      <c r="BC777" s="127"/>
      <c r="BI777" s="75"/>
      <c r="BJ777" s="91"/>
      <c r="BL777" s="76" t="s">
        <v>960</v>
      </c>
      <c r="BM777" s="76" t="s">
        <v>933</v>
      </c>
      <c r="BN777" s="76" t="str">
        <f>C777</f>
        <v>TW 2025-12-23</v>
      </c>
      <c r="BO777" s="76" t="s">
        <v>962</v>
      </c>
      <c r="BP777" s="129">
        <v>32</v>
      </c>
      <c r="BQ777" s="387">
        <v>0</v>
      </c>
    </row>
    <row r="778" s="76" customFormat="1" customHeight="1" spans="1:69">
      <c r="A778" s="76" t="s">
        <v>933</v>
      </c>
      <c r="B778" s="76" t="s">
        <v>456</v>
      </c>
      <c r="C778" s="387"/>
      <c r="D778" s="76" t="s">
        <v>960</v>
      </c>
      <c r="E778" s="76" t="s">
        <v>963</v>
      </c>
      <c r="G778" s="479"/>
      <c r="J778" s="264">
        <v>64</v>
      </c>
      <c r="K778" s="129"/>
      <c r="L778" s="129"/>
      <c r="M778" s="129"/>
      <c r="P778" s="91"/>
      <c r="Q778" s="91"/>
      <c r="R778" s="76" t="s">
        <v>88</v>
      </c>
      <c r="T778" s="387"/>
      <c r="U778" s="387"/>
      <c r="V778" s="387"/>
      <c r="X778" s="133" t="s">
        <v>90</v>
      </c>
      <c r="Y778" s="264">
        <v>64</v>
      </c>
      <c r="Z778" s="114">
        <v>160</v>
      </c>
      <c r="AA778" s="114">
        <v>10240</v>
      </c>
      <c r="AB778" s="114"/>
      <c r="AC778" s="114"/>
      <c r="AD778" s="140"/>
      <c r="AE778" s="114"/>
      <c r="AF778" s="114"/>
      <c r="AG778" s="114"/>
      <c r="AH778" s="114"/>
      <c r="AM778" s="114"/>
      <c r="AN778" s="114"/>
      <c r="AQ778" s="387"/>
      <c r="AR778" s="387"/>
      <c r="AS778" s="387"/>
      <c r="AT778" s="387"/>
      <c r="AW778" s="387"/>
      <c r="AX778" s="129"/>
      <c r="AY778" s="114"/>
      <c r="AZ778" s="127"/>
      <c r="BA778" s="127"/>
      <c r="BB778" s="127"/>
      <c r="BC778" s="127"/>
      <c r="BI778" s="75"/>
      <c r="BJ778" s="91"/>
      <c r="BL778" s="76" t="s">
        <v>960</v>
      </c>
      <c r="BM778" s="76" t="s">
        <v>933</v>
      </c>
      <c r="BN778" s="76">
        <f>C778</f>
        <v>0</v>
      </c>
      <c r="BO778" s="76" t="s">
        <v>964</v>
      </c>
      <c r="BP778" s="129">
        <v>64</v>
      </c>
      <c r="BQ778" s="387">
        <v>0</v>
      </c>
    </row>
    <row r="779" s="76" customFormat="1" customHeight="1" spans="1:69">
      <c r="A779" s="76" t="s">
        <v>933</v>
      </c>
      <c r="B779" s="76" t="s">
        <v>456</v>
      </c>
      <c r="C779" s="387"/>
      <c r="D779" s="76" t="s">
        <v>960</v>
      </c>
      <c r="E779" s="76" t="s">
        <v>965</v>
      </c>
      <c r="G779" s="479"/>
      <c r="J779" s="264">
        <v>64</v>
      </c>
      <c r="K779" s="129"/>
      <c r="L779" s="129"/>
      <c r="M779" s="129"/>
      <c r="P779" s="91"/>
      <c r="Q779" s="91"/>
      <c r="R779" s="76" t="s">
        <v>88</v>
      </c>
      <c r="T779" s="387"/>
      <c r="U779" s="387"/>
      <c r="V779" s="387"/>
      <c r="X779" s="133" t="s">
        <v>90</v>
      </c>
      <c r="Y779" s="264">
        <v>64</v>
      </c>
      <c r="Z779" s="114">
        <v>160</v>
      </c>
      <c r="AA779" s="114">
        <v>10240</v>
      </c>
      <c r="AB779" s="114"/>
      <c r="AC779" s="114"/>
      <c r="AD779" s="140"/>
      <c r="AE779" s="114"/>
      <c r="AF779" s="114"/>
      <c r="AG779" s="114"/>
      <c r="AH779" s="114"/>
      <c r="AM779" s="114"/>
      <c r="AN779" s="114"/>
      <c r="AQ779" s="387"/>
      <c r="AR779" s="387"/>
      <c r="AS779" s="387"/>
      <c r="AT779" s="387"/>
      <c r="AW779" s="387"/>
      <c r="AX779" s="129"/>
      <c r="AY779" s="114"/>
      <c r="AZ779" s="127"/>
      <c r="BA779" s="127"/>
      <c r="BB779" s="127"/>
      <c r="BC779" s="127"/>
      <c r="BI779" s="75"/>
      <c r="BJ779" s="91"/>
      <c r="BL779" s="76" t="s">
        <v>960</v>
      </c>
      <c r="BM779" s="76" t="s">
        <v>933</v>
      </c>
      <c r="BN779" s="76">
        <f>C779</f>
        <v>0</v>
      </c>
      <c r="BO779" s="76" t="s">
        <v>966</v>
      </c>
      <c r="BP779" s="129">
        <v>64</v>
      </c>
      <c r="BQ779" s="387">
        <v>0</v>
      </c>
    </row>
    <row r="780" s="79" customFormat="1" customHeight="1" spans="1:69">
      <c r="B780" s="79" t="s">
        <v>456</v>
      </c>
      <c r="C780" s="463"/>
      <c r="D780" s="79" t="s">
        <v>967</v>
      </c>
      <c r="G780" s="486"/>
      <c r="J780" s="79">
        <v>160</v>
      </c>
      <c r="K780" s="194"/>
      <c r="L780" s="79">
        <v>0</v>
      </c>
      <c r="M780" s="194"/>
      <c r="T780" s="463"/>
      <c r="U780" s="463"/>
      <c r="V780" s="463"/>
      <c r="X780" s="193" t="s">
        <v>90</v>
      </c>
      <c r="Y780" s="79">
        <v>160</v>
      </c>
      <c r="Z780" s="192"/>
      <c r="AA780" s="79">
        <v>25600</v>
      </c>
      <c r="AB780" s="192"/>
      <c r="AC780" s="192"/>
      <c r="AD780" s="196"/>
      <c r="AE780" s="192"/>
      <c r="AF780" s="192"/>
      <c r="AG780" s="192"/>
      <c r="AH780" s="192"/>
      <c r="AM780" s="192"/>
      <c r="AN780" s="192"/>
      <c r="AQ780" s="463"/>
      <c r="AR780" s="463"/>
      <c r="AS780" s="463"/>
      <c r="AT780" s="463"/>
      <c r="AW780" s="463"/>
      <c r="AX780" s="194"/>
      <c r="AY780" s="192"/>
      <c r="AZ780" s="150"/>
      <c r="BA780" s="150"/>
      <c r="BB780" s="150"/>
      <c r="BC780" s="150"/>
      <c r="BI780" s="151"/>
      <c r="BL780" s="79" t="s">
        <v>967</v>
      </c>
      <c r="BM780" s="79">
        <v>0</v>
      </c>
      <c r="BO780" s="79">
        <v>0</v>
      </c>
      <c r="BP780" s="79">
        <v>160</v>
      </c>
      <c r="BQ780" s="79">
        <v>0</v>
      </c>
    </row>
    <row r="781" s="76" customFormat="1" customHeight="1" spans="1:69">
      <c r="A781" s="76" t="s">
        <v>933</v>
      </c>
      <c r="B781" s="76" t="s">
        <v>456</v>
      </c>
      <c r="C781" s="387"/>
      <c r="D781" s="76" t="s">
        <v>968</v>
      </c>
      <c r="E781" s="76" t="s">
        <v>935</v>
      </c>
      <c r="G781" s="479"/>
      <c r="J781" s="76">
        <v>2320000</v>
      </c>
      <c r="K781" s="143">
        <v>0.2329</v>
      </c>
      <c r="L781" s="114">
        <f>J781*K781</f>
        <v>540328</v>
      </c>
      <c r="M781" s="129"/>
      <c r="N781" s="76">
        <v>540328</v>
      </c>
      <c r="P781" s="91"/>
      <c r="Q781" s="91"/>
      <c r="R781" s="76" t="s">
        <v>88</v>
      </c>
      <c r="S781" s="76" t="s">
        <v>969</v>
      </c>
      <c r="T781" s="387">
        <v>46028</v>
      </c>
      <c r="U781" s="387">
        <v>46053</v>
      </c>
      <c r="V781" s="387">
        <v>46053</v>
      </c>
      <c r="X781" s="133" t="s">
        <v>355</v>
      </c>
      <c r="Y781" s="76">
        <v>2320000</v>
      </c>
      <c r="Z781" s="114">
        <v>0.25</v>
      </c>
      <c r="AA781" s="114">
        <f>Y781*Z781</f>
        <v>580000</v>
      </c>
      <c r="AB781" s="114"/>
      <c r="AC781" s="114"/>
      <c r="AD781" s="140"/>
      <c r="AE781" s="114"/>
      <c r="AF781" s="114"/>
      <c r="AG781" s="114"/>
      <c r="AH781" s="114"/>
      <c r="AM781" s="114"/>
      <c r="AN781" s="114">
        <v>540328</v>
      </c>
      <c r="AQ781" s="746">
        <f t="shared" ref="AQ781:AQ786" si="143">V781</f>
        <v>46053</v>
      </c>
      <c r="AR781" s="387">
        <f t="shared" ref="AR781:AR786" si="144">V781-30</f>
        <v>46023</v>
      </c>
      <c r="AS781" s="387"/>
      <c r="AT781" s="387"/>
      <c r="AU781" s="76" t="s">
        <v>970</v>
      </c>
      <c r="AV781" s="76">
        <v>2</v>
      </c>
      <c r="AW781" s="387">
        <v>46089</v>
      </c>
      <c r="AX781" s="129"/>
      <c r="AY781" s="114"/>
      <c r="AZ781" s="127"/>
      <c r="BA781" s="127"/>
      <c r="BB781" s="127"/>
      <c r="BC781" s="127"/>
      <c r="BI781" s="75"/>
      <c r="BJ781" s="91"/>
      <c r="BL781" s="76" t="str">
        <f>D781</f>
        <v>TJTW-110</v>
      </c>
      <c r="BM781" s="76" t="str">
        <f>A781</f>
        <v>KALMETA</v>
      </c>
      <c r="BN781" s="76">
        <f>C781</f>
        <v>0</v>
      </c>
      <c r="BO781" s="76" t="str">
        <f>E781</f>
        <v>EOE 99.8mm 0.21 #401</v>
      </c>
      <c r="BP781" s="129">
        <f>J781</f>
        <v>2320000</v>
      </c>
      <c r="BQ781" s="387">
        <f>U781</f>
        <v>46053</v>
      </c>
    </row>
    <row r="782" s="79" customFormat="1" customHeight="1" spans="1:69">
      <c r="A782" s="79" t="s">
        <v>933</v>
      </c>
      <c r="B782" s="79" t="s">
        <v>456</v>
      </c>
      <c r="C782" s="463"/>
      <c r="D782" s="79" t="s">
        <v>968</v>
      </c>
      <c r="G782" s="486"/>
      <c r="J782" s="79">
        <f>SUM(J781:J781)</f>
        <v>2320000</v>
      </c>
      <c r="K782" s="194"/>
      <c r="L782" s="79">
        <f>SUM(L781:L781)</f>
        <v>540328</v>
      </c>
      <c r="M782" s="194"/>
      <c r="N782" s="79">
        <f>SUM(N781:N781)</f>
        <v>540328</v>
      </c>
      <c r="O782" s="79">
        <f>O781</f>
        <v>0</v>
      </c>
      <c r="T782" s="463"/>
      <c r="U782" s="463"/>
      <c r="V782" s="463"/>
      <c r="X782" s="193"/>
      <c r="Y782" s="79">
        <f>SUM(Y781:Y781)</f>
        <v>2320000</v>
      </c>
      <c r="Z782" s="192"/>
      <c r="AA782" s="79">
        <f>SUM(AA781:AA781)</f>
        <v>580000</v>
      </c>
      <c r="AB782" s="192"/>
      <c r="AC782" s="192"/>
      <c r="AD782" s="196"/>
      <c r="AE782" s="192"/>
      <c r="AF782" s="192"/>
      <c r="AG782" s="192"/>
      <c r="AH782" s="192"/>
      <c r="AM782" s="192"/>
      <c r="AN782" s="192">
        <f>SUM(AN781:AN781)</f>
        <v>540328</v>
      </c>
      <c r="AQ782" s="463"/>
      <c r="AR782" s="463"/>
      <c r="AS782" s="463"/>
      <c r="AT782" s="463"/>
      <c r="AW782" s="463"/>
      <c r="AX782" s="194"/>
      <c r="AY782" s="192"/>
      <c r="AZ782" s="150"/>
      <c r="BA782" s="150"/>
      <c r="BB782" s="150"/>
      <c r="BC782" s="150"/>
      <c r="BI782" s="151"/>
    </row>
    <row r="783" s="76" customFormat="1" customHeight="1" spans="1:69">
      <c r="A783" s="76" t="s">
        <v>933</v>
      </c>
      <c r="B783" s="76" t="s">
        <v>456</v>
      </c>
      <c r="C783" s="387"/>
      <c r="D783" s="76" t="s">
        <v>971</v>
      </c>
      <c r="E783" s="76" t="s">
        <v>972</v>
      </c>
      <c r="G783" s="479"/>
      <c r="J783" s="76">
        <v>174000</v>
      </c>
      <c r="K783" s="143">
        <v>0.2675</v>
      </c>
      <c r="L783" s="114">
        <f>J783*K783</f>
        <v>46545</v>
      </c>
      <c r="M783" s="129"/>
      <c r="N783" s="76">
        <f>43891.2+2421.075</f>
        <v>46312.275</v>
      </c>
      <c r="P783" s="91"/>
      <c r="Q783" s="91"/>
      <c r="R783" s="76" t="s">
        <v>88</v>
      </c>
      <c r="S783" s="76" t="s">
        <v>973</v>
      </c>
      <c r="T783" s="387">
        <v>46035</v>
      </c>
      <c r="U783" s="387">
        <v>46053</v>
      </c>
      <c r="V783" s="387">
        <v>46053</v>
      </c>
      <c r="X783" s="133" t="s">
        <v>355</v>
      </c>
      <c r="Y783" s="76">
        <v>174000</v>
      </c>
      <c r="Z783" s="114">
        <v>0.29</v>
      </c>
      <c r="AA783" s="114">
        <f>Y783*Z783</f>
        <v>50460</v>
      </c>
      <c r="AB783" s="114"/>
      <c r="AC783" s="114"/>
      <c r="AD783" s="140"/>
      <c r="AE783" s="114"/>
      <c r="AF783" s="114"/>
      <c r="AG783" s="114"/>
      <c r="AH783" s="114"/>
      <c r="AM783" s="114"/>
      <c r="AN783" s="76">
        <f>43891.2+2421.075</f>
        <v>46312.275</v>
      </c>
      <c r="AQ783" s="746">
        <f t="shared" si="143"/>
        <v>46053</v>
      </c>
      <c r="AR783" s="387">
        <f t="shared" si="144"/>
        <v>46023</v>
      </c>
      <c r="AS783" s="747" t="s">
        <v>974</v>
      </c>
      <c r="AT783" s="387"/>
      <c r="AW783" s="387"/>
      <c r="AX783" s="129"/>
      <c r="AY783" s="114"/>
      <c r="AZ783" s="127"/>
      <c r="BA783" s="127"/>
      <c r="BB783" s="127"/>
      <c r="BC783" s="127"/>
      <c r="BI783" s="75"/>
      <c r="BJ783" s="91"/>
      <c r="BL783" s="76" t="str">
        <f>D783</f>
        <v>TJTW-111</v>
      </c>
      <c r="BM783" s="76" t="str">
        <f>A783</f>
        <v>KALMETA</v>
      </c>
      <c r="BN783" s="76">
        <f>C783</f>
        <v>0</v>
      </c>
      <c r="BO783" s="76" t="str">
        <f>E783</f>
        <v>EOE 99.8mm 0.21 #401(colored)</v>
      </c>
      <c r="BP783" s="129">
        <f>J783</f>
        <v>174000</v>
      </c>
      <c r="BQ783" s="387">
        <f>U783</f>
        <v>46053</v>
      </c>
    </row>
    <row r="784" s="79" customFormat="1" customHeight="1" spans="1:69">
      <c r="A784" s="79" t="s">
        <v>933</v>
      </c>
      <c r="B784" s="79" t="s">
        <v>456</v>
      </c>
      <c r="C784" s="463"/>
      <c r="D784" s="79" t="s">
        <v>971</v>
      </c>
      <c r="G784" s="486"/>
      <c r="J784" s="79">
        <f>SUM(J783:J783)</f>
        <v>174000</v>
      </c>
      <c r="K784" s="194"/>
      <c r="L784" s="79">
        <f>SUM(L783:L783)</f>
        <v>46545</v>
      </c>
      <c r="M784" s="194"/>
      <c r="N784" s="79">
        <f>SUM(N783:N783)</f>
        <v>46312.275</v>
      </c>
      <c r="O784" s="79">
        <f>O783</f>
        <v>0</v>
      </c>
      <c r="T784" s="463"/>
      <c r="U784" s="463"/>
      <c r="V784" s="463"/>
      <c r="X784" s="193"/>
      <c r="Y784" s="79">
        <f>SUM(Y783:Y783)</f>
        <v>174000</v>
      </c>
      <c r="Z784" s="192"/>
      <c r="AA784" s="79">
        <f>SUM(AA783:AA783)</f>
        <v>50460</v>
      </c>
      <c r="AB784" s="192"/>
      <c r="AC784" s="192"/>
      <c r="AD784" s="196"/>
      <c r="AE784" s="192"/>
      <c r="AF784" s="192"/>
      <c r="AG784" s="192"/>
      <c r="AH784" s="192"/>
      <c r="AM784" s="192"/>
      <c r="AN784" s="192">
        <f>SUM(AN783:AN783)</f>
        <v>46312.275</v>
      </c>
      <c r="AQ784" s="463"/>
      <c r="AR784" s="463"/>
      <c r="AS784" s="463"/>
      <c r="AT784" s="463"/>
      <c r="AW784" s="463"/>
      <c r="AX784" s="194"/>
      <c r="AY784" s="192"/>
      <c r="AZ784" s="150"/>
      <c r="BA784" s="150"/>
      <c r="BB784" s="150"/>
      <c r="BC784" s="150"/>
      <c r="BI784" s="151"/>
    </row>
    <row r="785" s="76" customFormat="1" customHeight="1" spans="1:69">
      <c r="A785" s="76" t="s">
        <v>975</v>
      </c>
      <c r="B785" s="76" t="s">
        <v>456</v>
      </c>
      <c r="C785" s="387" t="s">
        <v>976</v>
      </c>
      <c r="D785" s="76" t="s">
        <v>977</v>
      </c>
      <c r="E785" s="76" t="s">
        <v>978</v>
      </c>
      <c r="G785" s="479"/>
      <c r="H785" s="76" t="s">
        <v>93</v>
      </c>
      <c r="J785" s="264">
        <v>696000</v>
      </c>
      <c r="K785" s="373">
        <v>0.224</v>
      </c>
      <c r="L785" s="114">
        <f>J785*K785</f>
        <v>155904</v>
      </c>
      <c r="M785" s="129"/>
      <c r="N785" s="253">
        <f>140313.6+15590.4</f>
        <v>155904</v>
      </c>
      <c r="P785" s="91"/>
      <c r="Q785" s="91"/>
      <c r="R785" s="76" t="s">
        <v>88</v>
      </c>
      <c r="S785" s="76" t="s">
        <v>979</v>
      </c>
      <c r="T785" s="387">
        <v>46038</v>
      </c>
      <c r="U785" s="387"/>
      <c r="V785" s="387">
        <v>46101</v>
      </c>
      <c r="X785" s="133" t="s">
        <v>355</v>
      </c>
      <c r="Y785" s="264">
        <v>696000</v>
      </c>
      <c r="Z785" s="140">
        <v>0.245</v>
      </c>
      <c r="AA785" s="114">
        <f>Y785*Z785</f>
        <v>170520</v>
      </c>
      <c r="AB785" s="114"/>
      <c r="AC785" s="114"/>
      <c r="AD785" s="140"/>
      <c r="AE785" s="114"/>
      <c r="AF785" s="114"/>
      <c r="AG785" s="114"/>
      <c r="AH785" s="114"/>
      <c r="AI785" s="91"/>
      <c r="AM785" s="114"/>
      <c r="AN785" s="253">
        <f>140313.6+15590.4</f>
        <v>155904</v>
      </c>
      <c r="AP785" s="91"/>
      <c r="AQ785" s="746">
        <f t="shared" si="143"/>
        <v>46101</v>
      </c>
      <c r="AR785" s="387">
        <f t="shared" si="144"/>
        <v>46071</v>
      </c>
      <c r="AS785" s="387" t="s">
        <v>701</v>
      </c>
      <c r="AT785" s="387"/>
      <c r="AU785" s="76" t="s">
        <v>980</v>
      </c>
      <c r="AV785" s="76">
        <v>1</v>
      </c>
      <c r="AW785" s="387">
        <v>46117</v>
      </c>
      <c r="AX785" s="129"/>
      <c r="AY785" s="114"/>
      <c r="AZ785" s="127"/>
      <c r="BA785" s="127"/>
      <c r="BB785" s="127"/>
      <c r="BC785" s="127"/>
      <c r="BI785" s="75"/>
      <c r="BJ785" s="91"/>
      <c r="BL785" s="76" t="str">
        <f>D785</f>
        <v>TJTW-112</v>
      </c>
      <c r="BM785" s="76" t="str">
        <f>A785</f>
        <v>TIN SERVIS</v>
      </c>
      <c r="BN785" s="76" t="str">
        <f>C785</f>
        <v>No 13-08 Spec 3</v>
      </c>
      <c r="BO785" s="76" t="str">
        <f>E785</f>
        <v>EOE diam.99mm #401</v>
      </c>
      <c r="BP785" s="129">
        <f>J785</f>
        <v>696000</v>
      </c>
      <c r="BQ785" s="387">
        <f>U785</f>
        <v>0</v>
      </c>
    </row>
    <row r="786" s="76" customFormat="1" customHeight="1" spans="1:69">
      <c r="A786" s="76" t="s">
        <v>975</v>
      </c>
      <c r="B786" s="76" t="s">
        <v>456</v>
      </c>
      <c r="C786" s="387" t="s">
        <v>976</v>
      </c>
      <c r="D786" s="76" t="s">
        <v>977</v>
      </c>
      <c r="E786" s="76" t="s">
        <v>981</v>
      </c>
      <c r="G786" s="479"/>
      <c r="H786" s="76" t="s">
        <v>93</v>
      </c>
      <c r="J786" s="264">
        <v>601920</v>
      </c>
      <c r="K786" s="373">
        <v>0.1695</v>
      </c>
      <c r="L786" s="114">
        <f>J786*K786</f>
        <v>102025.44</v>
      </c>
      <c r="M786" s="129"/>
      <c r="N786" s="253">
        <f>91822.9+10202.54</f>
        <v>102025.44</v>
      </c>
      <c r="P786" s="91"/>
      <c r="Q786" s="91"/>
      <c r="R786" s="76" t="s">
        <v>88</v>
      </c>
      <c r="S786" s="76" t="s">
        <v>979</v>
      </c>
      <c r="T786" s="387">
        <v>46038</v>
      </c>
      <c r="U786" s="387"/>
      <c r="V786" s="387">
        <v>46101</v>
      </c>
      <c r="X786" s="133" t="s">
        <v>355</v>
      </c>
      <c r="Y786" s="264">
        <v>601920</v>
      </c>
      <c r="Z786" s="140">
        <v>0.185</v>
      </c>
      <c r="AA786" s="114">
        <f>Y786*Z786</f>
        <v>111355.2</v>
      </c>
      <c r="AB786" s="114"/>
      <c r="AC786" s="114"/>
      <c r="AD786" s="140"/>
      <c r="AE786" s="114"/>
      <c r="AF786" s="114"/>
      <c r="AG786" s="114"/>
      <c r="AH786" s="114"/>
      <c r="AM786" s="114"/>
      <c r="AN786" s="253">
        <f>91822.9+10202.54</f>
        <v>102025.44</v>
      </c>
      <c r="AQ786" s="746">
        <f t="shared" si="143"/>
        <v>46101</v>
      </c>
      <c r="AR786" s="387">
        <f t="shared" si="144"/>
        <v>46071</v>
      </c>
      <c r="AS786" s="387"/>
      <c r="AT786" s="387"/>
      <c r="AW786" s="387"/>
      <c r="AX786" s="129"/>
      <c r="AY786" s="114"/>
      <c r="AZ786" s="127"/>
      <c r="BA786" s="127"/>
      <c r="BB786" s="127"/>
      <c r="BC786" s="127"/>
      <c r="BI786" s="75"/>
      <c r="BJ786" s="91"/>
      <c r="BL786" s="76" t="str">
        <f>D786</f>
        <v>TJTW-112</v>
      </c>
      <c r="BM786" s="76" t="str">
        <f>A786</f>
        <v>TIN SERVIS</v>
      </c>
      <c r="BN786" s="76" t="str">
        <f>C786</f>
        <v>No 13-08 Spec 3</v>
      </c>
      <c r="BO786" s="76" t="str">
        <f>E786</f>
        <v>EOE diam.83mm #307</v>
      </c>
      <c r="BP786" s="129">
        <f>J786</f>
        <v>601920</v>
      </c>
      <c r="BQ786" s="387">
        <f>U786</f>
        <v>0</v>
      </c>
    </row>
    <row r="787" s="79" customFormat="1" customHeight="1" spans="1:69">
      <c r="A787" s="79" t="s">
        <v>975</v>
      </c>
      <c r="B787" s="79" t="s">
        <v>456</v>
      </c>
      <c r="C787" s="463" t="s">
        <v>976</v>
      </c>
      <c r="D787" s="79" t="s">
        <v>977</v>
      </c>
      <c r="E787" s="79" t="s">
        <v>743</v>
      </c>
      <c r="G787" s="486"/>
      <c r="H787" s="79" t="s">
        <v>93</v>
      </c>
      <c r="J787" s="579">
        <f>SUM(J785:J786)</f>
        <v>1297920</v>
      </c>
      <c r="K787" s="194"/>
      <c r="L787" s="194">
        <f>SUM(L785:L786)</f>
        <v>257929.44</v>
      </c>
      <c r="M787" s="194"/>
      <c r="N787" s="79">
        <f>SUM(N785:N786)</f>
        <v>257929.44</v>
      </c>
      <c r="R787" s="79" t="s">
        <v>88</v>
      </c>
      <c r="T787" s="463"/>
      <c r="U787" s="463"/>
      <c r="V787" s="463"/>
      <c r="X787" s="193" t="s">
        <v>355</v>
      </c>
      <c r="Y787" s="579">
        <f>SUM(Y785:Y786)</f>
        <v>1297920</v>
      </c>
      <c r="Z787" s="192"/>
      <c r="AA787" s="194">
        <f>SUM(AA785:AA786)</f>
        <v>281875.2</v>
      </c>
      <c r="AB787" s="192"/>
      <c r="AC787" s="192"/>
      <c r="AD787" s="196"/>
      <c r="AE787" s="192"/>
      <c r="AF787" s="192"/>
      <c r="AG787" s="192"/>
      <c r="AH787" s="192"/>
      <c r="AM787" s="192"/>
      <c r="AN787" s="192"/>
      <c r="AQ787" s="463">
        <f t="shared" ref="AQ787:AQ794" si="145">V787</f>
        <v>0</v>
      </c>
      <c r="AR787" s="463"/>
      <c r="AS787" s="463"/>
      <c r="AT787" s="463"/>
      <c r="AW787" s="463"/>
      <c r="AX787" s="194"/>
      <c r="AY787" s="192"/>
      <c r="AZ787" s="150"/>
      <c r="BA787" s="150"/>
      <c r="BB787" s="150"/>
      <c r="BC787" s="150"/>
      <c r="BI787" s="151"/>
    </row>
    <row r="788" s="76" customFormat="1" customHeight="1" spans="1:69">
      <c r="A788" s="76" t="s">
        <v>414</v>
      </c>
      <c r="C788" s="387"/>
      <c r="D788" s="190" t="s">
        <v>982</v>
      </c>
      <c r="E788" s="190" t="s">
        <v>808</v>
      </c>
      <c r="G788" s="479"/>
      <c r="J788" s="190">
        <v>15</v>
      </c>
      <c r="K788" s="190">
        <v>6722</v>
      </c>
      <c r="L788" s="114">
        <f t="shared" ref="L788:L794" si="146">J788*K788</f>
        <v>100830</v>
      </c>
      <c r="M788" s="127"/>
      <c r="P788" s="91"/>
      <c r="Q788" s="91"/>
      <c r="R788" s="76" t="s">
        <v>88</v>
      </c>
      <c r="S788" s="76" t="s">
        <v>983</v>
      </c>
      <c r="T788" s="387">
        <v>46043</v>
      </c>
      <c r="U788" s="387">
        <f t="shared" ref="U788:U794" si="147">T788+60</f>
        <v>46103</v>
      </c>
      <c r="V788" s="387">
        <v>46132</v>
      </c>
      <c r="W788" s="76">
        <f t="shared" ref="W788:W794" si="148">V788-U788</f>
        <v>29</v>
      </c>
      <c r="X788" s="133"/>
      <c r="Y788" s="190">
        <v>15</v>
      </c>
      <c r="Z788" s="114">
        <v>5500</v>
      </c>
      <c r="AA788" s="114">
        <f t="shared" ref="AA788:AA794" si="149">Y788*Z788</f>
        <v>82500</v>
      </c>
      <c r="AB788" s="114"/>
      <c r="AC788" s="114"/>
      <c r="AD788" s="140"/>
      <c r="AE788" s="114"/>
      <c r="AF788" s="114"/>
      <c r="AG788" s="114"/>
      <c r="AH788" s="114"/>
      <c r="AM788" s="114"/>
      <c r="AN788" s="114"/>
      <c r="AQ788" s="746">
        <f t="shared" si="145"/>
        <v>46132</v>
      </c>
      <c r="AR788" s="387"/>
      <c r="AS788" s="387"/>
      <c r="AT788" s="387"/>
      <c r="AW788" s="387"/>
      <c r="AX788" s="129"/>
      <c r="AY788" s="114"/>
      <c r="AZ788" s="127"/>
      <c r="BA788" s="127"/>
      <c r="BB788" s="127"/>
      <c r="BC788" s="127"/>
      <c r="BI788" s="75"/>
      <c r="BJ788" s="91"/>
      <c r="BL788" s="76" t="str">
        <f t="shared" ref="BL788:BL794" si="150">D788</f>
        <v>NBE-11</v>
      </c>
      <c r="BM788" s="76" t="str">
        <f t="shared" ref="BM788:BM794" si="151">A788</f>
        <v>ICE</v>
      </c>
      <c r="BN788" s="76">
        <f t="shared" ref="BN788:BN794" si="152">C788</f>
        <v>0</v>
      </c>
      <c r="BO788" s="76" t="str">
        <f t="shared" ref="BO788:BO794" si="153">E788</f>
        <v>0,22x960x712 2.0/2.0 T3 with lamination</v>
      </c>
      <c r="BP788" s="129">
        <f t="shared" ref="BP788:BP794" si="154">J788</f>
        <v>15</v>
      </c>
      <c r="BQ788" s="387">
        <f t="shared" ref="BQ788:BQ794" si="155">U788</f>
        <v>46103</v>
      </c>
    </row>
    <row r="789" s="76" customFormat="1" customHeight="1" spans="1:69">
      <c r="A789" s="76" t="s">
        <v>414</v>
      </c>
      <c r="C789" s="387"/>
      <c r="D789" s="190" t="s">
        <v>982</v>
      </c>
      <c r="E789" s="190" t="s">
        <v>820</v>
      </c>
      <c r="G789" s="479"/>
      <c r="J789" s="190">
        <v>20</v>
      </c>
      <c r="K789" s="190">
        <v>5880</v>
      </c>
      <c r="L789" s="114">
        <f t="shared" si="146"/>
        <v>117600</v>
      </c>
      <c r="M789" s="127"/>
      <c r="P789" s="91"/>
      <c r="Q789" s="91"/>
      <c r="R789" s="76" t="s">
        <v>88</v>
      </c>
      <c r="S789" s="76" t="s">
        <v>983</v>
      </c>
      <c r="T789" s="387">
        <v>46043</v>
      </c>
      <c r="U789" s="387">
        <f t="shared" si="147"/>
        <v>46103</v>
      </c>
      <c r="V789" s="387">
        <v>46132</v>
      </c>
      <c r="W789" s="76">
        <f t="shared" si="148"/>
        <v>29</v>
      </c>
      <c r="X789" s="133"/>
      <c r="Y789" s="190">
        <v>20</v>
      </c>
      <c r="Z789" s="114">
        <v>5500</v>
      </c>
      <c r="AA789" s="114">
        <f t="shared" si="149"/>
        <v>110000</v>
      </c>
      <c r="AB789" s="114"/>
      <c r="AC789" s="114"/>
      <c r="AD789" s="140"/>
      <c r="AE789" s="114"/>
      <c r="AF789" s="114"/>
      <c r="AG789" s="114"/>
      <c r="AH789" s="114"/>
      <c r="AM789" s="114"/>
      <c r="AN789" s="114"/>
      <c r="AQ789" s="746">
        <f t="shared" si="145"/>
        <v>46132</v>
      </c>
      <c r="AR789" s="387"/>
      <c r="AS789" s="387"/>
      <c r="AT789" s="387"/>
      <c r="AW789" s="387"/>
      <c r="AX789" s="129"/>
      <c r="AY789" s="114"/>
      <c r="AZ789" s="127"/>
      <c r="BA789" s="127"/>
      <c r="BB789" s="127"/>
      <c r="BC789" s="127"/>
      <c r="BI789" s="75"/>
      <c r="BJ789" s="91"/>
      <c r="BL789" s="76" t="str">
        <f t="shared" si="150"/>
        <v>NBE-11</v>
      </c>
      <c r="BM789" s="76" t="str">
        <f t="shared" si="151"/>
        <v>ICE</v>
      </c>
      <c r="BN789" s="76">
        <f t="shared" si="152"/>
        <v>0</v>
      </c>
      <c r="BO789" s="76" t="str">
        <f t="shared" si="153"/>
        <v>0,22x960x712 2.0/2.0 T3</v>
      </c>
      <c r="BP789" s="129">
        <f t="shared" si="154"/>
        <v>20</v>
      </c>
      <c r="BQ789" s="387">
        <f t="shared" si="155"/>
        <v>46103</v>
      </c>
    </row>
    <row r="790" s="76" customFormat="1" customHeight="1" spans="1:69">
      <c r="A790" s="76" t="s">
        <v>414</v>
      </c>
      <c r="C790" s="387"/>
      <c r="D790" s="190" t="s">
        <v>982</v>
      </c>
      <c r="E790" s="190" t="s">
        <v>810</v>
      </c>
      <c r="G790" s="479"/>
      <c r="J790" s="190">
        <v>20</v>
      </c>
      <c r="K790" s="190">
        <v>6722</v>
      </c>
      <c r="L790" s="114">
        <f t="shared" si="146"/>
        <v>134440</v>
      </c>
      <c r="M790" s="127"/>
      <c r="P790" s="91"/>
      <c r="Q790" s="91"/>
      <c r="R790" s="76" t="s">
        <v>88</v>
      </c>
      <c r="S790" s="76" t="s">
        <v>983</v>
      </c>
      <c r="T790" s="387">
        <v>46043</v>
      </c>
      <c r="U790" s="387">
        <f t="shared" si="147"/>
        <v>46103</v>
      </c>
      <c r="V790" s="387">
        <v>46132</v>
      </c>
      <c r="W790" s="76">
        <f t="shared" si="148"/>
        <v>29</v>
      </c>
      <c r="X790" s="133"/>
      <c r="Y790" s="190">
        <v>20</v>
      </c>
      <c r="Z790" s="114">
        <v>5500</v>
      </c>
      <c r="AA790" s="114">
        <f t="shared" si="149"/>
        <v>110000</v>
      </c>
      <c r="AB790" s="114"/>
      <c r="AC790" s="114"/>
      <c r="AD790" s="140"/>
      <c r="AE790" s="114"/>
      <c r="AF790" s="114"/>
      <c r="AG790" s="114"/>
      <c r="AH790" s="114"/>
      <c r="AM790" s="114"/>
      <c r="AN790" s="114"/>
      <c r="AQ790" s="746">
        <f t="shared" si="145"/>
        <v>46132</v>
      </c>
      <c r="AR790" s="387"/>
      <c r="AS790" s="387"/>
      <c r="AT790" s="387"/>
      <c r="AW790" s="387"/>
      <c r="AX790" s="129"/>
      <c r="AY790" s="114"/>
      <c r="AZ790" s="127"/>
      <c r="BA790" s="127"/>
      <c r="BB790" s="127"/>
      <c r="BC790" s="127"/>
      <c r="BI790" s="75"/>
      <c r="BJ790" s="91"/>
      <c r="BL790" s="76" t="str">
        <f t="shared" si="150"/>
        <v>NBE-11</v>
      </c>
      <c r="BM790" s="76" t="str">
        <f t="shared" si="151"/>
        <v>ICE</v>
      </c>
      <c r="BN790" s="76">
        <f t="shared" si="152"/>
        <v>0</v>
      </c>
      <c r="BO790" s="76" t="str">
        <f t="shared" si="153"/>
        <v>0,22x1040x765 2.0/2.0 T3 with lamination</v>
      </c>
      <c r="BP790" s="129">
        <f t="shared" si="154"/>
        <v>20</v>
      </c>
      <c r="BQ790" s="387">
        <f t="shared" si="155"/>
        <v>46103</v>
      </c>
    </row>
    <row r="791" s="76" customFormat="1" customHeight="1" spans="1:69">
      <c r="A791" s="76" t="s">
        <v>414</v>
      </c>
      <c r="C791" s="387"/>
      <c r="D791" s="190" t="s">
        <v>982</v>
      </c>
      <c r="E791" s="190" t="s">
        <v>822</v>
      </c>
      <c r="G791" s="479"/>
      <c r="J791" s="190">
        <v>40</v>
      </c>
      <c r="K791" s="190">
        <v>5880</v>
      </c>
      <c r="L791" s="114">
        <f t="shared" si="146"/>
        <v>235200</v>
      </c>
      <c r="M791" s="127"/>
      <c r="P791" s="91"/>
      <c r="Q791" s="91"/>
      <c r="R791" s="76" t="s">
        <v>88</v>
      </c>
      <c r="S791" s="76" t="s">
        <v>983</v>
      </c>
      <c r="T791" s="387">
        <v>46043</v>
      </c>
      <c r="U791" s="387">
        <f t="shared" si="147"/>
        <v>46103</v>
      </c>
      <c r="V791" s="387">
        <v>46132</v>
      </c>
      <c r="W791" s="76">
        <f t="shared" si="148"/>
        <v>29</v>
      </c>
      <c r="X791" s="133"/>
      <c r="Y791" s="190">
        <v>40</v>
      </c>
      <c r="Z791" s="114">
        <v>5500</v>
      </c>
      <c r="AA791" s="114">
        <f t="shared" si="149"/>
        <v>220000</v>
      </c>
      <c r="AB791" s="114"/>
      <c r="AC791" s="114"/>
      <c r="AD791" s="140"/>
      <c r="AE791" s="114"/>
      <c r="AF791" s="114"/>
      <c r="AG791" s="114"/>
      <c r="AH791" s="114"/>
      <c r="AM791" s="114"/>
      <c r="AN791" s="114"/>
      <c r="AQ791" s="746">
        <f t="shared" si="145"/>
        <v>46132</v>
      </c>
      <c r="AR791" s="387"/>
      <c r="AS791" s="387"/>
      <c r="AT791" s="387"/>
      <c r="AW791" s="387"/>
      <c r="AX791" s="129"/>
      <c r="AY791" s="114"/>
      <c r="AZ791" s="127"/>
      <c r="BA791" s="127"/>
      <c r="BB791" s="127"/>
      <c r="BC791" s="127"/>
      <c r="BI791" s="75"/>
      <c r="BJ791" s="91"/>
      <c r="BL791" s="76" t="str">
        <f t="shared" si="150"/>
        <v>NBE-11</v>
      </c>
      <c r="BM791" s="76" t="str">
        <f t="shared" si="151"/>
        <v>ICE</v>
      </c>
      <c r="BN791" s="76">
        <f t="shared" si="152"/>
        <v>0</v>
      </c>
      <c r="BO791" s="76" t="str">
        <f t="shared" si="153"/>
        <v>0,22x765x1040 2.0/2.0 T3</v>
      </c>
      <c r="BP791" s="129">
        <f t="shared" si="154"/>
        <v>40</v>
      </c>
      <c r="BQ791" s="387">
        <f t="shared" si="155"/>
        <v>46103</v>
      </c>
    </row>
    <row r="792" s="76" customFormat="1" customHeight="1" spans="1:69">
      <c r="A792" s="76" t="s">
        <v>414</v>
      </c>
      <c r="C792" s="387"/>
      <c r="D792" s="190" t="s">
        <v>982</v>
      </c>
      <c r="E792" s="190" t="s">
        <v>811</v>
      </c>
      <c r="G792" s="479"/>
      <c r="J792" s="190">
        <v>40</v>
      </c>
      <c r="K792" s="190">
        <v>6635</v>
      </c>
      <c r="L792" s="114">
        <f t="shared" si="146"/>
        <v>265400</v>
      </c>
      <c r="M792" s="127"/>
      <c r="P792" s="91"/>
      <c r="Q792" s="91"/>
      <c r="R792" s="76" t="s">
        <v>88</v>
      </c>
      <c r="S792" s="76" t="s">
        <v>983</v>
      </c>
      <c r="T792" s="387">
        <v>46043</v>
      </c>
      <c r="U792" s="387">
        <f t="shared" si="147"/>
        <v>46103</v>
      </c>
      <c r="V792" s="387">
        <v>46132</v>
      </c>
      <c r="W792" s="76">
        <f t="shared" si="148"/>
        <v>29</v>
      </c>
      <c r="X792" s="133"/>
      <c r="Y792" s="190">
        <v>40</v>
      </c>
      <c r="Z792" s="114">
        <v>5450</v>
      </c>
      <c r="AA792" s="114">
        <f t="shared" si="149"/>
        <v>218000</v>
      </c>
      <c r="AB792" s="114"/>
      <c r="AC792" s="114"/>
      <c r="AD792" s="140"/>
      <c r="AE792" s="114"/>
      <c r="AF792" s="114"/>
      <c r="AG792" s="114"/>
      <c r="AH792" s="114"/>
      <c r="AM792" s="114"/>
      <c r="AN792" s="114"/>
      <c r="AQ792" s="746">
        <f t="shared" si="145"/>
        <v>46132</v>
      </c>
      <c r="AR792" s="387"/>
      <c r="AS792" s="387"/>
      <c r="AT792" s="387"/>
      <c r="AW792" s="387"/>
      <c r="AX792" s="129"/>
      <c r="AY792" s="114"/>
      <c r="AZ792" s="127"/>
      <c r="BA792" s="127"/>
      <c r="BB792" s="127"/>
      <c r="BC792" s="127"/>
      <c r="BI792" s="75"/>
      <c r="BJ792" s="91"/>
      <c r="BL792" s="76" t="str">
        <f t="shared" si="150"/>
        <v>NBE-11</v>
      </c>
      <c r="BM792" s="76" t="str">
        <f t="shared" si="151"/>
        <v>ICE</v>
      </c>
      <c r="BN792" s="76">
        <f t="shared" si="152"/>
        <v>0</v>
      </c>
      <c r="BO792" s="76" t="str">
        <f t="shared" si="153"/>
        <v>0,23x905x720 2.0/2.0 T3 with lamination</v>
      </c>
      <c r="BP792" s="129">
        <f t="shared" si="154"/>
        <v>40</v>
      </c>
      <c r="BQ792" s="387">
        <f t="shared" si="155"/>
        <v>46103</v>
      </c>
    </row>
    <row r="793" s="76" customFormat="1" customHeight="1" spans="1:69">
      <c r="A793" s="76" t="s">
        <v>414</v>
      </c>
      <c r="C793" s="387"/>
      <c r="D793" s="190" t="s">
        <v>982</v>
      </c>
      <c r="E793" s="190" t="s">
        <v>824</v>
      </c>
      <c r="G793" s="479"/>
      <c r="J793" s="190">
        <v>20</v>
      </c>
      <c r="K793" s="190">
        <v>5831</v>
      </c>
      <c r="L793" s="114">
        <f t="shared" si="146"/>
        <v>116620</v>
      </c>
      <c r="M793" s="127"/>
      <c r="P793" s="91"/>
      <c r="Q793" s="91"/>
      <c r="R793" s="76" t="s">
        <v>88</v>
      </c>
      <c r="S793" s="76" t="s">
        <v>983</v>
      </c>
      <c r="T793" s="387">
        <v>46043</v>
      </c>
      <c r="U793" s="387">
        <f t="shared" si="147"/>
        <v>46103</v>
      </c>
      <c r="V793" s="387">
        <v>46132</v>
      </c>
      <c r="W793" s="76">
        <f t="shared" si="148"/>
        <v>29</v>
      </c>
      <c r="X793" s="133"/>
      <c r="Y793" s="190">
        <v>20</v>
      </c>
      <c r="Z793" s="114">
        <v>5450</v>
      </c>
      <c r="AA793" s="114">
        <f t="shared" si="149"/>
        <v>109000</v>
      </c>
      <c r="AB793" s="114"/>
      <c r="AC793" s="114"/>
      <c r="AD793" s="140"/>
      <c r="AE793" s="114"/>
      <c r="AF793" s="114"/>
      <c r="AG793" s="114"/>
      <c r="AH793" s="114"/>
      <c r="AM793" s="114"/>
      <c r="AN793" s="114"/>
      <c r="AQ793" s="746">
        <f t="shared" si="145"/>
        <v>46132</v>
      </c>
      <c r="AR793" s="387"/>
      <c r="AS793" s="387"/>
      <c r="AT793" s="387"/>
      <c r="AW793" s="387"/>
      <c r="AX793" s="129"/>
      <c r="AY793" s="114"/>
      <c r="AZ793" s="127"/>
      <c r="BA793" s="127"/>
      <c r="BB793" s="127"/>
      <c r="BC793" s="127"/>
      <c r="BI793" s="75"/>
      <c r="BJ793" s="91"/>
      <c r="BL793" s="76" t="str">
        <f t="shared" si="150"/>
        <v>NBE-11</v>
      </c>
      <c r="BM793" s="76" t="str">
        <f t="shared" si="151"/>
        <v>ICE</v>
      </c>
      <c r="BN793" s="76">
        <f t="shared" si="152"/>
        <v>0</v>
      </c>
      <c r="BO793" s="76" t="str">
        <f t="shared" si="153"/>
        <v>0,23x905x720 2.0/2.0 T3</v>
      </c>
      <c r="BP793" s="129">
        <f t="shared" si="154"/>
        <v>20</v>
      </c>
      <c r="BQ793" s="387">
        <f t="shared" si="155"/>
        <v>46103</v>
      </c>
    </row>
    <row r="794" s="76" customFormat="1" customHeight="1" spans="1:69">
      <c r="A794" s="76" t="s">
        <v>414</v>
      </c>
      <c r="C794" s="387"/>
      <c r="D794" s="190" t="s">
        <v>982</v>
      </c>
      <c r="E794" s="190" t="s">
        <v>825</v>
      </c>
      <c r="G794" s="479"/>
      <c r="J794" s="190">
        <v>30</v>
      </c>
      <c r="K794" s="190">
        <v>5831</v>
      </c>
      <c r="L794" s="114">
        <f t="shared" si="146"/>
        <v>174930</v>
      </c>
      <c r="M794" s="127"/>
      <c r="P794" s="91"/>
      <c r="Q794" s="91"/>
      <c r="R794" s="76" t="s">
        <v>88</v>
      </c>
      <c r="S794" s="76" t="s">
        <v>983</v>
      </c>
      <c r="T794" s="387">
        <v>46043</v>
      </c>
      <c r="U794" s="387">
        <f t="shared" si="147"/>
        <v>46103</v>
      </c>
      <c r="V794" s="387">
        <v>46132</v>
      </c>
      <c r="W794" s="76">
        <f t="shared" si="148"/>
        <v>29</v>
      </c>
      <c r="X794" s="133"/>
      <c r="Y794" s="190">
        <v>30</v>
      </c>
      <c r="Z794" s="114">
        <v>5450</v>
      </c>
      <c r="AA794" s="114">
        <f t="shared" si="149"/>
        <v>163500</v>
      </c>
      <c r="AB794" s="114"/>
      <c r="AC794" s="114"/>
      <c r="AD794" s="140"/>
      <c r="AE794" s="114"/>
      <c r="AF794" s="114"/>
      <c r="AG794" s="114"/>
      <c r="AH794" s="114"/>
      <c r="AM794" s="114"/>
      <c r="AN794" s="114"/>
      <c r="AQ794" s="746">
        <f t="shared" si="145"/>
        <v>46132</v>
      </c>
      <c r="AR794" s="387"/>
      <c r="AS794" s="387"/>
      <c r="AT794" s="387"/>
      <c r="AW794" s="387"/>
      <c r="AX794" s="129"/>
      <c r="AY794" s="114"/>
      <c r="AZ794" s="127"/>
      <c r="BA794" s="127"/>
      <c r="BB794" s="127"/>
      <c r="BC794" s="127"/>
      <c r="BI794" s="75"/>
      <c r="BJ794" s="91"/>
      <c r="BL794" s="76" t="str">
        <f t="shared" si="150"/>
        <v>NBE-11</v>
      </c>
      <c r="BM794" s="76" t="str">
        <f t="shared" si="151"/>
        <v>ICE</v>
      </c>
      <c r="BN794" s="76">
        <f t="shared" si="152"/>
        <v>0</v>
      </c>
      <c r="BO794" s="76" t="str">
        <f t="shared" si="153"/>
        <v>0,23x1040x850 2.0/2.0 T3</v>
      </c>
      <c r="BP794" s="129">
        <f t="shared" si="154"/>
        <v>30</v>
      </c>
      <c r="BQ794" s="387">
        <f t="shared" si="155"/>
        <v>46103</v>
      </c>
    </row>
    <row r="795" s="422" customFormat="1" ht="14.4" spans="1:69">
      <c r="A795" s="422" t="s">
        <v>414</v>
      </c>
      <c r="C795" s="619"/>
      <c r="D795" s="422" t="s">
        <v>982</v>
      </c>
      <c r="G795" s="686"/>
      <c r="H795" s="422" t="s">
        <v>75</v>
      </c>
      <c r="J795" s="687">
        <f>SUM(J788:J794)</f>
        <v>185</v>
      </c>
      <c r="K795" s="687"/>
      <c r="L795" s="693">
        <f>SUM(L788:L794)</f>
        <v>1145020</v>
      </c>
      <c r="M795" s="693">
        <f>SUM(M788:M794)</f>
        <v>0</v>
      </c>
      <c r="N795" s="693">
        <f>SUM(N788:N794)</f>
        <v>0</v>
      </c>
      <c r="O795" s="687">
        <f>SUM(O788:O794)</f>
        <v>0</v>
      </c>
      <c r="R795" s="79" t="s">
        <v>88</v>
      </c>
      <c r="T795" s="688"/>
      <c r="U795" s="688"/>
      <c r="V795" s="688"/>
      <c r="X795" s="689"/>
      <c r="Y795" s="687">
        <f>SUM(Y788:Y794)</f>
        <v>185</v>
      </c>
      <c r="Z795" s="690"/>
      <c r="AA795" s="687">
        <f>SUM(AA788:AA794)</f>
        <v>1013000</v>
      </c>
      <c r="AB795" s="690"/>
      <c r="AC795" s="690"/>
      <c r="AD795" s="692"/>
      <c r="AE795" s="690"/>
      <c r="AF795" s="690"/>
      <c r="AG795" s="690"/>
      <c r="AH795" s="690"/>
      <c r="AM795" s="690"/>
      <c r="AN795" s="690"/>
      <c r="AQ795" s="619"/>
      <c r="AR795" s="619"/>
      <c r="AS795" s="688"/>
      <c r="AT795" s="688"/>
      <c r="AW795" s="688"/>
      <c r="AX795" s="687"/>
      <c r="AY795" s="690"/>
      <c r="AZ795" s="693"/>
      <c r="BA795" s="693"/>
      <c r="BB795" s="693"/>
      <c r="BC795" s="693"/>
      <c r="BI795" s="743"/>
    </row>
    <row r="796" s="76" customFormat="1" customHeight="1" spans="1:69">
      <c r="A796" s="76" t="s">
        <v>984</v>
      </c>
      <c r="C796" s="387"/>
      <c r="D796" s="76" t="s">
        <v>985</v>
      </c>
      <c r="E796" s="76" t="s">
        <v>986</v>
      </c>
      <c r="G796" s="479"/>
      <c r="J796" s="129">
        <v>54</v>
      </c>
      <c r="K796" s="129">
        <v>8128</v>
      </c>
      <c r="L796" s="129">
        <f>J796*K796</f>
        <v>438912</v>
      </c>
      <c r="M796" s="129"/>
      <c r="N796" s="76">
        <v>394744.448</v>
      </c>
      <c r="P796" s="91"/>
      <c r="Q796" s="91"/>
      <c r="R796" s="76" t="s">
        <v>66</v>
      </c>
      <c r="S796" s="76" t="s">
        <v>987</v>
      </c>
      <c r="T796" s="387">
        <v>46043</v>
      </c>
      <c r="U796" s="387">
        <f>T796+45</f>
        <v>46088</v>
      </c>
      <c r="V796" s="387">
        <v>46091</v>
      </c>
      <c r="W796" s="76">
        <f t="shared" ref="W796:W800" si="156">V796-U796</f>
        <v>3</v>
      </c>
      <c r="X796" s="133" t="s">
        <v>355</v>
      </c>
      <c r="Y796" s="76">
        <v>48.254</v>
      </c>
      <c r="Z796" s="114">
        <v>5970</v>
      </c>
      <c r="AA796" s="114">
        <f>Y796*Z796</f>
        <v>288076.38</v>
      </c>
      <c r="AB796" s="114">
        <f>32238+255838.38</f>
        <v>288076.38</v>
      </c>
      <c r="AC796" s="114">
        <f>AA796-AB796</f>
        <v>0</v>
      </c>
      <c r="AD796" s="140"/>
      <c r="AE796" s="114"/>
      <c r="AF796" s="114"/>
      <c r="AG796" s="114"/>
      <c r="AH796" s="114"/>
      <c r="AM796" s="114"/>
      <c r="AN796" s="114">
        <v>394744.448</v>
      </c>
      <c r="AQ796" s="746">
        <f t="shared" ref="AQ796:AQ798" si="157">V796</f>
        <v>46091</v>
      </c>
      <c r="AR796" s="387">
        <f>V796-30</f>
        <v>46061</v>
      </c>
      <c r="AS796" s="747" t="s">
        <v>988</v>
      </c>
      <c r="AT796" s="387"/>
      <c r="AV796" s="76">
        <v>2</v>
      </c>
      <c r="AW796" s="387"/>
      <c r="AX796" s="129"/>
      <c r="AY796" s="114"/>
      <c r="AZ796" s="127"/>
      <c r="BA796" s="127"/>
      <c r="BB796" s="127"/>
      <c r="BC796" s="127"/>
      <c r="BI796" s="75"/>
      <c r="BJ796" s="91"/>
      <c r="BL796" s="76" t="str">
        <f t="shared" ref="BL796:BL806" si="158">D796</f>
        <v>TJTW-113</v>
      </c>
      <c r="BM796" s="76" t="str">
        <f t="shared" ref="BM796:BM806" si="159">A796</f>
        <v>MAGOL</v>
      </c>
      <c r="BN796" s="76">
        <f>C796</f>
        <v>0</v>
      </c>
      <c r="BO796" s="76" t="str">
        <f t="shared" ref="BO796:BO806" si="160">E796</f>
        <v>0.16*960*930 DR9 2.0/2.0</v>
      </c>
      <c r="BP796" s="129">
        <f t="shared" ref="BP796:BP806" si="161">J796</f>
        <v>54</v>
      </c>
      <c r="BQ796" s="387">
        <f t="shared" ref="BQ796:BQ806" si="162">U796</f>
        <v>46088</v>
      </c>
    </row>
    <row r="797" s="79" customFormat="1" customHeight="1" spans="1:69">
      <c r="A797" s="79" t="s">
        <v>984</v>
      </c>
      <c r="C797" s="463"/>
      <c r="D797" s="79" t="s">
        <v>985</v>
      </c>
      <c r="G797" s="486"/>
      <c r="J797" s="748">
        <f>SUM(J796)</f>
        <v>54</v>
      </c>
      <c r="K797" s="194"/>
      <c r="L797" s="748">
        <f>SUM(L796)</f>
        <v>438912</v>
      </c>
      <c r="M797" s="194"/>
      <c r="N797" s="79">
        <f>SUM(N794:N796)</f>
        <v>394744.448</v>
      </c>
      <c r="T797" s="463"/>
      <c r="U797" s="463"/>
      <c r="V797" s="463"/>
      <c r="X797" s="193" t="s">
        <v>355</v>
      </c>
      <c r="Y797" s="79">
        <f>SUM(Y796)</f>
        <v>48.254</v>
      </c>
      <c r="Z797" s="192"/>
      <c r="AA797" s="79">
        <f>SUM(AA796)</f>
        <v>288076.38</v>
      </c>
      <c r="AB797" s="192"/>
      <c r="AC797" s="192"/>
      <c r="AD797" s="196"/>
      <c r="AE797" s="192"/>
      <c r="AF797" s="192"/>
      <c r="AG797" s="192"/>
      <c r="AH797" s="192"/>
      <c r="AM797" s="192"/>
      <c r="AN797" s="192"/>
      <c r="AQ797" s="463"/>
      <c r="AR797" s="463"/>
      <c r="AS797" s="463"/>
      <c r="AT797" s="463"/>
      <c r="AW797" s="463"/>
      <c r="AX797" s="194"/>
      <c r="AY797" s="192"/>
      <c r="AZ797" s="150"/>
      <c r="BA797" s="150"/>
      <c r="BB797" s="150"/>
      <c r="BC797" s="150"/>
      <c r="BI797" s="151"/>
      <c r="BL797" s="79" t="str">
        <f t="shared" si="158"/>
        <v>TJTW-113</v>
      </c>
      <c r="BM797" s="79" t="str">
        <f t="shared" si="159"/>
        <v>MAGOL</v>
      </c>
      <c r="BO797" s="79">
        <f t="shared" si="160"/>
        <v>0</v>
      </c>
      <c r="BP797" s="79">
        <f t="shared" si="161"/>
        <v>54</v>
      </c>
      <c r="BQ797" s="79">
        <f t="shared" si="162"/>
        <v>0</v>
      </c>
    </row>
    <row r="798" s="76" customFormat="1" customHeight="1" spans="1:69">
      <c r="A798" s="76" t="s">
        <v>797</v>
      </c>
      <c r="B798" s="76" t="s">
        <v>578</v>
      </c>
      <c r="C798" s="387" t="s">
        <v>989</v>
      </c>
      <c r="D798" s="76" t="s">
        <v>990</v>
      </c>
      <c r="E798" s="76" t="s">
        <v>991</v>
      </c>
      <c r="G798" s="479"/>
      <c r="J798" s="129">
        <v>27</v>
      </c>
      <c r="K798" s="129">
        <f>Z798+340</f>
        <v>5440</v>
      </c>
      <c r="L798" s="129">
        <f>J798*K798</f>
        <v>146880</v>
      </c>
      <c r="M798" s="129"/>
      <c r="N798" s="114">
        <f>58579.2+108412.48</f>
        <v>166991.68</v>
      </c>
      <c r="P798" s="91"/>
      <c r="Q798" s="91"/>
      <c r="R798" s="76" t="s">
        <v>66</v>
      </c>
      <c r="S798" s="76" t="s">
        <v>992</v>
      </c>
      <c r="T798" s="387">
        <v>46044</v>
      </c>
      <c r="U798" s="387"/>
      <c r="V798" s="387">
        <v>46096</v>
      </c>
      <c r="W798" s="76">
        <f t="shared" si="156"/>
        <v>46096</v>
      </c>
      <c r="X798" s="133" t="s">
        <v>355</v>
      </c>
      <c r="Y798" s="76">
        <v>27</v>
      </c>
      <c r="Z798" s="114">
        <v>5100</v>
      </c>
      <c r="AA798" s="114">
        <f>Y798*Z798</f>
        <v>137700</v>
      </c>
      <c r="AB798" s="114">
        <v>13770</v>
      </c>
      <c r="AC798" s="114"/>
      <c r="AD798" s="140"/>
      <c r="AE798" s="114"/>
      <c r="AF798" s="114"/>
      <c r="AG798" s="114"/>
      <c r="AH798" s="114"/>
      <c r="AM798" s="114"/>
      <c r="AN798" s="114">
        <f>58579.2+108412.48</f>
        <v>166991.68</v>
      </c>
      <c r="AQ798" s="746">
        <f t="shared" si="157"/>
        <v>46096</v>
      </c>
      <c r="AR798" s="387">
        <f>V798-30</f>
        <v>46066</v>
      </c>
      <c r="AS798" s="387" t="s">
        <v>701</v>
      </c>
      <c r="AT798" s="387"/>
      <c r="AV798" s="76">
        <v>1</v>
      </c>
      <c r="AW798" s="387"/>
      <c r="AX798" s="129"/>
      <c r="AY798" s="114"/>
      <c r="AZ798" s="127"/>
      <c r="BA798" s="127"/>
      <c r="BB798" s="127"/>
      <c r="BC798" s="127"/>
      <c r="BI798" s="75"/>
      <c r="BJ798" s="91"/>
      <c r="BL798" s="76" t="str">
        <f t="shared" si="158"/>
        <v>TJTW-114</v>
      </c>
      <c r="BM798" s="76" t="str">
        <f t="shared" si="159"/>
        <v>INTEX</v>
      </c>
      <c r="BN798" s="76" t="str">
        <f>C798</f>
        <v>SPC_05</v>
      </c>
      <c r="BO798" s="76" t="str">
        <f t="shared" si="160"/>
        <v>0.30*770*850 T3 2.0/2.0</v>
      </c>
      <c r="BP798" s="129">
        <f t="shared" si="161"/>
        <v>27</v>
      </c>
      <c r="BQ798" s="387">
        <f t="shared" si="162"/>
        <v>0</v>
      </c>
    </row>
    <row r="799" s="79" customFormat="1" customHeight="1" spans="1:69">
      <c r="A799" s="79" t="s">
        <v>797</v>
      </c>
      <c r="B799" s="79" t="s">
        <v>578</v>
      </c>
      <c r="C799" s="517" t="s">
        <v>989</v>
      </c>
      <c r="D799" s="79" t="s">
        <v>990</v>
      </c>
      <c r="G799" s="486"/>
      <c r="J799" s="748">
        <f>SUM(J798)</f>
        <v>27</v>
      </c>
      <c r="K799" s="194"/>
      <c r="L799" s="748">
        <f>SUM(L798)</f>
        <v>146880</v>
      </c>
      <c r="M799" s="194"/>
      <c r="N799" s="79">
        <f>SUM(N796:N798)</f>
        <v>956480.576</v>
      </c>
      <c r="T799" s="463"/>
      <c r="U799" s="463"/>
      <c r="V799" s="463"/>
      <c r="X799" s="193" t="s">
        <v>355</v>
      </c>
      <c r="Y799" s="79">
        <f>SUM(Y798)</f>
        <v>27</v>
      </c>
      <c r="Z799" s="192"/>
      <c r="AA799" s="79">
        <f>SUM(AA798)</f>
        <v>137700</v>
      </c>
      <c r="AB799" s="192"/>
      <c r="AC799" s="192"/>
      <c r="AD799" s="196"/>
      <c r="AE799" s="192"/>
      <c r="AF799" s="192"/>
      <c r="AG799" s="192"/>
      <c r="AH799" s="192"/>
      <c r="AM799" s="192"/>
      <c r="AN799" s="192"/>
      <c r="AQ799" s="463"/>
      <c r="AR799" s="463"/>
      <c r="AS799" s="463"/>
      <c r="AT799" s="463"/>
      <c r="AW799" s="463"/>
      <c r="AX799" s="194"/>
      <c r="AY799" s="192"/>
      <c r="AZ799" s="150"/>
      <c r="BA799" s="150"/>
      <c r="BB799" s="150"/>
      <c r="BC799" s="150"/>
      <c r="BI799" s="151"/>
      <c r="BL799" s="79" t="str">
        <f t="shared" si="158"/>
        <v>TJTW-114</v>
      </c>
      <c r="BM799" s="79" t="str">
        <f t="shared" si="159"/>
        <v>INTEX</v>
      </c>
      <c r="BO799" s="79">
        <f t="shared" si="160"/>
        <v>0</v>
      </c>
      <c r="BP799" s="79">
        <f t="shared" si="161"/>
        <v>27</v>
      </c>
      <c r="BQ799" s="79">
        <f t="shared" si="162"/>
        <v>0</v>
      </c>
    </row>
    <row r="800" s="76" customFormat="1" customHeight="1" spans="1:69">
      <c r="A800" s="76" t="s">
        <v>71</v>
      </c>
      <c r="C800" s="387"/>
      <c r="D800" s="76" t="s">
        <v>993</v>
      </c>
      <c r="E800" s="76" t="s">
        <v>471</v>
      </c>
      <c r="G800" s="479"/>
      <c r="J800" s="264">
        <v>1960400</v>
      </c>
      <c r="K800" s="129">
        <v>0.123</v>
      </c>
      <c r="L800" s="129">
        <f>J800*K800</f>
        <v>241129.2</v>
      </c>
      <c r="M800" s="129"/>
      <c r="N800" s="76">
        <v>241129.2</v>
      </c>
      <c r="O800" s="76">
        <f>L800-N800</f>
        <v>0</v>
      </c>
      <c r="P800" s="91"/>
      <c r="Q800" s="91"/>
      <c r="R800" s="76" t="s">
        <v>88</v>
      </c>
      <c r="T800" s="387"/>
      <c r="U800" s="387">
        <v>46049</v>
      </c>
      <c r="V800" s="387"/>
      <c r="W800" s="76">
        <f t="shared" si="156"/>
        <v>-46049</v>
      </c>
      <c r="X800" s="133" t="s">
        <v>90</v>
      </c>
      <c r="Z800" s="114"/>
      <c r="AA800" s="114"/>
      <c r="AB800" s="114"/>
      <c r="AC800" s="114"/>
      <c r="AD800" s="140"/>
      <c r="AE800" s="114"/>
      <c r="AF800" s="114"/>
      <c r="AG800" s="114"/>
      <c r="AH800" s="114"/>
      <c r="AM800" s="114"/>
      <c r="AN800" s="114">
        <v>241129.2</v>
      </c>
      <c r="AQ800" s="746"/>
      <c r="AR800" s="387"/>
      <c r="AS800" s="387"/>
      <c r="AT800" s="387"/>
      <c r="AW800" s="387"/>
      <c r="AX800" s="129"/>
      <c r="AY800" s="114"/>
      <c r="AZ800" s="127"/>
      <c r="BA800" s="127"/>
      <c r="BB800" s="127"/>
      <c r="BC800" s="127"/>
      <c r="BI800" s="75"/>
      <c r="BJ800" s="91"/>
      <c r="BL800" s="76" t="str">
        <f t="shared" si="158"/>
        <v>INTW-20</v>
      </c>
      <c r="BM800" s="76" t="str">
        <f t="shared" si="159"/>
        <v>INDEX</v>
      </c>
      <c r="BN800" s="387">
        <f>C800</f>
        <v>0</v>
      </c>
      <c r="BO800" s="76" t="str">
        <f t="shared" si="160"/>
        <v>72.9mm #300</v>
      </c>
      <c r="BP800" s="264">
        <f t="shared" si="161"/>
        <v>1960400</v>
      </c>
      <c r="BQ800" s="387">
        <f t="shared" si="162"/>
        <v>46049</v>
      </c>
    </row>
    <row r="801" s="79" customFormat="1" customHeight="1" spans="1:69">
      <c r="A801" s="79" t="s">
        <v>71</v>
      </c>
      <c r="C801" s="463"/>
      <c r="D801" s="79" t="s">
        <v>993</v>
      </c>
      <c r="G801" s="486"/>
      <c r="J801" s="579">
        <f>SUM(J800)</f>
        <v>1960400</v>
      </c>
      <c r="K801" s="194"/>
      <c r="L801" s="748">
        <f>SUM(L800)</f>
        <v>241129.2</v>
      </c>
      <c r="M801" s="194"/>
      <c r="N801" s="79">
        <f>SUM(N798:N800)</f>
        <v>1364601.456</v>
      </c>
      <c r="T801" s="463"/>
      <c r="U801" s="463"/>
      <c r="V801" s="463"/>
      <c r="X801" s="193"/>
      <c r="Y801" s="79">
        <f>SUM(Y800)</f>
        <v>0</v>
      </c>
      <c r="Z801" s="192"/>
      <c r="AA801" s="79">
        <f>SUM(AA800)</f>
        <v>0</v>
      </c>
      <c r="AB801" s="749">
        <v>29.299</v>
      </c>
      <c r="AC801" s="192"/>
      <c r="AD801" s="196"/>
      <c r="AE801" s="192"/>
      <c r="AF801" s="192"/>
      <c r="AG801" s="192"/>
      <c r="AH801" s="192"/>
      <c r="AM801" s="192"/>
      <c r="AN801" s="192"/>
      <c r="AQ801" s="463"/>
      <c r="AR801" s="463"/>
      <c r="AS801" s="463"/>
      <c r="AT801" s="463"/>
      <c r="AW801" s="463"/>
      <c r="AX801" s="194"/>
      <c r="AY801" s="192"/>
      <c r="AZ801" s="150"/>
      <c r="BA801" s="150"/>
      <c r="BB801" s="150"/>
      <c r="BC801" s="150"/>
      <c r="BI801" s="151"/>
      <c r="BL801" s="79" t="str">
        <f t="shared" si="158"/>
        <v>INTW-20</v>
      </c>
      <c r="BM801" s="79" t="str">
        <f t="shared" si="159"/>
        <v>INDEX</v>
      </c>
      <c r="BP801" s="79">
        <f t="shared" si="161"/>
        <v>1960400</v>
      </c>
      <c r="BQ801" s="79">
        <f t="shared" si="162"/>
        <v>0</v>
      </c>
    </row>
    <row r="802" s="76" customFormat="1" customHeight="1" spans="1:69">
      <c r="A802" s="81" t="s">
        <v>706</v>
      </c>
      <c r="B802" s="137" t="s">
        <v>440</v>
      </c>
      <c r="C802" s="387" t="s">
        <v>994</v>
      </c>
      <c r="D802" s="76" t="s">
        <v>995</v>
      </c>
      <c r="E802" s="76" t="s">
        <v>996</v>
      </c>
      <c r="G802" s="479"/>
      <c r="H802" s="76" t="s">
        <v>93</v>
      </c>
      <c r="J802" s="129">
        <v>82.5</v>
      </c>
      <c r="K802" s="129">
        <f>Z802+250</f>
        <v>5740</v>
      </c>
      <c r="L802" s="129">
        <f>J802*K802</f>
        <v>473550</v>
      </c>
      <c r="M802" s="129"/>
      <c r="N802" s="114">
        <v>631950</v>
      </c>
      <c r="O802" s="199">
        <f>L802-N802</f>
        <v>-158400</v>
      </c>
      <c r="P802" s="91"/>
      <c r="Q802" s="91"/>
      <c r="R802" s="76" t="s">
        <v>88</v>
      </c>
      <c r="S802" s="76" t="s">
        <v>997</v>
      </c>
      <c r="T802" s="387">
        <v>46043</v>
      </c>
      <c r="U802" s="387"/>
      <c r="V802" s="387"/>
      <c r="W802" s="76">
        <f t="shared" ref="W802:W806" si="163">V802-U802</f>
        <v>0</v>
      </c>
      <c r="X802" s="133"/>
      <c r="Y802" s="129">
        <v>82.5</v>
      </c>
      <c r="Z802" s="114">
        <v>5490</v>
      </c>
      <c r="AA802" s="114">
        <f>Y802*Z802</f>
        <v>452925</v>
      </c>
      <c r="AB802" s="114"/>
      <c r="AC802" s="114"/>
      <c r="AD802" s="140"/>
      <c r="AE802" s="114"/>
      <c r="AF802" s="114"/>
      <c r="AG802" s="114"/>
      <c r="AH802" s="114"/>
      <c r="AM802" s="114"/>
      <c r="AN802" s="114">
        <v>631950</v>
      </c>
      <c r="AQ802" s="746"/>
      <c r="AR802" s="387"/>
      <c r="AS802" s="387"/>
      <c r="AT802" s="387"/>
      <c r="AW802" s="387"/>
      <c r="AX802" s="129"/>
      <c r="AY802" s="114"/>
      <c r="AZ802" s="127"/>
      <c r="BA802" s="127"/>
      <c r="BB802" s="127"/>
      <c r="BC802" s="127"/>
      <c r="BI802" s="75"/>
      <c r="BJ802" s="91"/>
      <c r="BL802" s="76" t="str">
        <f t="shared" si="158"/>
        <v>TJTW-115</v>
      </c>
      <c r="BM802" s="76" t="str">
        <f t="shared" si="159"/>
        <v>SPC</v>
      </c>
      <c r="BN802" s="76" t="str">
        <f>C802</f>
        <v>TW 2026-01-21</v>
      </c>
      <c r="BO802" s="76" t="str">
        <f t="shared" si="160"/>
        <v>0.20*963*837.5 1.5/1.5 T3BA</v>
      </c>
      <c r="BP802" s="129">
        <f t="shared" si="161"/>
        <v>82.5</v>
      </c>
      <c r="BQ802" s="387">
        <f t="shared" si="162"/>
        <v>0</v>
      </c>
    </row>
    <row r="803" s="76" customFormat="1" customHeight="1" spans="1:69">
      <c r="A803" s="81" t="s">
        <v>706</v>
      </c>
      <c r="B803" s="137" t="s">
        <v>440</v>
      </c>
      <c r="C803" s="387" t="s">
        <v>994</v>
      </c>
      <c r="D803" s="76" t="s">
        <v>995</v>
      </c>
      <c r="E803" s="76" t="s">
        <v>998</v>
      </c>
      <c r="G803" s="479"/>
      <c r="H803" s="76" t="s">
        <v>93</v>
      </c>
      <c r="J803" s="129">
        <v>69</v>
      </c>
      <c r="K803" s="129">
        <f>Z803+250</f>
        <v>5920</v>
      </c>
      <c r="L803" s="129">
        <f>J803*K803</f>
        <v>408480</v>
      </c>
      <c r="M803" s="129"/>
      <c r="N803" s="114">
        <v>463556.37</v>
      </c>
      <c r="O803" s="199">
        <f>L803-N803</f>
        <v>-55076.37</v>
      </c>
      <c r="P803" s="91"/>
      <c r="Q803" s="91"/>
      <c r="R803" s="76" t="s">
        <v>88</v>
      </c>
      <c r="S803" s="76" t="s">
        <v>997</v>
      </c>
      <c r="T803" s="387">
        <v>46043</v>
      </c>
      <c r="U803" s="387"/>
      <c r="V803" s="387"/>
      <c r="W803" s="76">
        <f t="shared" si="163"/>
        <v>0</v>
      </c>
      <c r="X803" s="133"/>
      <c r="Y803" s="129">
        <v>69</v>
      </c>
      <c r="Z803" s="114">
        <v>5670</v>
      </c>
      <c r="AA803" s="114">
        <f>Y803*Z803</f>
        <v>391230</v>
      </c>
      <c r="AB803" s="114"/>
      <c r="AC803" s="114"/>
      <c r="AD803" s="140"/>
      <c r="AE803" s="114"/>
      <c r="AF803" s="114"/>
      <c r="AG803" s="114"/>
      <c r="AH803" s="114"/>
      <c r="AM803" s="114"/>
      <c r="AN803" s="114">
        <v>463556.37</v>
      </c>
      <c r="AQ803" s="746"/>
      <c r="AR803" s="387"/>
      <c r="AS803" s="387"/>
      <c r="AT803" s="387"/>
      <c r="AW803" s="387"/>
      <c r="AX803" s="129"/>
      <c r="AY803" s="114"/>
      <c r="AZ803" s="127"/>
      <c r="BA803" s="127"/>
      <c r="BB803" s="127"/>
      <c r="BC803" s="127"/>
      <c r="BI803" s="75"/>
      <c r="BJ803" s="91"/>
      <c r="BL803" s="76" t="str">
        <f t="shared" si="158"/>
        <v>TJTW-115</v>
      </c>
      <c r="BM803" s="76" t="str">
        <f t="shared" si="159"/>
        <v>SPC</v>
      </c>
      <c r="BN803" s="76" t="str">
        <f>C803</f>
        <v>TW 2026-01-21</v>
      </c>
      <c r="BO803" s="76" t="str">
        <f t="shared" si="160"/>
        <v>0.18*870*946 1.5/1.5 T3BA</v>
      </c>
      <c r="BP803" s="129">
        <f t="shared" si="161"/>
        <v>69</v>
      </c>
      <c r="BQ803" s="387">
        <f t="shared" si="162"/>
        <v>0</v>
      </c>
    </row>
    <row r="804" s="76" customFormat="1" customHeight="1" spans="1:69">
      <c r="A804" s="81" t="s">
        <v>706</v>
      </c>
      <c r="B804" s="137" t="s">
        <v>440</v>
      </c>
      <c r="C804" s="387" t="s">
        <v>994</v>
      </c>
      <c r="D804" s="76" t="s">
        <v>995</v>
      </c>
      <c r="E804" s="76" t="s">
        <v>999</v>
      </c>
      <c r="G804" s="479"/>
      <c r="H804" s="76" t="s">
        <v>93</v>
      </c>
      <c r="J804" s="129">
        <v>206</v>
      </c>
      <c r="K804" s="129">
        <f>Z804+250</f>
        <v>5740</v>
      </c>
      <c r="L804" s="129">
        <f>J804*K804</f>
        <v>1182440</v>
      </c>
      <c r="M804" s="129"/>
      <c r="N804" s="114">
        <v>348642.27</v>
      </c>
      <c r="O804" s="199">
        <f>L804-N804</f>
        <v>833797.73</v>
      </c>
      <c r="P804" s="91"/>
      <c r="Q804" s="91"/>
      <c r="R804" s="76" t="s">
        <v>88</v>
      </c>
      <c r="S804" s="76" t="s">
        <v>997</v>
      </c>
      <c r="T804" s="387">
        <v>46043</v>
      </c>
      <c r="U804" s="387"/>
      <c r="V804" s="387"/>
      <c r="W804" s="76">
        <f t="shared" si="163"/>
        <v>0</v>
      </c>
      <c r="X804" s="133"/>
      <c r="Y804" s="129">
        <v>206</v>
      </c>
      <c r="Z804" s="114">
        <v>5490</v>
      </c>
      <c r="AA804" s="114">
        <f>Y804*Z804</f>
        <v>1130940</v>
      </c>
      <c r="AB804" s="114"/>
      <c r="AC804" s="114"/>
      <c r="AD804" s="140"/>
      <c r="AE804" s="114"/>
      <c r="AF804" s="114"/>
      <c r="AG804" s="114"/>
      <c r="AH804" s="114"/>
      <c r="AM804" s="114"/>
      <c r="AN804" s="114">
        <v>348642.27</v>
      </c>
      <c r="AQ804" s="746"/>
      <c r="AR804" s="387"/>
      <c r="AS804" s="387"/>
      <c r="AT804" s="387"/>
      <c r="AU804" s="189"/>
      <c r="AW804" s="387"/>
      <c r="AX804" s="129"/>
      <c r="AY804" s="114"/>
      <c r="AZ804" s="127"/>
      <c r="BA804" s="127"/>
      <c r="BB804" s="127"/>
      <c r="BC804" s="127"/>
      <c r="BI804" s="75"/>
      <c r="BJ804" s="91"/>
      <c r="BL804" s="76" t="str">
        <f t="shared" si="158"/>
        <v>TJTW-115</v>
      </c>
      <c r="BM804" s="76" t="str">
        <f t="shared" si="159"/>
        <v>SPC</v>
      </c>
      <c r="BN804" s="76" t="str">
        <f>C804</f>
        <v>TW 2026-01-21</v>
      </c>
      <c r="BO804" s="76" t="str">
        <f t="shared" si="160"/>
        <v>0.20*875*890 1.5/1.5 T3BA</v>
      </c>
      <c r="BP804" s="129">
        <f t="shared" si="161"/>
        <v>206</v>
      </c>
      <c r="BQ804" s="387">
        <f t="shared" si="162"/>
        <v>0</v>
      </c>
    </row>
    <row r="805" s="76" customFormat="1" customHeight="1" spans="1:69">
      <c r="A805" s="81" t="s">
        <v>706</v>
      </c>
      <c r="B805" s="137" t="s">
        <v>440</v>
      </c>
      <c r="C805" s="387" t="s">
        <v>994</v>
      </c>
      <c r="D805" s="76" t="s">
        <v>995</v>
      </c>
      <c r="E805" s="76" t="s">
        <v>1000</v>
      </c>
      <c r="G805" s="479"/>
      <c r="H805" s="76" t="s">
        <v>93</v>
      </c>
      <c r="J805" s="129">
        <v>28</v>
      </c>
      <c r="K805" s="129">
        <f>Z805+250</f>
        <v>5670</v>
      </c>
      <c r="L805" s="129">
        <f t="shared" ref="L805:L811" si="164">J805*K805</f>
        <v>158760</v>
      </c>
      <c r="M805" s="129"/>
      <c r="N805" s="114"/>
      <c r="O805" s="199">
        <f>L805-N805</f>
        <v>158760</v>
      </c>
      <c r="P805" s="91"/>
      <c r="Q805" s="91"/>
      <c r="R805" s="76" t="s">
        <v>88</v>
      </c>
      <c r="S805" s="76" t="s">
        <v>997</v>
      </c>
      <c r="T805" s="387">
        <v>46043</v>
      </c>
      <c r="U805" s="387"/>
      <c r="V805" s="387"/>
      <c r="W805" s="76">
        <f t="shared" si="163"/>
        <v>0</v>
      </c>
      <c r="X805" s="133"/>
      <c r="Y805" s="129">
        <v>28</v>
      </c>
      <c r="Z805" s="114">
        <v>5420</v>
      </c>
      <c r="AA805" s="114">
        <f t="shared" ref="AA805:AA811" si="165">Y805*Z805</f>
        <v>151760</v>
      </c>
      <c r="AB805" s="114"/>
      <c r="AC805" s="114"/>
      <c r="AD805" s="140"/>
      <c r="AE805" s="114"/>
      <c r="AF805" s="114"/>
      <c r="AG805" s="114"/>
      <c r="AH805" s="114"/>
      <c r="AM805" s="114"/>
      <c r="AN805" s="114"/>
      <c r="AQ805" s="746"/>
      <c r="AR805" s="387"/>
      <c r="AS805" s="387"/>
      <c r="AT805" s="387"/>
      <c r="AW805" s="387"/>
      <c r="AX805" s="129"/>
      <c r="AY805" s="114"/>
      <c r="AZ805" s="127"/>
      <c r="BA805" s="127"/>
      <c r="BB805" s="127"/>
      <c r="BC805" s="127"/>
      <c r="BI805" s="75"/>
      <c r="BJ805" s="91"/>
      <c r="BL805" s="76" t="str">
        <f t="shared" si="158"/>
        <v>TJTW-115</v>
      </c>
      <c r="BM805" s="76" t="str">
        <f t="shared" si="159"/>
        <v>SPC</v>
      </c>
      <c r="BN805" s="76" t="str">
        <f t="shared" ref="BN805:BN811" si="166">C805</f>
        <v>TW 2026-01-21</v>
      </c>
      <c r="BO805" s="76" t="str">
        <f t="shared" si="160"/>
        <v>0.22*875*975 1.5/1.5 T3BA</v>
      </c>
      <c r="BP805" s="129">
        <f t="shared" si="161"/>
        <v>28</v>
      </c>
      <c r="BQ805" s="387">
        <f t="shared" si="162"/>
        <v>0</v>
      </c>
    </row>
    <row r="806" s="76" customFormat="1" customHeight="1" spans="1:69">
      <c r="A806" s="81" t="s">
        <v>706</v>
      </c>
      <c r="B806" s="137" t="s">
        <v>440</v>
      </c>
      <c r="C806" s="387" t="s">
        <v>994</v>
      </c>
      <c r="D806" s="76" t="s">
        <v>995</v>
      </c>
      <c r="E806" s="76" t="s">
        <v>1001</v>
      </c>
      <c r="G806" s="479"/>
      <c r="H806" s="76" t="s">
        <v>93</v>
      </c>
      <c r="J806" s="129">
        <v>55</v>
      </c>
      <c r="K806" s="129">
        <f>Z806+250</f>
        <v>5670</v>
      </c>
      <c r="L806" s="129">
        <f t="shared" si="164"/>
        <v>311850</v>
      </c>
      <c r="M806" s="129"/>
      <c r="N806" s="114"/>
      <c r="O806" s="199">
        <f>L806-N806</f>
        <v>311850</v>
      </c>
      <c r="P806" s="91"/>
      <c r="Q806" s="91"/>
      <c r="R806" s="76" t="s">
        <v>88</v>
      </c>
      <c r="S806" s="76" t="s">
        <v>997</v>
      </c>
      <c r="T806" s="387">
        <v>46043</v>
      </c>
      <c r="U806" s="387"/>
      <c r="V806" s="387"/>
      <c r="W806" s="76">
        <f t="shared" si="163"/>
        <v>0</v>
      </c>
      <c r="X806" s="133"/>
      <c r="Y806" s="129">
        <v>55</v>
      </c>
      <c r="Z806" s="114">
        <v>5420</v>
      </c>
      <c r="AA806" s="114">
        <f t="shared" si="165"/>
        <v>298100</v>
      </c>
      <c r="AB806" s="114"/>
      <c r="AC806" s="114"/>
      <c r="AD806" s="140"/>
      <c r="AE806" s="114"/>
      <c r="AF806" s="114"/>
      <c r="AG806" s="114"/>
      <c r="AH806" s="114"/>
      <c r="AM806" s="114"/>
      <c r="AN806" s="114"/>
      <c r="AQ806" s="746"/>
      <c r="AR806" s="387"/>
      <c r="AS806" s="387"/>
      <c r="AT806" s="387"/>
      <c r="AW806" s="387"/>
      <c r="AX806" s="129"/>
      <c r="AY806" s="114"/>
      <c r="AZ806" s="127"/>
      <c r="BA806" s="127"/>
      <c r="BB806" s="127"/>
      <c r="BC806" s="127"/>
      <c r="BI806" s="75"/>
      <c r="BJ806" s="91"/>
      <c r="BL806" s="76" t="str">
        <f t="shared" si="158"/>
        <v>TJTW-115</v>
      </c>
      <c r="BM806" s="76" t="str">
        <f t="shared" si="159"/>
        <v>SPC</v>
      </c>
      <c r="BN806" s="76" t="str">
        <f t="shared" si="166"/>
        <v>TW 2026-01-21</v>
      </c>
      <c r="BO806" s="76" t="str">
        <f t="shared" si="160"/>
        <v>0.22*870*860 1.5/1.5 T3BA</v>
      </c>
      <c r="BP806" s="129">
        <f t="shared" si="161"/>
        <v>55</v>
      </c>
      <c r="BQ806" s="387">
        <f t="shared" si="162"/>
        <v>0</v>
      </c>
    </row>
    <row r="807" s="83" customFormat="1" customHeight="1" spans="1:69">
      <c r="A807" s="83" t="s">
        <v>706</v>
      </c>
      <c r="B807" s="83" t="s">
        <v>440</v>
      </c>
      <c r="C807" s="605" t="s">
        <v>994</v>
      </c>
      <c r="D807" s="83" t="s">
        <v>995</v>
      </c>
      <c r="F807" s="84"/>
      <c r="G807" s="606"/>
      <c r="I807" s="84"/>
      <c r="J807" s="235">
        <f>SUM(J802:J806)</f>
        <v>440.5</v>
      </c>
      <c r="K807" s="235"/>
      <c r="L807" s="235">
        <f>SUM(L802:L806)</f>
        <v>2535080</v>
      </c>
      <c r="M807" s="235"/>
      <c r="N807" s="83">
        <f>SUM(N802:N804)</f>
        <v>1444148.64</v>
      </c>
      <c r="R807" s="83" t="s">
        <v>88</v>
      </c>
      <c r="S807" s="83" t="s">
        <v>997</v>
      </c>
      <c r="T807" s="605"/>
      <c r="U807" s="463"/>
      <c r="V807" s="605"/>
      <c r="X807" s="232"/>
      <c r="Y807" s="83">
        <f>SUM(Y802:Y806)</f>
        <v>440.5</v>
      </c>
      <c r="Z807" s="219"/>
      <c r="AA807" s="233">
        <f>SUM(AA802:AA806)</f>
        <v>2424955</v>
      </c>
      <c r="AB807" s="219"/>
      <c r="AC807" s="219"/>
      <c r="AD807" s="90"/>
      <c r="AE807" s="86"/>
      <c r="AF807" s="86"/>
      <c r="AG807" s="86"/>
      <c r="AH807" s="86"/>
      <c r="AJ807" s="84"/>
      <c r="AM807" s="219"/>
      <c r="AN807" s="219">
        <f>SUM(AN802:AN806)</f>
        <v>1444148.64</v>
      </c>
      <c r="AQ807" s="463"/>
      <c r="AR807" s="605"/>
      <c r="AS807" s="605"/>
      <c r="AT807" s="605"/>
      <c r="AW807" s="605"/>
      <c r="AX807" s="235"/>
      <c r="AY807" s="219"/>
      <c r="AZ807" s="236"/>
      <c r="BA807" s="236"/>
      <c r="BB807" s="236"/>
      <c r="BC807" s="236"/>
      <c r="BI807" s="734"/>
    </row>
    <row r="808" s="76" customFormat="1" ht="14.4" spans="1:69">
      <c r="A808" s="76" t="s">
        <v>797</v>
      </c>
      <c r="B808" s="76" t="s">
        <v>578</v>
      </c>
      <c r="C808" s="387" t="s">
        <v>1002</v>
      </c>
      <c r="D808" s="76" t="s">
        <v>1003</v>
      </c>
      <c r="E808" s="76" t="s">
        <v>699</v>
      </c>
      <c r="G808" s="479"/>
      <c r="H808" s="76" t="s">
        <v>93</v>
      </c>
      <c r="J808" s="129">
        <v>25</v>
      </c>
      <c r="K808" s="129">
        <f t="shared" ref="K808:K811" si="167">Z808+340</f>
        <v>5440</v>
      </c>
      <c r="L808" s="129">
        <f t="shared" si="164"/>
        <v>136000</v>
      </c>
      <c r="M808" s="129"/>
      <c r="N808" s="76">
        <f>13600+134357.12</f>
        <v>147957.12</v>
      </c>
      <c r="O808" s="199">
        <f>L808-N808</f>
        <v>-11957.12</v>
      </c>
      <c r="P808" s="91"/>
      <c r="Q808" s="91"/>
      <c r="R808" s="76" t="s">
        <v>66</v>
      </c>
      <c r="S808" s="76" t="s">
        <v>1004</v>
      </c>
      <c r="T808" s="387">
        <v>46055</v>
      </c>
      <c r="U808" s="387">
        <f>T808+60</f>
        <v>46115</v>
      </c>
      <c r="V808" s="387">
        <v>46096</v>
      </c>
      <c r="W808" s="76">
        <f>V808-U808</f>
        <v>-19</v>
      </c>
      <c r="X808" s="133" t="s">
        <v>355</v>
      </c>
      <c r="Y808" s="750">
        <v>29.299</v>
      </c>
      <c r="Z808" s="114">
        <v>5100</v>
      </c>
      <c r="AA808" s="114">
        <f t="shared" si="165"/>
        <v>149424.9</v>
      </c>
      <c r="AB808" s="114"/>
      <c r="AC808" s="114">
        <f t="shared" ref="AC808:AC811" si="168">AA808-AB808</f>
        <v>149424.9</v>
      </c>
      <c r="AD808" s="140"/>
      <c r="AE808" s="114"/>
      <c r="AF808" s="114"/>
      <c r="AG808" s="114"/>
      <c r="AH808" s="114"/>
      <c r="AI808" s="91"/>
      <c r="AM808" s="114"/>
      <c r="AN808" s="114">
        <f>13600+134357.12</f>
        <v>147957.12</v>
      </c>
      <c r="AP808" s="91"/>
      <c r="AQ808" s="746">
        <f t="shared" ref="AQ808:AQ811" si="169">V808</f>
        <v>46096</v>
      </c>
      <c r="AR808" s="387">
        <f t="shared" ref="AR808:AR811" si="170">V808-30</f>
        <v>46066</v>
      </c>
      <c r="AS808" s="387" t="s">
        <v>701</v>
      </c>
      <c r="AT808" s="387"/>
      <c r="AU808" s="76" t="s">
        <v>1005</v>
      </c>
      <c r="AV808" s="76">
        <v>1</v>
      </c>
      <c r="AW808" s="387">
        <v>46119</v>
      </c>
      <c r="AX808" s="129"/>
      <c r="AY808" s="114"/>
      <c r="AZ808" s="127"/>
      <c r="BA808" s="127"/>
      <c r="BB808" s="127"/>
      <c r="BC808" s="127"/>
      <c r="BI808" s="75"/>
      <c r="BJ808" s="91"/>
      <c r="BL808" s="76" t="str">
        <f t="shared" ref="BL808:BL811" si="171">D808</f>
        <v>TJTW-116</v>
      </c>
      <c r="BM808" s="76" t="str">
        <f t="shared" ref="BM808:BM811" si="172">A808</f>
        <v>INTEX</v>
      </c>
      <c r="BO808" s="76" t="str">
        <f t="shared" ref="BO808:BO811" si="173">E808</f>
        <v>0.30*790*855 2.0/2.0 T3 BA</v>
      </c>
      <c r="BP808" s="129">
        <f t="shared" ref="BP808:BP811" si="174">J808</f>
        <v>25</v>
      </c>
      <c r="BQ808" s="387">
        <f t="shared" ref="BQ808:BQ811" si="175">U808</f>
        <v>46115</v>
      </c>
    </row>
    <row r="809" s="79" customFormat="1" ht="14.4" spans="1:69">
      <c r="A809" s="79" t="s">
        <v>797</v>
      </c>
      <c r="B809" s="79" t="s">
        <v>578</v>
      </c>
      <c r="C809" s="517" t="s">
        <v>1002</v>
      </c>
      <c r="D809" s="79" t="s">
        <v>1003</v>
      </c>
      <c r="G809" s="486"/>
      <c r="H809" s="79" t="s">
        <v>93</v>
      </c>
      <c r="J809" s="194">
        <f>SUM(J808:J808)</f>
        <v>25</v>
      </c>
      <c r="K809" s="194"/>
      <c r="L809" s="194">
        <f>SUM(L808:L808)</f>
        <v>136000</v>
      </c>
      <c r="M809" s="194">
        <f>SUM(M808:M808)</f>
        <v>0</v>
      </c>
      <c r="N809" s="194">
        <f>SUM(N808:N808)</f>
        <v>147957.12</v>
      </c>
      <c r="O809" s="194">
        <f>SUM(O808:O808)</f>
        <v>-11957.12</v>
      </c>
      <c r="R809" s="79" t="s">
        <v>66</v>
      </c>
      <c r="T809" s="463"/>
      <c r="U809" s="463"/>
      <c r="V809" s="463"/>
      <c r="X809" s="193" t="s">
        <v>355</v>
      </c>
      <c r="Y809" s="194">
        <f>SUM(Y808:Y808)</f>
        <v>29.299</v>
      </c>
      <c r="Z809" s="194">
        <f>SUM(Z808:Z808)</f>
        <v>5100</v>
      </c>
      <c r="AA809" s="194">
        <f>SUM(AA808:AA808)</f>
        <v>149424.9</v>
      </c>
      <c r="AB809" s="194">
        <f>SUM(AB808:AB808)</f>
        <v>0</v>
      </c>
      <c r="AC809" s="194">
        <f>SUM(AC808:AC808)</f>
        <v>149424.9</v>
      </c>
      <c r="AD809" s="196"/>
      <c r="AE809" s="192"/>
      <c r="AF809" s="192"/>
      <c r="AG809" s="192"/>
      <c r="AH809" s="192"/>
      <c r="AK809" s="194">
        <f>SUM(AK808:AK808)</f>
        <v>0</v>
      </c>
      <c r="AM809" s="192"/>
      <c r="AN809" s="192">
        <f>SUM(AN808)</f>
        <v>147957.12</v>
      </c>
      <c r="AQ809" s="463"/>
      <c r="AR809" s="463"/>
      <c r="AS809" s="463"/>
      <c r="AT809" s="463"/>
      <c r="AW809" s="463"/>
      <c r="AX809" s="194"/>
      <c r="AY809" s="192"/>
      <c r="AZ809" s="150"/>
      <c r="BA809" s="150"/>
      <c r="BB809" s="150"/>
      <c r="BC809" s="150"/>
      <c r="BI809" s="151"/>
    </row>
    <row r="810" s="76" customFormat="1" customHeight="1" spans="1:69">
      <c r="A810" s="76" t="s">
        <v>842</v>
      </c>
      <c r="B810" s="76" t="s">
        <v>922</v>
      </c>
      <c r="C810" s="387" t="s">
        <v>1006</v>
      </c>
      <c r="D810" s="76" t="s">
        <v>1007</v>
      </c>
      <c r="E810" s="76" t="s">
        <v>652</v>
      </c>
      <c r="G810" s="479"/>
      <c r="H810" s="76" t="s">
        <v>93</v>
      </c>
      <c r="J810" s="129">
        <v>200</v>
      </c>
      <c r="K810" s="129">
        <f t="shared" si="167"/>
        <v>6250</v>
      </c>
      <c r="L810" s="129">
        <f t="shared" si="164"/>
        <v>1250000</v>
      </c>
      <c r="M810" s="129"/>
      <c r="N810" s="114">
        <v>1827000.002</v>
      </c>
      <c r="P810" s="91"/>
      <c r="Q810" s="91"/>
      <c r="R810" s="76" t="s">
        <v>66</v>
      </c>
      <c r="S810" s="76" t="s">
        <v>1008</v>
      </c>
      <c r="T810" s="387">
        <v>46056</v>
      </c>
      <c r="U810" s="387">
        <f>T810+60</f>
        <v>46116</v>
      </c>
      <c r="V810" s="387">
        <v>46137</v>
      </c>
      <c r="W810" s="76">
        <f>V810-U810</f>
        <v>21</v>
      </c>
      <c r="X810" s="133" t="s">
        <v>355</v>
      </c>
      <c r="Y810" s="76">
        <v>200</v>
      </c>
      <c r="Z810" s="114">
        <v>5910</v>
      </c>
      <c r="AA810" s="114">
        <f t="shared" si="165"/>
        <v>1182000</v>
      </c>
      <c r="AB810" s="114">
        <v>100000</v>
      </c>
      <c r="AC810" s="114">
        <f t="shared" si="168"/>
        <v>1082000</v>
      </c>
      <c r="AD810" s="140"/>
      <c r="AE810" s="114"/>
      <c r="AF810" s="114"/>
      <c r="AG810" s="114"/>
      <c r="AH810" s="114"/>
      <c r="AM810" s="114"/>
      <c r="AN810" s="114">
        <v>1827000.002</v>
      </c>
      <c r="AQ810" s="746">
        <f t="shared" si="169"/>
        <v>46137</v>
      </c>
      <c r="AR810" s="387">
        <f t="shared" si="170"/>
        <v>46107</v>
      </c>
      <c r="AS810" s="387" t="s">
        <v>701</v>
      </c>
      <c r="AT810" s="387"/>
      <c r="AU810" s="76" t="s">
        <v>1009</v>
      </c>
      <c r="AV810" s="76">
        <v>3</v>
      </c>
      <c r="AW810" s="387">
        <v>46117</v>
      </c>
      <c r="AX810" s="129"/>
      <c r="AY810" s="114"/>
      <c r="AZ810" s="127"/>
      <c r="BA810" s="127"/>
      <c r="BB810" s="127"/>
      <c r="BC810" s="127"/>
      <c r="BI810" s="75"/>
      <c r="BJ810" s="91"/>
      <c r="BL810" s="76" t="str">
        <f t="shared" si="171"/>
        <v>TJTW-117</v>
      </c>
      <c r="BM810" s="76" t="str">
        <f t="shared" si="172"/>
        <v>TCNCP</v>
      </c>
      <c r="BN810" s="76" t="str">
        <f t="shared" si="166"/>
        <v>TW 2026-02-03</v>
      </c>
      <c r="BO810" s="76" t="str">
        <f t="shared" si="173"/>
        <v>0.17*784*1040 2.0/2.0 DR9</v>
      </c>
      <c r="BP810" s="129">
        <f t="shared" si="174"/>
        <v>200</v>
      </c>
      <c r="BQ810" s="387">
        <f t="shared" si="175"/>
        <v>46116</v>
      </c>
    </row>
    <row r="811" s="76" customFormat="1" customHeight="1" spans="1:69">
      <c r="A811" s="76" t="s">
        <v>842</v>
      </c>
      <c r="B811" s="76" t="s">
        <v>922</v>
      </c>
      <c r="C811" s="387" t="s">
        <v>1006</v>
      </c>
      <c r="D811" s="76" t="s">
        <v>1007</v>
      </c>
      <c r="E811" s="76" t="s">
        <v>654</v>
      </c>
      <c r="G811" s="479"/>
      <c r="H811" s="76" t="s">
        <v>93</v>
      </c>
      <c r="J811" s="129">
        <v>100</v>
      </c>
      <c r="K811" s="129">
        <f t="shared" si="167"/>
        <v>6250</v>
      </c>
      <c r="L811" s="129">
        <f t="shared" si="164"/>
        <v>625000</v>
      </c>
      <c r="M811" s="129"/>
      <c r="N811" s="114"/>
      <c r="P811" s="91"/>
      <c r="Q811" s="91"/>
      <c r="R811" s="76" t="s">
        <v>66</v>
      </c>
      <c r="S811" s="76" t="s">
        <v>1008</v>
      </c>
      <c r="T811" s="387">
        <v>46056</v>
      </c>
      <c r="U811" s="387">
        <f>T811+60</f>
        <v>46116</v>
      </c>
      <c r="V811" s="387">
        <v>46137</v>
      </c>
      <c r="W811" s="76">
        <f>V811-U811</f>
        <v>21</v>
      </c>
      <c r="X811" s="133" t="s">
        <v>355</v>
      </c>
      <c r="Y811" s="76">
        <v>84.884</v>
      </c>
      <c r="Z811" s="114">
        <v>5910</v>
      </c>
      <c r="AA811" s="114">
        <f t="shared" si="165"/>
        <v>501664.44</v>
      </c>
      <c r="AB811" s="114">
        <v>480447.54</v>
      </c>
      <c r="AC811" s="114">
        <f t="shared" si="168"/>
        <v>21216.9</v>
      </c>
      <c r="AD811" s="140"/>
      <c r="AE811" s="114"/>
      <c r="AF811" s="114"/>
      <c r="AG811" s="114"/>
      <c r="AH811" s="114"/>
      <c r="AM811" s="114"/>
      <c r="AN811" s="114"/>
      <c r="AQ811" s="746">
        <f t="shared" si="169"/>
        <v>46137</v>
      </c>
      <c r="AR811" s="387">
        <f t="shared" si="170"/>
        <v>46107</v>
      </c>
      <c r="AS811" s="387" t="s">
        <v>701</v>
      </c>
      <c r="AT811" s="387"/>
      <c r="AV811" s="76">
        <v>8</v>
      </c>
      <c r="AW811" s="387">
        <v>46201</v>
      </c>
      <c r="AX811" s="129"/>
      <c r="AY811" s="114"/>
      <c r="AZ811" s="127"/>
      <c r="BA811" s="127"/>
      <c r="BB811" s="127"/>
      <c r="BC811" s="127"/>
      <c r="BI811" s="75"/>
      <c r="BJ811" s="91"/>
      <c r="BL811" s="76" t="str">
        <f t="shared" si="171"/>
        <v>TJTW-117</v>
      </c>
      <c r="BM811" s="76" t="str">
        <f t="shared" si="172"/>
        <v>TCNCP</v>
      </c>
      <c r="BN811" s="76" t="str">
        <f t="shared" si="166"/>
        <v>TW 2026-02-03</v>
      </c>
      <c r="BO811" s="76" t="str">
        <f t="shared" si="173"/>
        <v>0.17*910*1071 2.0/2.0 DR9</v>
      </c>
      <c r="BP811" s="129">
        <f t="shared" si="174"/>
        <v>100</v>
      </c>
      <c r="BQ811" s="387">
        <f t="shared" si="175"/>
        <v>46116</v>
      </c>
    </row>
    <row r="812" s="79" customFormat="1" customHeight="1" spans="1:69">
      <c r="A812" s="79" t="s">
        <v>842</v>
      </c>
      <c r="B812" s="79" t="s">
        <v>922</v>
      </c>
      <c r="C812" s="463" t="s">
        <v>1006</v>
      </c>
      <c r="D812" s="79" t="s">
        <v>1007</v>
      </c>
      <c r="G812" s="486"/>
      <c r="K812" s="194"/>
      <c r="M812" s="194"/>
      <c r="N812" s="79">
        <f>SUM(N810:N811)</f>
        <v>1827000.002</v>
      </c>
      <c r="R812" s="79" t="s">
        <v>66</v>
      </c>
      <c r="T812" s="463"/>
      <c r="U812" s="463"/>
      <c r="V812" s="463"/>
      <c r="X812" s="193"/>
      <c r="Z812" s="192"/>
      <c r="AA812" s="79">
        <f>SUM(AA810:AA811)</f>
        <v>1683664.44</v>
      </c>
      <c r="AB812" s="192">
        <f t="shared" ref="AB812:AC812" si="176">SUM(AB810:AB811)</f>
        <v>580447.54</v>
      </c>
      <c r="AC812" s="192">
        <f t="shared" si="176"/>
        <v>1103216.9</v>
      </c>
      <c r="AD812" s="196"/>
      <c r="AE812" s="192"/>
      <c r="AF812" s="192"/>
      <c r="AG812" s="192"/>
      <c r="AH812" s="192"/>
      <c r="AM812" s="192"/>
      <c r="AN812" s="192">
        <f>SUM(AN810:AN811)</f>
        <v>1827000.002</v>
      </c>
      <c r="AQ812" s="463">
        <f t="shared" ref="AQ812:AQ823" si="177">V812</f>
        <v>0</v>
      </c>
      <c r="AR812" s="463"/>
      <c r="AS812" s="463"/>
      <c r="AT812" s="463"/>
      <c r="AW812" s="463"/>
      <c r="AX812" s="194"/>
      <c r="AY812" s="192"/>
      <c r="AZ812" s="150"/>
      <c r="BA812" s="150"/>
      <c r="BB812" s="150"/>
      <c r="BC812" s="150"/>
      <c r="BI812" s="151"/>
    </row>
    <row r="813" s="76" customFormat="1" customHeight="1" spans="1:69">
      <c r="A813" s="76" t="s">
        <v>933</v>
      </c>
      <c r="B813" s="76" t="s">
        <v>456</v>
      </c>
      <c r="C813" s="387"/>
      <c r="D813" s="76" t="s">
        <v>1010</v>
      </c>
      <c r="E813" s="76" t="s">
        <v>935</v>
      </c>
      <c r="G813" s="479"/>
      <c r="H813" s="76" t="s">
        <v>93</v>
      </c>
      <c r="J813" s="76">
        <v>2320000</v>
      </c>
      <c r="K813" s="143">
        <v>0.2329</v>
      </c>
      <c r="L813" s="114">
        <f t="shared" ref="L813:L823" si="178">J813*K813</f>
        <v>540328</v>
      </c>
      <c r="M813" s="129"/>
      <c r="N813" s="76">
        <v>540328</v>
      </c>
      <c r="P813" s="91"/>
      <c r="Q813" s="91"/>
      <c r="R813" s="76" t="s">
        <v>88</v>
      </c>
      <c r="S813" s="76" t="s">
        <v>1011</v>
      </c>
      <c r="T813" s="387">
        <v>46062</v>
      </c>
      <c r="U813" s="387">
        <f>T813+15</f>
        <v>46077</v>
      </c>
      <c r="V813" s="387">
        <v>46101</v>
      </c>
      <c r="W813" s="76">
        <f>V813-U813</f>
        <v>24</v>
      </c>
      <c r="X813" s="133" t="s">
        <v>355</v>
      </c>
      <c r="Y813" s="76">
        <v>2320000</v>
      </c>
      <c r="Z813" s="114">
        <v>0.25</v>
      </c>
      <c r="AA813" s="114">
        <f>Y813*Z813</f>
        <v>580000</v>
      </c>
      <c r="AB813" s="114"/>
      <c r="AC813" s="114"/>
      <c r="AD813" s="140"/>
      <c r="AE813" s="114"/>
      <c r="AF813" s="114"/>
      <c r="AG813" s="114"/>
      <c r="AH813" s="114"/>
      <c r="AM813" s="114"/>
      <c r="AN813" s="114">
        <v>540328</v>
      </c>
      <c r="AQ813" s="746">
        <f t="shared" si="177"/>
        <v>46101</v>
      </c>
      <c r="AR813" s="387">
        <f t="shared" ref="AR813:AR823" si="179">V813-30</f>
        <v>46071</v>
      </c>
      <c r="AS813" s="387" t="s">
        <v>701</v>
      </c>
      <c r="AT813" s="387"/>
      <c r="AU813" s="76" t="s">
        <v>1012</v>
      </c>
      <c r="AV813" s="76">
        <v>2</v>
      </c>
      <c r="AW813" s="387">
        <v>46117</v>
      </c>
      <c r="AX813" s="129"/>
      <c r="AY813" s="114"/>
      <c r="AZ813" s="127"/>
      <c r="BA813" s="127"/>
      <c r="BB813" s="127"/>
      <c r="BC813" s="127"/>
      <c r="BI813" s="75"/>
      <c r="BJ813" s="91"/>
      <c r="BL813" s="76" t="str">
        <f>D813</f>
        <v>TJTW-118</v>
      </c>
      <c r="BM813" s="76" t="str">
        <f>A813</f>
        <v>KALMETA</v>
      </c>
      <c r="BN813" s="76">
        <f>C813</f>
        <v>0</v>
      </c>
      <c r="BO813" s="76" t="str">
        <f>E813</f>
        <v>EOE 99.8mm 0.21 #401</v>
      </c>
      <c r="BP813" s="129">
        <f>J813</f>
        <v>2320000</v>
      </c>
      <c r="BQ813" s="387">
        <f>U813</f>
        <v>46077</v>
      </c>
    </row>
    <row r="814" s="79" customFormat="1" customHeight="1" spans="1:69">
      <c r="A814" s="79" t="s">
        <v>933</v>
      </c>
      <c r="B814" s="79" t="s">
        <v>456</v>
      </c>
      <c r="C814" s="463"/>
      <c r="D814" s="79" t="s">
        <v>1010</v>
      </c>
      <c r="G814" s="486"/>
      <c r="J814" s="79">
        <f t="shared" ref="J814:N814" si="180">SUM(J813:J813)</f>
        <v>2320000</v>
      </c>
      <c r="K814" s="194"/>
      <c r="L814" s="79">
        <f t="shared" si="180"/>
        <v>540328</v>
      </c>
      <c r="M814" s="194"/>
      <c r="N814" s="79">
        <f t="shared" si="180"/>
        <v>540328</v>
      </c>
      <c r="O814" s="79">
        <f>O813</f>
        <v>0</v>
      </c>
      <c r="T814" s="463"/>
      <c r="U814" s="463"/>
      <c r="V814" s="463"/>
      <c r="X814" s="193" t="s">
        <v>355</v>
      </c>
      <c r="Y814" s="79">
        <f>SUM(Y813:Y813)</f>
        <v>2320000</v>
      </c>
      <c r="Z814" s="192"/>
      <c r="AA814" s="79">
        <f>SUM(AA813:AA813)</f>
        <v>580000</v>
      </c>
      <c r="AB814" s="192"/>
      <c r="AC814" s="192"/>
      <c r="AD814" s="196"/>
      <c r="AE814" s="192"/>
      <c r="AF814" s="192"/>
      <c r="AG814" s="192"/>
      <c r="AH814" s="192"/>
      <c r="AM814" s="192"/>
      <c r="AN814" s="192">
        <f>SUM(AN813:AN813)</f>
        <v>540328</v>
      </c>
      <c r="AQ814" s="463"/>
      <c r="AR814" s="463"/>
      <c r="AS814" s="463"/>
      <c r="AT814" s="463"/>
      <c r="AW814" s="463"/>
      <c r="AX814" s="194"/>
      <c r="AY814" s="192"/>
      <c r="AZ814" s="150"/>
      <c r="BA814" s="150"/>
      <c r="BB814" s="150"/>
      <c r="BC814" s="150"/>
      <c r="BI814" s="151"/>
    </row>
    <row r="815" s="76" customFormat="1" customHeight="1" spans="1:69">
      <c r="A815" s="76" t="s">
        <v>1013</v>
      </c>
      <c r="B815" s="76" t="s">
        <v>572</v>
      </c>
      <c r="C815" s="387" t="s">
        <v>1014</v>
      </c>
      <c r="D815" s="76" t="s">
        <v>1015</v>
      </c>
      <c r="E815" s="76" t="s">
        <v>1016</v>
      </c>
      <c r="G815" s="479"/>
      <c r="H815" s="76" t="s">
        <v>93</v>
      </c>
      <c r="J815" s="129">
        <v>15</v>
      </c>
      <c r="K815" s="129">
        <f>Z815+250</f>
        <v>6150</v>
      </c>
      <c r="L815" s="114">
        <f t="shared" si="178"/>
        <v>92250</v>
      </c>
      <c r="M815" s="129"/>
      <c r="N815" s="114">
        <v>217250</v>
      </c>
      <c r="P815" s="91"/>
      <c r="Q815" s="91"/>
      <c r="R815" s="76" t="s">
        <v>88</v>
      </c>
      <c r="S815" s="76" t="s">
        <v>1017</v>
      </c>
      <c r="T815" s="387">
        <v>46064</v>
      </c>
      <c r="U815" s="387">
        <f>T815+60</f>
        <v>46124</v>
      </c>
      <c r="V815" s="387">
        <v>46142</v>
      </c>
      <c r="W815" s="76">
        <f t="shared" ref="W815:W823" si="181">V815-U815</f>
        <v>18</v>
      </c>
      <c r="X815" s="133"/>
      <c r="Y815" s="405">
        <v>15</v>
      </c>
      <c r="Z815" s="114">
        <v>5900</v>
      </c>
      <c r="AA815" s="114">
        <f>Y815*Z815</f>
        <v>88500</v>
      </c>
      <c r="AB815" s="114"/>
      <c r="AC815" s="114"/>
      <c r="AD815" s="140"/>
      <c r="AE815" s="114"/>
      <c r="AF815" s="114"/>
      <c r="AG815" s="114"/>
      <c r="AH815" s="114"/>
      <c r="AM815" s="114"/>
      <c r="AN815" s="114">
        <v>217250</v>
      </c>
      <c r="AQ815" s="746">
        <f t="shared" si="177"/>
        <v>46142</v>
      </c>
      <c r="AR815" s="387">
        <f t="shared" si="179"/>
        <v>46112</v>
      </c>
      <c r="AS815" s="387" t="s">
        <v>701</v>
      </c>
      <c r="AT815" s="387"/>
      <c r="AV815" s="76">
        <v>2</v>
      </c>
      <c r="AW815" s="387">
        <v>46140</v>
      </c>
      <c r="AX815" s="129"/>
      <c r="AY815" s="114"/>
      <c r="AZ815" s="127"/>
      <c r="BA815" s="127"/>
      <c r="BB815" s="127"/>
      <c r="BC815" s="127"/>
      <c r="BI815" s="75"/>
      <c r="BJ815" s="91"/>
      <c r="BL815" s="76" t="str">
        <f>D821</f>
        <v>TJTW-119</v>
      </c>
      <c r="BM815" s="76" t="str">
        <f t="shared" ref="BM815:BM823" si="182">A815</f>
        <v>ETALON</v>
      </c>
      <c r="BO815" s="76" t="str">
        <f t="shared" ref="BO815:BO823" si="183">E815</f>
        <v>0.19*950*836 2.0/2.0, T3,5 Stone, BA</v>
      </c>
      <c r="BP815" s="129">
        <f t="shared" ref="BP815:BP823" si="184">J815</f>
        <v>15</v>
      </c>
      <c r="BQ815" s="387">
        <f t="shared" ref="BQ815:BQ823" si="185">U815</f>
        <v>46124</v>
      </c>
    </row>
    <row r="816" s="76" customFormat="1" customHeight="1" spans="1:69">
      <c r="A816" s="76" t="s">
        <v>1013</v>
      </c>
      <c r="B816" s="76" t="s">
        <v>572</v>
      </c>
      <c r="C816" s="387" t="s">
        <v>1014</v>
      </c>
      <c r="D816" s="76" t="s">
        <v>1015</v>
      </c>
      <c r="E816" s="76" t="s">
        <v>1018</v>
      </c>
      <c r="G816" s="479"/>
      <c r="H816" s="76" t="s">
        <v>93</v>
      </c>
      <c r="J816" s="129">
        <v>15</v>
      </c>
      <c r="K816" s="129">
        <f t="shared" ref="K816:K821" si="186">Z816+250</f>
        <v>6150</v>
      </c>
      <c r="L816" s="114">
        <f t="shared" si="178"/>
        <v>92250</v>
      </c>
      <c r="M816" s="129"/>
      <c r="N816" s="114">
        <v>165191.4</v>
      </c>
      <c r="P816" s="91"/>
      <c r="Q816" s="91"/>
      <c r="R816" s="76" t="s">
        <v>88</v>
      </c>
      <c r="S816" s="76" t="s">
        <v>1017</v>
      </c>
      <c r="T816" s="387">
        <v>46064</v>
      </c>
      <c r="U816" s="387">
        <f t="shared" ref="U816:U823" si="187">T816+60</f>
        <v>46124</v>
      </c>
      <c r="V816" s="387">
        <v>46142</v>
      </c>
      <c r="W816" s="76">
        <f t="shared" si="181"/>
        <v>18</v>
      </c>
      <c r="X816" s="133"/>
      <c r="Y816" s="405">
        <v>15</v>
      </c>
      <c r="Z816" s="114">
        <v>5900</v>
      </c>
      <c r="AA816" s="114">
        <f t="shared" ref="AA816:AA823" si="188">Y816*Z816</f>
        <v>88500</v>
      </c>
      <c r="AB816" s="114"/>
      <c r="AC816" s="114"/>
      <c r="AD816" s="140"/>
      <c r="AE816" s="114"/>
      <c r="AF816" s="114"/>
      <c r="AG816" s="114"/>
      <c r="AH816" s="114"/>
      <c r="AM816" s="114"/>
      <c r="AN816" s="114">
        <v>165191.4</v>
      </c>
      <c r="AQ816" s="746">
        <f t="shared" si="177"/>
        <v>46142</v>
      </c>
      <c r="AR816" s="387">
        <f t="shared" si="179"/>
        <v>46112</v>
      </c>
      <c r="AS816" s="387" t="s">
        <v>701</v>
      </c>
      <c r="AT816" s="387"/>
      <c r="AU816" s="76" t="s">
        <v>1019</v>
      </c>
      <c r="AV816" s="76">
        <v>2</v>
      </c>
      <c r="AW816" s="387">
        <v>46183</v>
      </c>
      <c r="AX816" s="129"/>
      <c r="AY816" s="114"/>
      <c r="AZ816" s="127"/>
      <c r="BA816" s="127"/>
      <c r="BB816" s="127"/>
      <c r="BC816" s="127"/>
      <c r="BI816" s="75"/>
      <c r="BJ816" s="91"/>
      <c r="BL816" s="76" t="str">
        <f>D816</f>
        <v>TJTW-119</v>
      </c>
      <c r="BM816" s="76" t="str">
        <f t="shared" si="182"/>
        <v>ETALON</v>
      </c>
      <c r="BO816" s="76" t="str">
        <f t="shared" si="183"/>
        <v>0.19*950*875 2.0/2.0, T3,5 Stone, BA</v>
      </c>
      <c r="BP816" s="129">
        <f t="shared" si="184"/>
        <v>15</v>
      </c>
      <c r="BQ816" s="387">
        <f t="shared" si="185"/>
        <v>46124</v>
      </c>
    </row>
    <row r="817" s="76" customFormat="1" customHeight="1" spans="1:69">
      <c r="A817" s="76" t="s">
        <v>1013</v>
      </c>
      <c r="B817" s="76" t="s">
        <v>572</v>
      </c>
      <c r="C817" s="387" t="s">
        <v>1014</v>
      </c>
      <c r="D817" s="76" t="s">
        <v>1015</v>
      </c>
      <c r="E817" s="76" t="s">
        <v>1020</v>
      </c>
      <c r="G817" s="479"/>
      <c r="H817" s="76" t="s">
        <v>93</v>
      </c>
      <c r="J817" s="129">
        <v>13</v>
      </c>
      <c r="K817" s="129">
        <f t="shared" si="186"/>
        <v>5950</v>
      </c>
      <c r="L817" s="114">
        <f t="shared" si="178"/>
        <v>77350</v>
      </c>
      <c r="M817" s="129"/>
      <c r="N817" s="76">
        <v>107522.75</v>
      </c>
      <c r="P817" s="91"/>
      <c r="Q817" s="91"/>
      <c r="R817" s="76" t="s">
        <v>88</v>
      </c>
      <c r="S817" s="76" t="s">
        <v>1017</v>
      </c>
      <c r="T817" s="387">
        <v>46064</v>
      </c>
      <c r="U817" s="387">
        <f t="shared" si="187"/>
        <v>46124</v>
      </c>
      <c r="V817" s="387">
        <v>46142</v>
      </c>
      <c r="W817" s="76">
        <f t="shared" si="181"/>
        <v>18</v>
      </c>
      <c r="X817" s="133"/>
      <c r="Y817" s="405">
        <v>13</v>
      </c>
      <c r="Z817" s="114">
        <v>5700</v>
      </c>
      <c r="AA817" s="114">
        <f t="shared" si="188"/>
        <v>74100</v>
      </c>
      <c r="AB817" s="114"/>
      <c r="AC817" s="114"/>
      <c r="AD817" s="140"/>
      <c r="AE817" s="114"/>
      <c r="AF817" s="114"/>
      <c r="AG817" s="114"/>
      <c r="AH817" s="114"/>
      <c r="AM817" s="114"/>
      <c r="AN817" s="114">
        <v>107522.75</v>
      </c>
      <c r="AQ817" s="746">
        <f t="shared" si="177"/>
        <v>46142</v>
      </c>
      <c r="AR817" s="387">
        <f t="shared" si="179"/>
        <v>46112</v>
      </c>
      <c r="AS817" s="387"/>
      <c r="AT817" s="387"/>
      <c r="AW817" s="387"/>
      <c r="AX817" s="129"/>
      <c r="AY817" s="114"/>
      <c r="AZ817" s="127"/>
      <c r="BA817" s="127"/>
      <c r="BB817" s="127"/>
      <c r="BC817" s="127"/>
      <c r="BI817" s="75"/>
      <c r="BJ817" s="91"/>
      <c r="BL817" s="76" t="str">
        <f>D817</f>
        <v>TJTW-119</v>
      </c>
      <c r="BM817" s="76" t="str">
        <f t="shared" si="182"/>
        <v>ETALON</v>
      </c>
      <c r="BO817" s="76" t="str">
        <f t="shared" si="183"/>
        <v>0.22*763*742 2.0/2.0, T3,5 Stone, BA</v>
      </c>
      <c r="BP817" s="129">
        <f t="shared" si="184"/>
        <v>13</v>
      </c>
      <c r="BQ817" s="387">
        <f t="shared" si="185"/>
        <v>46124</v>
      </c>
    </row>
    <row r="818" s="76" customFormat="1" customHeight="1" spans="1:69">
      <c r="A818" s="76" t="s">
        <v>1013</v>
      </c>
      <c r="B818" s="76" t="s">
        <v>572</v>
      </c>
      <c r="C818" s="387" t="s">
        <v>1014</v>
      </c>
      <c r="D818" s="76" t="s">
        <v>1015</v>
      </c>
      <c r="E818" s="76" t="s">
        <v>1021</v>
      </c>
      <c r="G818" s="479"/>
      <c r="H818" s="76" t="s">
        <v>93</v>
      </c>
      <c r="J818" s="129">
        <v>15</v>
      </c>
      <c r="K818" s="129">
        <f t="shared" si="186"/>
        <v>5950</v>
      </c>
      <c r="L818" s="114">
        <f t="shared" si="178"/>
        <v>89250</v>
      </c>
      <c r="M818" s="129"/>
      <c r="N818" s="76">
        <v>49418.6</v>
      </c>
      <c r="P818" s="91"/>
      <c r="Q818" s="91"/>
      <c r="R818" s="76" t="s">
        <v>88</v>
      </c>
      <c r="S818" s="76" t="s">
        <v>1017</v>
      </c>
      <c r="T818" s="387">
        <v>46064</v>
      </c>
      <c r="U818" s="387">
        <f t="shared" si="187"/>
        <v>46124</v>
      </c>
      <c r="V818" s="387">
        <v>46142</v>
      </c>
      <c r="W818" s="76">
        <f t="shared" si="181"/>
        <v>18</v>
      </c>
      <c r="X818" s="133"/>
      <c r="Y818" s="405">
        <v>15</v>
      </c>
      <c r="Z818" s="114">
        <v>5700</v>
      </c>
      <c r="AA818" s="114">
        <f t="shared" si="188"/>
        <v>85500</v>
      </c>
      <c r="AB818" s="114"/>
      <c r="AC818" s="114"/>
      <c r="AD818" s="140"/>
      <c r="AE818" s="114"/>
      <c r="AF818" s="114"/>
      <c r="AG818" s="114"/>
      <c r="AH818" s="114"/>
      <c r="AM818" s="114"/>
      <c r="AN818" s="114">
        <v>49418.6</v>
      </c>
      <c r="AQ818" s="746">
        <f t="shared" si="177"/>
        <v>46142</v>
      </c>
      <c r="AR818" s="387">
        <f t="shared" si="179"/>
        <v>46112</v>
      </c>
      <c r="AS818" s="387"/>
      <c r="AT818" s="387"/>
      <c r="AW818" s="387"/>
      <c r="AX818" s="129"/>
      <c r="AY818" s="114"/>
      <c r="AZ818" s="127"/>
      <c r="BA818" s="127"/>
      <c r="BB818" s="127"/>
      <c r="BC818" s="127"/>
      <c r="BI818" s="75"/>
      <c r="BJ818" s="91"/>
      <c r="BL818" s="76" t="str">
        <f>D818</f>
        <v>TJTW-119</v>
      </c>
      <c r="BM818" s="76" t="str">
        <f t="shared" si="182"/>
        <v>ETALON</v>
      </c>
      <c r="BO818" s="76" t="str">
        <f t="shared" si="183"/>
        <v>0.22*900*735 2.0/2.0, T3,5 Stone, BA</v>
      </c>
      <c r="BP818" s="129">
        <f t="shared" si="184"/>
        <v>15</v>
      </c>
      <c r="BQ818" s="387">
        <f t="shared" si="185"/>
        <v>46124</v>
      </c>
    </row>
    <row r="819" s="76" customFormat="1" customHeight="1" spans="1:69">
      <c r="A819" s="76" t="s">
        <v>1013</v>
      </c>
      <c r="B819" s="76" t="s">
        <v>572</v>
      </c>
      <c r="C819" s="387" t="s">
        <v>1014</v>
      </c>
      <c r="D819" s="76" t="s">
        <v>1015</v>
      </c>
      <c r="E819" s="76" t="s">
        <v>1022</v>
      </c>
      <c r="G819" s="479"/>
      <c r="H819" s="76" t="s">
        <v>93</v>
      </c>
      <c r="J819" s="129">
        <v>15</v>
      </c>
      <c r="K819" s="129">
        <f t="shared" si="186"/>
        <v>5950</v>
      </c>
      <c r="L819" s="114">
        <f t="shared" si="178"/>
        <v>89250</v>
      </c>
      <c r="M819" s="129"/>
      <c r="N819" s="76">
        <v>14216.6</v>
      </c>
      <c r="P819" s="91"/>
      <c r="Q819" s="91"/>
      <c r="R819" s="76" t="s">
        <v>88</v>
      </c>
      <c r="S819" s="76" t="s">
        <v>1017</v>
      </c>
      <c r="T819" s="387">
        <v>46064</v>
      </c>
      <c r="U819" s="387">
        <f t="shared" si="187"/>
        <v>46124</v>
      </c>
      <c r="V819" s="387">
        <v>46142</v>
      </c>
      <c r="W819" s="76">
        <f t="shared" si="181"/>
        <v>18</v>
      </c>
      <c r="X819" s="133"/>
      <c r="Y819" s="405">
        <v>15</v>
      </c>
      <c r="Z819" s="114">
        <v>5700</v>
      </c>
      <c r="AA819" s="114">
        <f t="shared" si="188"/>
        <v>85500</v>
      </c>
      <c r="AB819" s="114"/>
      <c r="AC819" s="114"/>
      <c r="AD819" s="140"/>
      <c r="AE819" s="114"/>
      <c r="AF819" s="114"/>
      <c r="AG819" s="114"/>
      <c r="AH819" s="114"/>
      <c r="AM819" s="114"/>
      <c r="AN819" s="114">
        <v>14216.6</v>
      </c>
      <c r="AQ819" s="746">
        <f t="shared" si="177"/>
        <v>46142</v>
      </c>
      <c r="AR819" s="387">
        <f t="shared" si="179"/>
        <v>46112</v>
      </c>
      <c r="AS819" s="387"/>
      <c r="AT819" s="387"/>
      <c r="AW819" s="387"/>
      <c r="AX819" s="129"/>
      <c r="AY819" s="114"/>
      <c r="AZ819" s="127"/>
      <c r="BA819" s="127"/>
      <c r="BB819" s="127"/>
      <c r="BC819" s="127"/>
      <c r="BI819" s="75"/>
      <c r="BJ819" s="91"/>
      <c r="BL819" s="76" t="str">
        <f>D819</f>
        <v>TJTW-119</v>
      </c>
      <c r="BM819" s="76" t="str">
        <f t="shared" si="182"/>
        <v>ETALON</v>
      </c>
      <c r="BO819" s="76" t="str">
        <f t="shared" si="183"/>
        <v>0.22*972*712 2.0/2.0, T3,5 Stone, BA</v>
      </c>
      <c r="BP819" s="129">
        <f t="shared" si="184"/>
        <v>15</v>
      </c>
      <c r="BQ819" s="387">
        <f t="shared" si="185"/>
        <v>46124</v>
      </c>
    </row>
    <row r="820" s="76" customFormat="1" customHeight="1" spans="1:69">
      <c r="A820" s="76" t="s">
        <v>1013</v>
      </c>
      <c r="B820" s="76" t="s">
        <v>572</v>
      </c>
      <c r="C820" s="387" t="s">
        <v>1014</v>
      </c>
      <c r="D820" s="76" t="s">
        <v>1015</v>
      </c>
      <c r="E820" s="76" t="s">
        <v>1023</v>
      </c>
      <c r="G820" s="479"/>
      <c r="H820" s="76" t="s">
        <v>93</v>
      </c>
      <c r="J820" s="129">
        <v>15</v>
      </c>
      <c r="K820" s="129">
        <f t="shared" si="186"/>
        <v>5900</v>
      </c>
      <c r="L820" s="114">
        <f t="shared" si="178"/>
        <v>88500</v>
      </c>
      <c r="M820" s="129"/>
      <c r="N820" s="76">
        <v>123391.05</v>
      </c>
      <c r="P820" s="91"/>
      <c r="Q820" s="91"/>
      <c r="R820" s="76" t="s">
        <v>88</v>
      </c>
      <c r="S820" s="76" t="s">
        <v>1017</v>
      </c>
      <c r="T820" s="387">
        <v>46064</v>
      </c>
      <c r="U820" s="387">
        <f t="shared" si="187"/>
        <v>46124</v>
      </c>
      <c r="V820" s="387">
        <v>46142</v>
      </c>
      <c r="W820" s="76">
        <f t="shared" si="181"/>
        <v>18</v>
      </c>
      <c r="X820" s="133"/>
      <c r="Y820" s="405">
        <v>15</v>
      </c>
      <c r="Z820" s="114">
        <v>5650</v>
      </c>
      <c r="AA820" s="114">
        <f t="shared" si="188"/>
        <v>84750</v>
      </c>
      <c r="AB820" s="114"/>
      <c r="AC820" s="114"/>
      <c r="AD820" s="140"/>
      <c r="AE820" s="114"/>
      <c r="AF820" s="114"/>
      <c r="AG820" s="114"/>
      <c r="AH820" s="114"/>
      <c r="AM820" s="114"/>
      <c r="AN820" s="114">
        <v>123391.05</v>
      </c>
      <c r="AQ820" s="746">
        <f t="shared" si="177"/>
        <v>46142</v>
      </c>
      <c r="AR820" s="387">
        <f t="shared" si="179"/>
        <v>46112</v>
      </c>
      <c r="AS820" s="387"/>
      <c r="AT820" s="387"/>
      <c r="AW820" s="387"/>
      <c r="AX820" s="129"/>
      <c r="AY820" s="114"/>
      <c r="AZ820" s="127"/>
      <c r="BA820" s="127"/>
      <c r="BB820" s="127"/>
      <c r="BC820" s="127"/>
      <c r="BI820" s="75"/>
      <c r="BJ820" s="91"/>
      <c r="BL820" s="76" t="str">
        <f>D820</f>
        <v>TJTW-119</v>
      </c>
      <c r="BM820" s="76" t="str">
        <f t="shared" si="182"/>
        <v>ETALON</v>
      </c>
      <c r="BO820" s="76" t="str">
        <f t="shared" si="183"/>
        <v>0.22*932*1133 2.0/2.0, T3,5 Stone, BA</v>
      </c>
      <c r="BP820" s="129">
        <f t="shared" si="184"/>
        <v>15</v>
      </c>
      <c r="BQ820" s="387">
        <f t="shared" si="185"/>
        <v>46124</v>
      </c>
    </row>
    <row r="821" s="76" customFormat="1" customHeight="1" spans="1:69">
      <c r="A821" s="76" t="s">
        <v>1013</v>
      </c>
      <c r="B821" s="76" t="s">
        <v>572</v>
      </c>
      <c r="C821" s="387" t="s">
        <v>1014</v>
      </c>
      <c r="D821" s="76" t="s">
        <v>1015</v>
      </c>
      <c r="E821" s="76" t="s">
        <v>1024</v>
      </c>
      <c r="G821" s="479"/>
      <c r="H821" s="76" t="s">
        <v>93</v>
      </c>
      <c r="J821" s="129">
        <v>14</v>
      </c>
      <c r="K821" s="129">
        <f t="shared" si="186"/>
        <v>5850</v>
      </c>
      <c r="L821" s="114">
        <f t="shared" si="178"/>
        <v>81900</v>
      </c>
      <c r="M821" s="129"/>
      <c r="P821" s="91"/>
      <c r="Q821" s="91"/>
      <c r="R821" s="76" t="s">
        <v>88</v>
      </c>
      <c r="S821" s="76" t="s">
        <v>1017</v>
      </c>
      <c r="T821" s="387">
        <v>46064</v>
      </c>
      <c r="U821" s="387">
        <f t="shared" si="187"/>
        <v>46124</v>
      </c>
      <c r="V821" s="387">
        <v>46142</v>
      </c>
      <c r="W821" s="76">
        <f t="shared" si="181"/>
        <v>18</v>
      </c>
      <c r="X821" s="133"/>
      <c r="Y821" s="405">
        <v>14</v>
      </c>
      <c r="Z821" s="114">
        <v>5600</v>
      </c>
      <c r="AA821" s="114">
        <f t="shared" si="188"/>
        <v>78400</v>
      </c>
      <c r="AB821" s="114"/>
      <c r="AC821" s="114"/>
      <c r="AD821" s="140"/>
      <c r="AE821" s="114"/>
      <c r="AF821" s="114"/>
      <c r="AG821" s="114"/>
      <c r="AH821" s="114"/>
      <c r="AM821" s="114"/>
      <c r="AN821" s="114"/>
      <c r="AQ821" s="746">
        <f t="shared" si="177"/>
        <v>46142</v>
      </c>
      <c r="AR821" s="387">
        <f t="shared" si="179"/>
        <v>46112</v>
      </c>
      <c r="AS821" s="387"/>
      <c r="AT821" s="387"/>
      <c r="AW821" s="387"/>
      <c r="AX821" s="129"/>
      <c r="AY821" s="114"/>
      <c r="AZ821" s="127"/>
      <c r="BA821" s="127"/>
      <c r="BB821" s="127"/>
      <c r="BC821" s="127"/>
      <c r="BI821" s="75"/>
      <c r="BJ821" s="91"/>
      <c r="BL821" s="76" t="e">
        <f>#REF!</f>
        <v>#REF!</v>
      </c>
      <c r="BM821" s="76" t="str">
        <f t="shared" si="182"/>
        <v>ETALON</v>
      </c>
      <c r="BO821" s="76" t="str">
        <f t="shared" si="183"/>
        <v>0.24*870*670 2.0/2.0, T3,5 Stone, BA</v>
      </c>
      <c r="BP821" s="129">
        <f t="shared" si="184"/>
        <v>14</v>
      </c>
      <c r="BQ821" s="387">
        <f t="shared" si="185"/>
        <v>46124</v>
      </c>
    </row>
    <row r="822" s="76" customFormat="1" customHeight="1" spans="1:69">
      <c r="A822" s="76" t="s">
        <v>1013</v>
      </c>
      <c r="B822" s="76" t="s">
        <v>572</v>
      </c>
      <c r="C822" s="387" t="s">
        <v>1014</v>
      </c>
      <c r="D822" s="76" t="s">
        <v>1015</v>
      </c>
      <c r="E822" s="76" t="s">
        <v>1025</v>
      </c>
      <c r="G822" s="479"/>
      <c r="H822" s="76" t="s">
        <v>93</v>
      </c>
      <c r="J822" s="129">
        <v>15</v>
      </c>
      <c r="K822" s="129">
        <f>Z822+280</f>
        <v>5880</v>
      </c>
      <c r="L822" s="114">
        <f t="shared" si="178"/>
        <v>88200</v>
      </c>
      <c r="M822" s="129"/>
      <c r="P822" s="91"/>
      <c r="Q822" s="91"/>
      <c r="R822" s="76" t="s">
        <v>88</v>
      </c>
      <c r="S822" s="76" t="s">
        <v>1017</v>
      </c>
      <c r="T822" s="387">
        <v>46064</v>
      </c>
      <c r="U822" s="387">
        <f t="shared" si="187"/>
        <v>46124</v>
      </c>
      <c r="V822" s="387">
        <v>46142</v>
      </c>
      <c r="W822" s="76">
        <f t="shared" si="181"/>
        <v>18</v>
      </c>
      <c r="X822" s="133"/>
      <c r="Y822" s="405">
        <v>15</v>
      </c>
      <c r="Z822" s="114">
        <v>5600</v>
      </c>
      <c r="AA822" s="114">
        <f t="shared" si="188"/>
        <v>84000</v>
      </c>
      <c r="AB822" s="114"/>
      <c r="AC822" s="114"/>
      <c r="AD822" s="140"/>
      <c r="AE822" s="114"/>
      <c r="AF822" s="114"/>
      <c r="AG822" s="114"/>
      <c r="AH822" s="114"/>
      <c r="AM822" s="114"/>
      <c r="AN822" s="114"/>
      <c r="AQ822" s="746">
        <f t="shared" si="177"/>
        <v>46142</v>
      </c>
      <c r="AR822" s="387">
        <f t="shared" si="179"/>
        <v>46112</v>
      </c>
      <c r="AS822" s="387"/>
      <c r="AT822" s="387"/>
      <c r="AW822" s="387"/>
      <c r="AX822" s="129"/>
      <c r="AY822" s="114"/>
      <c r="AZ822" s="127"/>
      <c r="BA822" s="127"/>
      <c r="BB822" s="127"/>
      <c r="BC822" s="127"/>
      <c r="BI822" s="75"/>
      <c r="BJ822" s="91"/>
      <c r="BL822" s="76" t="str">
        <f>D822</f>
        <v>TJTW-119</v>
      </c>
      <c r="BM822" s="76" t="str">
        <f t="shared" si="182"/>
        <v>ETALON</v>
      </c>
      <c r="BO822" s="76" t="str">
        <f t="shared" si="183"/>
        <v>0.22*972*C 2.0/2.0, T3,5 Stone, BA</v>
      </c>
      <c r="BP822" s="129">
        <f t="shared" si="184"/>
        <v>15</v>
      </c>
      <c r="BQ822" s="387">
        <f t="shared" si="185"/>
        <v>46124</v>
      </c>
    </row>
    <row r="823" s="76" customFormat="1" customHeight="1" spans="1:69">
      <c r="A823" s="76" t="s">
        <v>1013</v>
      </c>
      <c r="B823" s="76" t="s">
        <v>572</v>
      </c>
      <c r="C823" s="387" t="s">
        <v>1014</v>
      </c>
      <c r="D823" s="76" t="s">
        <v>1015</v>
      </c>
      <c r="E823" s="76" t="s">
        <v>1026</v>
      </c>
      <c r="G823" s="479"/>
      <c r="H823" s="76" t="s">
        <v>93</v>
      </c>
      <c r="J823" s="129">
        <v>15</v>
      </c>
      <c r="K823" s="129">
        <f>Z823+280</f>
        <v>5880</v>
      </c>
      <c r="L823" s="114">
        <f t="shared" si="178"/>
        <v>88200</v>
      </c>
      <c r="M823" s="129"/>
      <c r="P823" s="91"/>
      <c r="Q823" s="91"/>
      <c r="R823" s="76" t="s">
        <v>88</v>
      </c>
      <c r="S823" s="76" t="s">
        <v>1017</v>
      </c>
      <c r="T823" s="387">
        <v>46064</v>
      </c>
      <c r="U823" s="387">
        <f t="shared" si="187"/>
        <v>46124</v>
      </c>
      <c r="V823" s="387">
        <v>46142</v>
      </c>
      <c r="W823" s="76">
        <f t="shared" si="181"/>
        <v>18</v>
      </c>
      <c r="X823" s="133"/>
      <c r="Y823" s="405">
        <v>15</v>
      </c>
      <c r="Z823" s="114">
        <v>5600</v>
      </c>
      <c r="AA823" s="114">
        <f t="shared" si="188"/>
        <v>84000</v>
      </c>
      <c r="AB823" s="114"/>
      <c r="AC823" s="114"/>
      <c r="AD823" s="140"/>
      <c r="AE823" s="114"/>
      <c r="AF823" s="114"/>
      <c r="AG823" s="114"/>
      <c r="AH823" s="114"/>
      <c r="AM823" s="114"/>
      <c r="AN823" s="114"/>
      <c r="AQ823" s="746">
        <f t="shared" si="177"/>
        <v>46142</v>
      </c>
      <c r="AR823" s="387">
        <f t="shared" si="179"/>
        <v>46112</v>
      </c>
      <c r="AS823" s="387"/>
      <c r="AT823" s="387"/>
      <c r="AW823" s="387"/>
      <c r="AX823" s="129"/>
      <c r="AY823" s="114"/>
      <c r="AZ823" s="127"/>
      <c r="BA823" s="127"/>
      <c r="BB823" s="127"/>
      <c r="BC823" s="127"/>
      <c r="BI823" s="75"/>
      <c r="BJ823" s="91"/>
      <c r="BL823" s="76" t="str">
        <f>D823</f>
        <v>TJTW-119</v>
      </c>
      <c r="BM823" s="76" t="str">
        <f t="shared" si="182"/>
        <v>ETALON</v>
      </c>
      <c r="BO823" s="76" t="str">
        <f t="shared" si="183"/>
        <v>0.22*950*C 2.0/2.0, T3,5 Stone, BA</v>
      </c>
      <c r="BP823" s="129">
        <f t="shared" si="184"/>
        <v>15</v>
      </c>
      <c r="BQ823" s="387">
        <f t="shared" si="185"/>
        <v>46124</v>
      </c>
    </row>
    <row r="824" s="79" customFormat="1" customHeight="1" spans="1:69">
      <c r="A824" s="79" t="s">
        <v>1013</v>
      </c>
      <c r="B824" s="79" t="s">
        <v>572</v>
      </c>
      <c r="C824" s="463" t="s">
        <v>1014</v>
      </c>
      <c r="D824" s="79" t="s">
        <v>1015</v>
      </c>
      <c r="G824" s="486"/>
      <c r="J824" s="79">
        <f>SUM(J815:J823)</f>
        <v>132</v>
      </c>
      <c r="K824" s="194"/>
      <c r="L824" s="79">
        <f>SUM(L815:L823)</f>
        <v>787150</v>
      </c>
      <c r="M824" s="194"/>
      <c r="N824" s="79">
        <f>SUM(N815:N823)</f>
        <v>676990.4</v>
      </c>
      <c r="O824" s="79">
        <f>SUM(O815:O823)</f>
        <v>0</v>
      </c>
      <c r="R824" s="79" t="s">
        <v>88</v>
      </c>
      <c r="T824" s="463">
        <v>46064</v>
      </c>
      <c r="U824" s="463">
        <v>46124</v>
      </c>
      <c r="V824" s="463">
        <v>46142</v>
      </c>
      <c r="X824" s="193"/>
      <c r="Y824" s="79">
        <f>SUM(Y815:Y823)</f>
        <v>132</v>
      </c>
      <c r="Z824" s="192"/>
      <c r="AA824" s="79">
        <f>SUM(AA815:AA823)</f>
        <v>753250</v>
      </c>
      <c r="AB824" s="192"/>
      <c r="AC824" s="192"/>
      <c r="AD824" s="196"/>
      <c r="AE824" s="192"/>
      <c r="AF824" s="192"/>
      <c r="AG824" s="192"/>
      <c r="AH824" s="192"/>
      <c r="AM824" s="192"/>
      <c r="AN824" s="192">
        <f>SUM(AN815:AN823)</f>
        <v>676990.4</v>
      </c>
      <c r="AQ824" s="463"/>
      <c r="AR824" s="463"/>
      <c r="AS824" s="463"/>
      <c r="AT824" s="463"/>
      <c r="AW824" s="463"/>
      <c r="AX824" s="194"/>
      <c r="AY824" s="192"/>
      <c r="AZ824" s="150"/>
      <c r="BA824" s="150"/>
      <c r="BB824" s="150"/>
      <c r="BC824" s="150"/>
      <c r="BI824" s="151"/>
    </row>
    <row r="825" s="76" customFormat="1" ht="43.2" spans="1:69">
      <c r="A825" s="76" t="s">
        <v>1027</v>
      </c>
      <c r="B825" s="76" t="s">
        <v>440</v>
      </c>
      <c r="C825" s="387"/>
      <c r="D825" s="76" t="s">
        <v>1028</v>
      </c>
      <c r="E825" s="113" t="s">
        <v>1029</v>
      </c>
      <c r="G825" s="479"/>
      <c r="H825" s="76" t="s">
        <v>93</v>
      </c>
      <c r="J825" s="129">
        <v>6600</v>
      </c>
      <c r="K825" s="373">
        <v>1.489</v>
      </c>
      <c r="L825" s="114">
        <f t="shared" ref="L825:L832" si="189">J825*K825</f>
        <v>9827.4</v>
      </c>
      <c r="M825" s="129"/>
      <c r="N825" s="76">
        <v>86929.7</v>
      </c>
      <c r="P825" s="91"/>
      <c r="Q825" s="91"/>
      <c r="R825" s="76" t="s">
        <v>88</v>
      </c>
      <c r="S825" s="113" t="s">
        <v>1030</v>
      </c>
      <c r="T825" s="387">
        <v>46109</v>
      </c>
      <c r="U825" s="387">
        <f>T825+60</f>
        <v>46169</v>
      </c>
      <c r="V825" s="387">
        <v>46198</v>
      </c>
      <c r="W825" s="76">
        <f t="shared" ref="W825:W832" si="190">V825-U825</f>
        <v>29</v>
      </c>
      <c r="X825" s="133"/>
      <c r="Y825" s="129">
        <v>6600</v>
      </c>
      <c r="Z825" s="114">
        <v>1.6</v>
      </c>
      <c r="AA825" s="114">
        <f t="shared" ref="AA825:AA832" si="191">Y825*Z825</f>
        <v>10560</v>
      </c>
      <c r="AB825" s="114"/>
      <c r="AC825" s="114"/>
      <c r="AD825" s="140"/>
      <c r="AE825" s="114"/>
      <c r="AF825" s="114"/>
      <c r="AG825" s="114"/>
      <c r="AH825" s="114"/>
      <c r="AM825" s="114"/>
      <c r="AN825" s="76">
        <v>86929.7</v>
      </c>
      <c r="AQ825" s="387"/>
      <c r="AR825" s="387">
        <f>V825-30</f>
        <v>46168</v>
      </c>
      <c r="AS825" s="387"/>
      <c r="AT825" s="387"/>
      <c r="AW825" s="387"/>
      <c r="AX825" s="129"/>
      <c r="AY825" s="114"/>
      <c r="AZ825" s="127"/>
      <c r="BA825" s="127"/>
      <c r="BB825" s="127"/>
      <c r="BC825" s="127"/>
      <c r="BI825" s="75"/>
      <c r="BJ825" s="91"/>
      <c r="BL825" s="76" t="str">
        <f>D825</f>
        <v>TJTW-120</v>
      </c>
      <c r="BM825" s="76" t="str">
        <f>A825</f>
        <v>Baltic</v>
      </c>
      <c r="BO825" s="76" t="str">
        <f>E825</f>
        <v>Zn-Plate Bottom diam. 268 mm Thikness: 0.35, Inside blank/Outside blank Standart
Packaging</v>
      </c>
      <c r="BP825" s="129">
        <f>J825</f>
        <v>6600</v>
      </c>
      <c r="BQ825" s="387">
        <f>U825</f>
        <v>46169</v>
      </c>
    </row>
    <row r="826" s="425" customFormat="1" ht="43.2" spans="1:69">
      <c r="A826" s="76" t="s">
        <v>1027</v>
      </c>
      <c r="B826" s="76" t="s">
        <v>440</v>
      </c>
      <c r="C826" s="387"/>
      <c r="D826" s="76" t="s">
        <v>1028</v>
      </c>
      <c r="E826" s="113" t="s">
        <v>1031</v>
      </c>
      <c r="G826" s="479"/>
      <c r="H826" s="76" t="s">
        <v>93</v>
      </c>
      <c r="J826" s="129">
        <v>13200</v>
      </c>
      <c r="K826" s="373">
        <v>1.534</v>
      </c>
      <c r="L826" s="114">
        <f t="shared" si="189"/>
        <v>20248.8</v>
      </c>
      <c r="M826" s="129"/>
      <c r="N826" s="76"/>
      <c r="O826" s="76"/>
      <c r="R826" s="76" t="s">
        <v>88</v>
      </c>
      <c r="S826" s="113" t="s">
        <v>1030</v>
      </c>
      <c r="T826" s="387">
        <v>46109</v>
      </c>
      <c r="U826" s="387">
        <f t="shared" ref="U826:U832" si="192">T826+60</f>
        <v>46169</v>
      </c>
      <c r="V826" s="387">
        <v>46198</v>
      </c>
      <c r="W826" s="76">
        <f t="shared" si="190"/>
        <v>29</v>
      </c>
      <c r="X826" s="133"/>
      <c r="Y826" s="129">
        <v>13200</v>
      </c>
      <c r="Z826" s="114">
        <v>1.65</v>
      </c>
      <c r="AA826" s="114">
        <f t="shared" si="191"/>
        <v>21780</v>
      </c>
      <c r="AB826" s="114"/>
      <c r="AC826" s="114"/>
      <c r="AD826" s="140"/>
      <c r="AE826" s="114"/>
      <c r="AF826" s="114"/>
      <c r="AG826" s="114"/>
      <c r="AH826" s="114"/>
      <c r="AM826" s="114"/>
      <c r="AN826" s="114"/>
      <c r="AQ826" s="387"/>
      <c r="AR826" s="387"/>
      <c r="AS826" s="387"/>
      <c r="AT826" s="387"/>
      <c r="AW826" s="387"/>
      <c r="AX826" s="129"/>
      <c r="AY826" s="114"/>
      <c r="AZ826" s="127"/>
      <c r="BA826" s="127"/>
      <c r="BB826" s="127"/>
      <c r="BC826" s="127"/>
      <c r="BI826" s="75"/>
      <c r="BL826" s="76"/>
      <c r="BM826" s="76"/>
      <c r="BO826" s="76"/>
      <c r="BP826" s="129"/>
      <c r="BQ826" s="387"/>
    </row>
    <row r="827" s="425" customFormat="1" ht="43.2" spans="1:69">
      <c r="A827" s="76" t="s">
        <v>1027</v>
      </c>
      <c r="B827" s="76" t="s">
        <v>440</v>
      </c>
      <c r="C827" s="387"/>
      <c r="D827" s="76" t="s">
        <v>1028</v>
      </c>
      <c r="E827" s="113" t="s">
        <v>1032</v>
      </c>
      <c r="G827" s="479"/>
      <c r="H827" s="76" t="s">
        <v>93</v>
      </c>
      <c r="J827" s="129">
        <v>6600</v>
      </c>
      <c r="K827" s="373">
        <v>1.6507</v>
      </c>
      <c r="L827" s="114">
        <f t="shared" si="189"/>
        <v>10894.62</v>
      </c>
      <c r="M827" s="129"/>
      <c r="N827" s="76"/>
      <c r="O827" s="76"/>
      <c r="R827" s="76" t="s">
        <v>88</v>
      </c>
      <c r="S827" s="113" t="s">
        <v>1030</v>
      </c>
      <c r="T827" s="387">
        <v>46109</v>
      </c>
      <c r="U827" s="387">
        <f t="shared" si="192"/>
        <v>46169</v>
      </c>
      <c r="V827" s="387">
        <v>46198</v>
      </c>
      <c r="W827" s="76">
        <f t="shared" si="190"/>
        <v>29</v>
      </c>
      <c r="X827" s="133"/>
      <c r="Y827" s="129">
        <v>6600</v>
      </c>
      <c r="Z827" s="114">
        <v>1.78</v>
      </c>
      <c r="AA827" s="114">
        <f t="shared" si="191"/>
        <v>11748</v>
      </c>
      <c r="AB827" s="114"/>
      <c r="AC827" s="114"/>
      <c r="AD827" s="140"/>
      <c r="AE827" s="114"/>
      <c r="AF827" s="114"/>
      <c r="AG827" s="114"/>
      <c r="AH827" s="114"/>
      <c r="AM827" s="114"/>
      <c r="AN827" s="114"/>
      <c r="AQ827" s="387"/>
      <c r="AR827" s="387"/>
      <c r="AS827" s="387"/>
      <c r="AT827" s="387"/>
      <c r="AW827" s="387"/>
      <c r="AX827" s="129"/>
      <c r="AY827" s="114"/>
      <c r="AZ827" s="127"/>
      <c r="BA827" s="127"/>
      <c r="BB827" s="127"/>
      <c r="BC827" s="127"/>
      <c r="BI827" s="75"/>
      <c r="BL827" s="76"/>
      <c r="BM827" s="76"/>
      <c r="BO827" s="76"/>
      <c r="BP827" s="129"/>
      <c r="BQ827" s="387"/>
    </row>
    <row r="828" s="425" customFormat="1" ht="43.2" spans="1:69">
      <c r="A828" s="76" t="s">
        <v>1027</v>
      </c>
      <c r="B828" s="76" t="s">
        <v>440</v>
      </c>
      <c r="C828" s="387"/>
      <c r="D828" s="76" t="s">
        <v>1028</v>
      </c>
      <c r="E828" s="113" t="s">
        <v>1033</v>
      </c>
      <c r="G828" s="479"/>
      <c r="H828" s="76" t="s">
        <v>93</v>
      </c>
      <c r="J828" s="129">
        <v>13200</v>
      </c>
      <c r="K828" s="373">
        <v>1.6956</v>
      </c>
      <c r="L828" s="114">
        <f t="shared" si="189"/>
        <v>22381.92</v>
      </c>
      <c r="M828" s="129"/>
      <c r="N828" s="76"/>
      <c r="O828" s="76"/>
      <c r="R828" s="76" t="s">
        <v>88</v>
      </c>
      <c r="S828" s="113" t="s">
        <v>1030</v>
      </c>
      <c r="T828" s="387">
        <v>46109</v>
      </c>
      <c r="U828" s="387">
        <f t="shared" si="192"/>
        <v>46169</v>
      </c>
      <c r="V828" s="387">
        <v>46198</v>
      </c>
      <c r="W828" s="76">
        <f t="shared" si="190"/>
        <v>29</v>
      </c>
      <c r="X828" s="133"/>
      <c r="Y828" s="129">
        <v>13200</v>
      </c>
      <c r="Z828" s="114">
        <v>1.83</v>
      </c>
      <c r="AA828" s="114">
        <f t="shared" si="191"/>
        <v>24156</v>
      </c>
      <c r="AB828" s="114"/>
      <c r="AC828" s="114"/>
      <c r="AD828" s="140"/>
      <c r="AE828" s="114"/>
      <c r="AF828" s="114"/>
      <c r="AG828" s="114"/>
      <c r="AH828" s="114"/>
      <c r="AM828" s="114"/>
      <c r="AN828" s="114"/>
      <c r="AQ828" s="387"/>
      <c r="AR828" s="387"/>
      <c r="AS828" s="387"/>
      <c r="AT828" s="387"/>
      <c r="AW828" s="387"/>
      <c r="AX828" s="129"/>
      <c r="AY828" s="114"/>
      <c r="AZ828" s="127"/>
      <c r="BA828" s="127"/>
      <c r="BB828" s="127"/>
      <c r="BC828" s="127"/>
      <c r="BI828" s="75"/>
      <c r="BL828" s="76"/>
      <c r="BM828" s="76"/>
      <c r="BO828" s="76"/>
      <c r="BP828" s="129"/>
      <c r="BQ828" s="387"/>
    </row>
    <row r="829" s="425" customFormat="1" ht="43.2" spans="1:69">
      <c r="A829" s="76" t="s">
        <v>1027</v>
      </c>
      <c r="B829" s="76" t="s">
        <v>440</v>
      </c>
      <c r="C829" s="387"/>
      <c r="D829" s="76" t="s">
        <v>1028</v>
      </c>
      <c r="E829" s="113" t="s">
        <v>1034</v>
      </c>
      <c r="G829" s="479"/>
      <c r="H829" s="76" t="s">
        <v>93</v>
      </c>
      <c r="J829" s="129">
        <v>2200</v>
      </c>
      <c r="K829" s="373">
        <v>2.6568</v>
      </c>
      <c r="L829" s="114">
        <f t="shared" si="189"/>
        <v>5844.96</v>
      </c>
      <c r="M829" s="129"/>
      <c r="N829" s="76"/>
      <c r="O829" s="76"/>
      <c r="R829" s="76" t="s">
        <v>88</v>
      </c>
      <c r="S829" s="113" t="s">
        <v>1030</v>
      </c>
      <c r="T829" s="387">
        <v>46109</v>
      </c>
      <c r="U829" s="387">
        <f t="shared" si="192"/>
        <v>46169</v>
      </c>
      <c r="V829" s="387">
        <v>46198</v>
      </c>
      <c r="W829" s="76">
        <f t="shared" si="190"/>
        <v>29</v>
      </c>
      <c r="X829" s="133"/>
      <c r="Y829" s="129">
        <v>2200</v>
      </c>
      <c r="Z829" s="114">
        <v>2.9</v>
      </c>
      <c r="AA829" s="114">
        <f t="shared" si="191"/>
        <v>6380</v>
      </c>
      <c r="AB829" s="114"/>
      <c r="AC829" s="114"/>
      <c r="AD829" s="140"/>
      <c r="AE829" s="114"/>
      <c r="AF829" s="114"/>
      <c r="AG829" s="114"/>
      <c r="AH829" s="114"/>
      <c r="AM829" s="114"/>
      <c r="AN829" s="114"/>
      <c r="AQ829" s="387"/>
      <c r="AR829" s="387"/>
      <c r="AS829" s="387"/>
      <c r="AT829" s="387"/>
      <c r="AW829" s="387"/>
      <c r="AX829" s="129"/>
      <c r="AY829" s="114"/>
      <c r="AZ829" s="127"/>
      <c r="BA829" s="127"/>
      <c r="BB829" s="127"/>
      <c r="BC829" s="127"/>
      <c r="BI829" s="75"/>
      <c r="BL829" s="76"/>
      <c r="BM829" s="76"/>
      <c r="BO829" s="76"/>
      <c r="BP829" s="129"/>
      <c r="BQ829" s="387"/>
    </row>
    <row r="830" s="425" customFormat="1" ht="43.2" spans="1:69">
      <c r="A830" s="76" t="s">
        <v>1027</v>
      </c>
      <c r="B830" s="76" t="s">
        <v>440</v>
      </c>
      <c r="C830" s="387"/>
      <c r="D830" s="76" t="s">
        <v>1028</v>
      </c>
      <c r="E830" s="113" t="s">
        <v>1035</v>
      </c>
      <c r="G830" s="479"/>
      <c r="H830" s="76" t="s">
        <v>93</v>
      </c>
      <c r="J830" s="129">
        <v>2200</v>
      </c>
      <c r="K830" s="373">
        <v>2.7016</v>
      </c>
      <c r="L830" s="114">
        <f t="shared" si="189"/>
        <v>5943.52</v>
      </c>
      <c r="M830" s="129"/>
      <c r="N830" s="76"/>
      <c r="O830" s="76"/>
      <c r="R830" s="76" t="s">
        <v>88</v>
      </c>
      <c r="S830" s="113" t="s">
        <v>1030</v>
      </c>
      <c r="T830" s="387">
        <v>46109</v>
      </c>
      <c r="U830" s="387">
        <f t="shared" si="192"/>
        <v>46169</v>
      </c>
      <c r="V830" s="387">
        <v>46198</v>
      </c>
      <c r="W830" s="76">
        <f t="shared" si="190"/>
        <v>29</v>
      </c>
      <c r="X830" s="133"/>
      <c r="Y830" s="129">
        <v>2200</v>
      </c>
      <c r="Z830" s="114">
        <v>2.95</v>
      </c>
      <c r="AA830" s="114">
        <f t="shared" si="191"/>
        <v>6490</v>
      </c>
      <c r="AB830" s="114"/>
      <c r="AC830" s="114"/>
      <c r="AD830" s="140"/>
      <c r="AE830" s="114"/>
      <c r="AF830" s="114"/>
      <c r="AG830" s="114"/>
      <c r="AH830" s="114"/>
      <c r="AM830" s="114"/>
      <c r="AN830" s="114"/>
      <c r="AQ830" s="387"/>
      <c r="AR830" s="387"/>
      <c r="AS830" s="387"/>
      <c r="AT830" s="387"/>
      <c r="AW830" s="387"/>
      <c r="AX830" s="129"/>
      <c r="AY830" s="114"/>
      <c r="AZ830" s="127"/>
      <c r="BA830" s="127"/>
      <c r="BB830" s="127"/>
      <c r="BC830" s="127"/>
      <c r="BI830" s="75"/>
      <c r="BL830" s="76"/>
      <c r="BM830" s="76"/>
      <c r="BO830" s="76"/>
      <c r="BP830" s="129"/>
      <c r="BQ830" s="387"/>
    </row>
    <row r="831" s="425" customFormat="1" ht="43.2" spans="1:69">
      <c r="A831" s="76" t="s">
        <v>1027</v>
      </c>
      <c r="B831" s="76" t="s">
        <v>440</v>
      </c>
      <c r="C831" s="387"/>
      <c r="D831" s="76" t="s">
        <v>1028</v>
      </c>
      <c r="E831" s="113" t="s">
        <v>1036</v>
      </c>
      <c r="G831" s="479"/>
      <c r="H831" s="76" t="s">
        <v>93</v>
      </c>
      <c r="J831" s="129">
        <v>2200</v>
      </c>
      <c r="K831" s="373">
        <v>2.6568</v>
      </c>
      <c r="L831" s="114">
        <f t="shared" si="189"/>
        <v>5844.96</v>
      </c>
      <c r="M831" s="129"/>
      <c r="N831" s="76"/>
      <c r="O831" s="76"/>
      <c r="R831" s="76" t="s">
        <v>88</v>
      </c>
      <c r="S831" s="113" t="s">
        <v>1030</v>
      </c>
      <c r="T831" s="387">
        <v>46109</v>
      </c>
      <c r="U831" s="387">
        <f t="shared" si="192"/>
        <v>46169</v>
      </c>
      <c r="V831" s="387">
        <v>46198</v>
      </c>
      <c r="W831" s="76">
        <f t="shared" si="190"/>
        <v>29</v>
      </c>
      <c r="X831" s="133"/>
      <c r="Y831" s="129">
        <v>2200</v>
      </c>
      <c r="Z831" s="114">
        <v>2.9</v>
      </c>
      <c r="AA831" s="114">
        <f t="shared" si="191"/>
        <v>6380</v>
      </c>
      <c r="AB831" s="114"/>
      <c r="AC831" s="114"/>
      <c r="AD831" s="140"/>
      <c r="AE831" s="114"/>
      <c r="AF831" s="114"/>
      <c r="AG831" s="114"/>
      <c r="AH831" s="114"/>
      <c r="AM831" s="114"/>
      <c r="AN831" s="114"/>
      <c r="AQ831" s="387"/>
      <c r="AR831" s="387"/>
      <c r="AS831" s="387"/>
      <c r="AT831" s="387"/>
      <c r="AW831" s="387"/>
      <c r="AX831" s="129"/>
      <c r="AY831" s="114"/>
      <c r="AZ831" s="127"/>
      <c r="BA831" s="127"/>
      <c r="BB831" s="127"/>
      <c r="BC831" s="127"/>
      <c r="BI831" s="75"/>
      <c r="BL831" s="76"/>
      <c r="BM831" s="76"/>
      <c r="BO831" s="76"/>
      <c r="BP831" s="129"/>
      <c r="BQ831" s="387"/>
    </row>
    <row r="832" s="425" customFormat="1" ht="43.2" spans="1:69">
      <c r="A832" s="76" t="s">
        <v>1027</v>
      </c>
      <c r="B832" s="76" t="s">
        <v>440</v>
      </c>
      <c r="C832" s="387"/>
      <c r="D832" s="76" t="s">
        <v>1028</v>
      </c>
      <c r="E832" s="113" t="s">
        <v>1037</v>
      </c>
      <c r="G832" s="479"/>
      <c r="H832" s="76" t="s">
        <v>93</v>
      </c>
      <c r="J832" s="129">
        <v>2200</v>
      </c>
      <c r="K832" s="373">
        <v>2.7016</v>
      </c>
      <c r="L832" s="114">
        <f t="shared" si="189"/>
        <v>5943.52</v>
      </c>
      <c r="M832" s="129"/>
      <c r="N832" s="76"/>
      <c r="O832" s="76"/>
      <c r="R832" s="76" t="s">
        <v>88</v>
      </c>
      <c r="S832" s="113" t="s">
        <v>1030</v>
      </c>
      <c r="T832" s="387">
        <v>46109</v>
      </c>
      <c r="U832" s="387">
        <f t="shared" si="192"/>
        <v>46169</v>
      </c>
      <c r="V832" s="387">
        <v>46198</v>
      </c>
      <c r="W832" s="76">
        <f t="shared" si="190"/>
        <v>29</v>
      </c>
      <c r="X832" s="133"/>
      <c r="Y832" s="129">
        <v>2200</v>
      </c>
      <c r="Z832" s="114">
        <v>2.95</v>
      </c>
      <c r="AA832" s="114">
        <f t="shared" si="191"/>
        <v>6490</v>
      </c>
      <c r="AB832" s="114"/>
      <c r="AC832" s="114"/>
      <c r="AD832" s="140"/>
      <c r="AE832" s="114"/>
      <c r="AF832" s="114"/>
      <c r="AG832" s="114"/>
      <c r="AH832" s="114"/>
      <c r="AM832" s="114"/>
      <c r="AN832" s="114"/>
      <c r="AQ832" s="387"/>
      <c r="AR832" s="387"/>
      <c r="AS832" s="387"/>
      <c r="AT832" s="387"/>
      <c r="AW832" s="387"/>
      <c r="AX832" s="129"/>
      <c r="AY832" s="114"/>
      <c r="AZ832" s="127"/>
      <c r="BA832" s="127"/>
      <c r="BB832" s="127"/>
      <c r="BC832" s="127"/>
      <c r="BI832" s="75"/>
      <c r="BL832" s="76"/>
      <c r="BM832" s="76"/>
      <c r="BO832" s="76"/>
      <c r="BP832" s="129"/>
      <c r="BQ832" s="387"/>
    </row>
    <row r="833" s="79" customFormat="1" customHeight="1" spans="1:69">
      <c r="A833" s="79" t="s">
        <v>1027</v>
      </c>
      <c r="C833" s="463"/>
      <c r="D833" s="79" t="s">
        <v>1028</v>
      </c>
      <c r="G833" s="486"/>
      <c r="J833" s="79">
        <f t="shared" ref="J833:O833" si="193">SUM(J825:J832)</f>
        <v>48400</v>
      </c>
      <c r="K833" s="194"/>
      <c r="L833" s="226">
        <f>SUM(L825:L832)</f>
        <v>86929.7</v>
      </c>
      <c r="M833" s="194"/>
      <c r="N833" s="79">
        <f t="shared" si="193"/>
        <v>86929.7</v>
      </c>
      <c r="O833" s="79">
        <f t="shared" si="193"/>
        <v>0</v>
      </c>
      <c r="R833" s="79" t="s">
        <v>88</v>
      </c>
      <c r="T833" s="463"/>
      <c r="U833" s="463"/>
      <c r="V833" s="463"/>
      <c r="X833" s="193"/>
      <c r="Y833" s="79">
        <f>SUM(Y825:Y832)</f>
        <v>48400</v>
      </c>
      <c r="Z833" s="192"/>
      <c r="AA833" s="79">
        <f>SUM(AA825:AA832)</f>
        <v>93984</v>
      </c>
      <c r="AB833" s="192"/>
      <c r="AC833" s="192"/>
      <c r="AD833" s="196"/>
      <c r="AE833" s="192"/>
      <c r="AF833" s="192"/>
      <c r="AG833" s="192"/>
      <c r="AH833" s="192"/>
      <c r="AM833" s="192"/>
      <c r="AN833" s="192">
        <f>SUM(AN817:AN825)</f>
        <v>1058469.1</v>
      </c>
      <c r="AQ833" s="463"/>
      <c r="AR833" s="463"/>
      <c r="AS833" s="463"/>
      <c r="AT833" s="463"/>
      <c r="AW833" s="463"/>
      <c r="AX833" s="194"/>
      <c r="AY833" s="192"/>
      <c r="AZ833" s="150"/>
      <c r="BA833" s="150"/>
      <c r="BB833" s="150"/>
      <c r="BC833" s="150"/>
      <c r="BI833" s="151"/>
    </row>
    <row r="834" s="76" customFormat="1" ht="43.2" spans="1:69">
      <c r="A834" s="76" t="s">
        <v>414</v>
      </c>
      <c r="C834" s="387"/>
      <c r="D834" s="76" t="s">
        <v>1038</v>
      </c>
      <c r="E834" s="113" t="s">
        <v>1039</v>
      </c>
      <c r="G834" s="479"/>
      <c r="J834" s="264">
        <v>16000</v>
      </c>
      <c r="K834" s="129">
        <v>1.5</v>
      </c>
      <c r="L834" s="129">
        <f>J834*K834</f>
        <v>24000</v>
      </c>
      <c r="M834" s="129"/>
      <c r="P834" s="91"/>
      <c r="Q834" s="91"/>
      <c r="R834" s="76" t="s">
        <v>88</v>
      </c>
      <c r="S834" s="113" t="s">
        <v>1040</v>
      </c>
      <c r="T834" s="387">
        <v>46109</v>
      </c>
      <c r="U834" s="387">
        <f t="shared" ref="U834:U843" si="194">T834+60</f>
        <v>46169</v>
      </c>
      <c r="V834" s="387">
        <v>46198</v>
      </c>
      <c r="W834" s="76">
        <f t="shared" ref="W834:W843" si="195">V834-U834</f>
        <v>29</v>
      </c>
      <c r="X834" s="133"/>
      <c r="Y834" s="76">
        <v>8000</v>
      </c>
      <c r="Z834" s="114">
        <v>1.6</v>
      </c>
      <c r="AA834" s="114">
        <f t="shared" ref="AA834:AA843" si="196">Y834*Z834</f>
        <v>12800</v>
      </c>
      <c r="AB834" s="114"/>
      <c r="AC834" s="114"/>
      <c r="AD834" s="140"/>
      <c r="AE834" s="114"/>
      <c r="AF834" s="114"/>
      <c r="AG834" s="114"/>
      <c r="AH834" s="114"/>
      <c r="AM834" s="114"/>
      <c r="AN834" s="114"/>
      <c r="AQ834" s="387"/>
      <c r="AR834" s="387"/>
      <c r="AS834" s="387"/>
      <c r="AT834" s="387"/>
      <c r="AW834" s="387"/>
      <c r="AX834" s="129"/>
      <c r="AY834" s="114"/>
      <c r="AZ834" s="127"/>
      <c r="BA834" s="127"/>
      <c r="BB834" s="127"/>
      <c r="BC834" s="127"/>
      <c r="BI834" s="75"/>
      <c r="BJ834" s="91"/>
      <c r="BL834" s="76" t="str">
        <f>D834</f>
        <v>NBE-6</v>
      </c>
      <c r="BM834" s="76" t="str">
        <f>A834</f>
        <v>ICE</v>
      </c>
      <c r="BO834" s="76" t="str">
        <f>E834</f>
        <v>Zn-plate Bottom: diameter 268 mm, Inside/Outside:blank, 0.35mm, Standart packaging</v>
      </c>
      <c r="BP834" s="129">
        <f>J834</f>
        <v>16000</v>
      </c>
      <c r="BQ834" s="387">
        <f>U834</f>
        <v>46169</v>
      </c>
    </row>
    <row r="835" s="76" customFormat="1" ht="43.2" spans="1:69">
      <c r="A835" s="76" t="s">
        <v>414</v>
      </c>
      <c r="C835" s="387"/>
      <c r="D835" s="76" t="s">
        <v>1038</v>
      </c>
      <c r="E835" s="113" t="s">
        <v>1041</v>
      </c>
      <c r="G835" s="479"/>
      <c r="J835" s="264"/>
      <c r="K835" s="129"/>
      <c r="L835" s="129"/>
      <c r="M835" s="129"/>
      <c r="P835" s="91"/>
      <c r="Q835" s="91"/>
      <c r="R835" s="76" t="s">
        <v>88</v>
      </c>
      <c r="S835" s="113" t="s">
        <v>1040</v>
      </c>
      <c r="T835" s="387">
        <v>46109</v>
      </c>
      <c r="U835" s="387">
        <f t="shared" si="194"/>
        <v>46169</v>
      </c>
      <c r="V835" s="387">
        <v>46198</v>
      </c>
      <c r="W835" s="76">
        <f t="shared" si="195"/>
        <v>29</v>
      </c>
      <c r="X835" s="133"/>
      <c r="Y835" s="76">
        <v>8000</v>
      </c>
      <c r="Z835" s="114">
        <v>1.65</v>
      </c>
      <c r="AA835" s="114">
        <f t="shared" si="196"/>
        <v>13200</v>
      </c>
      <c r="AB835" s="114"/>
      <c r="AC835" s="114"/>
      <c r="AD835" s="140"/>
      <c r="AE835" s="114"/>
      <c r="AF835" s="114"/>
      <c r="AG835" s="114"/>
      <c r="AH835" s="114"/>
      <c r="AI835" s="91"/>
      <c r="AM835" s="114"/>
      <c r="AN835" s="114"/>
      <c r="AP835" s="91"/>
      <c r="AQ835" s="387"/>
      <c r="AR835" s="387"/>
      <c r="AS835" s="387"/>
      <c r="AT835" s="387"/>
      <c r="AW835" s="387"/>
      <c r="AX835" s="129"/>
      <c r="AY835" s="114"/>
      <c r="AZ835" s="127"/>
      <c r="BA835" s="127"/>
      <c r="BB835" s="127"/>
      <c r="BC835" s="127"/>
      <c r="BI835" s="75"/>
      <c r="BJ835" s="91"/>
      <c r="BP835" s="129"/>
      <c r="BQ835" s="387"/>
    </row>
    <row r="836" s="76" customFormat="1" ht="43.2" spans="1:69">
      <c r="A836" s="76" t="s">
        <v>414</v>
      </c>
      <c r="C836" s="387"/>
      <c r="D836" s="76" t="s">
        <v>1038</v>
      </c>
      <c r="E836" s="113" t="s">
        <v>1042</v>
      </c>
      <c r="G836" s="479"/>
      <c r="J836" s="264">
        <v>16000</v>
      </c>
      <c r="K836" s="129">
        <v>1.68</v>
      </c>
      <c r="L836" s="129">
        <f>J836*K836</f>
        <v>26880</v>
      </c>
      <c r="M836" s="129"/>
      <c r="P836" s="91"/>
      <c r="Q836" s="91"/>
      <c r="R836" s="76" t="s">
        <v>88</v>
      </c>
      <c r="S836" s="113" t="s">
        <v>1040</v>
      </c>
      <c r="T836" s="387">
        <v>46109</v>
      </c>
      <c r="U836" s="387">
        <f t="shared" si="194"/>
        <v>46169</v>
      </c>
      <c r="V836" s="387">
        <v>46198</v>
      </c>
      <c r="W836" s="76">
        <f t="shared" si="195"/>
        <v>29</v>
      </c>
      <c r="X836" s="133"/>
      <c r="Y836" s="76">
        <v>8000</v>
      </c>
      <c r="Z836" s="114">
        <v>1.78</v>
      </c>
      <c r="AA836" s="114">
        <f t="shared" si="196"/>
        <v>14240</v>
      </c>
      <c r="AB836" s="114"/>
      <c r="AC836" s="114"/>
      <c r="AD836" s="140"/>
      <c r="AE836" s="114"/>
      <c r="AF836" s="114"/>
      <c r="AG836" s="114"/>
      <c r="AH836" s="114"/>
      <c r="AI836" s="91"/>
      <c r="AM836" s="114"/>
      <c r="AN836" s="114"/>
      <c r="AP836" s="91"/>
      <c r="AQ836" s="387"/>
      <c r="AR836" s="387"/>
      <c r="AS836" s="387"/>
      <c r="AT836" s="387"/>
      <c r="AW836" s="387"/>
      <c r="AX836" s="129"/>
      <c r="AY836" s="114"/>
      <c r="AZ836" s="127"/>
      <c r="BA836" s="127"/>
      <c r="BB836" s="127"/>
      <c r="BC836" s="127"/>
      <c r="BI836" s="75"/>
      <c r="BJ836" s="91"/>
      <c r="BP836" s="129"/>
      <c r="BQ836" s="387"/>
    </row>
    <row r="837" s="76" customFormat="1" ht="43.2" spans="1:69">
      <c r="A837" s="76" t="s">
        <v>414</v>
      </c>
      <c r="C837" s="387"/>
      <c r="D837" s="76" t="s">
        <v>1038</v>
      </c>
      <c r="E837" s="113" t="s">
        <v>1043</v>
      </c>
      <c r="G837" s="479"/>
      <c r="J837" s="264"/>
      <c r="K837" s="129"/>
      <c r="L837" s="129"/>
      <c r="M837" s="129"/>
      <c r="P837" s="91"/>
      <c r="Q837" s="91"/>
      <c r="R837" s="76" t="s">
        <v>88</v>
      </c>
      <c r="S837" s="113" t="s">
        <v>1040</v>
      </c>
      <c r="T837" s="387">
        <v>46109</v>
      </c>
      <c r="U837" s="387">
        <f t="shared" si="194"/>
        <v>46169</v>
      </c>
      <c r="V837" s="387">
        <v>46198</v>
      </c>
      <c r="W837" s="76">
        <f t="shared" si="195"/>
        <v>29</v>
      </c>
      <c r="X837" s="133"/>
      <c r="Y837" s="76">
        <v>8000</v>
      </c>
      <c r="Z837" s="114">
        <v>1.83</v>
      </c>
      <c r="AA837" s="114">
        <f t="shared" si="196"/>
        <v>14640</v>
      </c>
      <c r="AB837" s="114"/>
      <c r="AC837" s="114"/>
      <c r="AD837" s="140"/>
      <c r="AE837" s="114"/>
      <c r="AF837" s="114"/>
      <c r="AG837" s="114"/>
      <c r="AH837" s="114"/>
      <c r="AI837" s="91"/>
      <c r="AM837" s="114"/>
      <c r="AN837" s="114"/>
      <c r="AP837" s="91"/>
      <c r="AQ837" s="387"/>
      <c r="AR837" s="387"/>
      <c r="AS837" s="387"/>
      <c r="AT837" s="387"/>
      <c r="AW837" s="387"/>
      <c r="AX837" s="129"/>
      <c r="AY837" s="114"/>
      <c r="AZ837" s="127"/>
      <c r="BA837" s="127"/>
      <c r="BB837" s="127"/>
      <c r="BC837" s="127"/>
      <c r="BI837" s="75"/>
      <c r="BJ837" s="91"/>
      <c r="BP837" s="129"/>
      <c r="BQ837" s="387"/>
    </row>
    <row r="838" s="76" customFormat="1" ht="43.2" spans="1:69">
      <c r="A838" s="76" t="s">
        <v>414</v>
      </c>
      <c r="C838" s="387"/>
      <c r="D838" s="76" t="s">
        <v>1038</v>
      </c>
      <c r="E838" s="113" t="s">
        <v>1044</v>
      </c>
      <c r="G838" s="479"/>
      <c r="J838" s="264">
        <v>7200</v>
      </c>
      <c r="K838" s="129">
        <v>2.8</v>
      </c>
      <c r="L838" s="129">
        <f>J838*K838</f>
        <v>20160</v>
      </c>
      <c r="M838" s="129"/>
      <c r="P838" s="91"/>
      <c r="Q838" s="91"/>
      <c r="R838" s="76" t="s">
        <v>88</v>
      </c>
      <c r="S838" s="113" t="s">
        <v>1040</v>
      </c>
      <c r="T838" s="387">
        <v>46109</v>
      </c>
      <c r="U838" s="387">
        <f t="shared" si="194"/>
        <v>46169</v>
      </c>
      <c r="V838" s="387">
        <v>46198</v>
      </c>
      <c r="W838" s="76">
        <f t="shared" si="195"/>
        <v>29</v>
      </c>
      <c r="X838" s="133"/>
      <c r="Y838" s="76">
        <v>3600</v>
      </c>
      <c r="Z838" s="114">
        <v>2.9</v>
      </c>
      <c r="AA838" s="114">
        <f t="shared" si="196"/>
        <v>10440</v>
      </c>
      <c r="AB838" s="114"/>
      <c r="AC838" s="114"/>
      <c r="AD838" s="140"/>
      <c r="AE838" s="114"/>
      <c r="AF838" s="114"/>
      <c r="AG838" s="114"/>
      <c r="AH838" s="114"/>
      <c r="AI838" s="91"/>
      <c r="AM838" s="114"/>
      <c r="AN838" s="114"/>
      <c r="AP838" s="91"/>
      <c r="AQ838" s="387"/>
      <c r="AR838" s="387"/>
      <c r="AS838" s="387"/>
      <c r="AT838" s="387"/>
      <c r="AW838" s="387"/>
      <c r="AX838" s="129"/>
      <c r="AY838" s="114"/>
      <c r="AZ838" s="127"/>
      <c r="BA838" s="127"/>
      <c r="BB838" s="127"/>
      <c r="BC838" s="127"/>
      <c r="BI838" s="75"/>
      <c r="BJ838" s="91"/>
      <c r="BP838" s="129"/>
      <c r="BQ838" s="387"/>
    </row>
    <row r="839" s="76" customFormat="1" ht="43.2" spans="1:69">
      <c r="A839" s="76" t="s">
        <v>414</v>
      </c>
      <c r="C839" s="387"/>
      <c r="D839" s="76" t="s">
        <v>1038</v>
      </c>
      <c r="E839" s="113" t="s">
        <v>1045</v>
      </c>
      <c r="G839" s="479"/>
      <c r="J839" s="264"/>
      <c r="K839" s="129"/>
      <c r="L839" s="129"/>
      <c r="M839" s="129"/>
      <c r="P839" s="91"/>
      <c r="Q839" s="91"/>
      <c r="R839" s="76" t="s">
        <v>88</v>
      </c>
      <c r="S839" s="113" t="s">
        <v>1040</v>
      </c>
      <c r="T839" s="387">
        <v>46109</v>
      </c>
      <c r="U839" s="387">
        <f t="shared" si="194"/>
        <v>46169</v>
      </c>
      <c r="V839" s="387">
        <v>46198</v>
      </c>
      <c r="W839" s="76">
        <f t="shared" si="195"/>
        <v>29</v>
      </c>
      <c r="X839" s="133"/>
      <c r="Y839" s="76">
        <v>3600</v>
      </c>
      <c r="Z839" s="114">
        <v>2.95</v>
      </c>
      <c r="AA839" s="114">
        <f t="shared" si="196"/>
        <v>10620</v>
      </c>
      <c r="AB839" s="114"/>
      <c r="AC839" s="114"/>
      <c r="AD839" s="140"/>
      <c r="AE839" s="114"/>
      <c r="AF839" s="114"/>
      <c r="AG839" s="114"/>
      <c r="AH839" s="114"/>
      <c r="AI839" s="91"/>
      <c r="AM839" s="114"/>
      <c r="AN839" s="114"/>
      <c r="AP839" s="91"/>
      <c r="AQ839" s="387"/>
      <c r="AR839" s="387"/>
      <c r="AS839" s="387"/>
      <c r="AT839" s="387"/>
      <c r="AW839" s="387"/>
      <c r="AX839" s="129"/>
      <c r="AY839" s="114"/>
      <c r="AZ839" s="127"/>
      <c r="BA839" s="127"/>
      <c r="BB839" s="127"/>
      <c r="BC839" s="127"/>
      <c r="BI839" s="75"/>
      <c r="BJ839" s="91"/>
      <c r="BP839" s="129"/>
      <c r="BQ839" s="387"/>
    </row>
    <row r="840" s="76" customFormat="1" ht="43.2" spans="1:69">
      <c r="A840" s="76" t="s">
        <v>414</v>
      </c>
      <c r="C840" s="387"/>
      <c r="D840" s="76" t="s">
        <v>1038</v>
      </c>
      <c r="E840" s="113" t="s">
        <v>1046</v>
      </c>
      <c r="G840" s="479"/>
      <c r="J840" s="264">
        <v>7200</v>
      </c>
      <c r="K840" s="129">
        <v>2.85</v>
      </c>
      <c r="L840" s="129">
        <f>J840*K840</f>
        <v>20520</v>
      </c>
      <c r="M840" s="129"/>
      <c r="P840" s="91"/>
      <c r="Q840" s="91"/>
      <c r="R840" s="76" t="s">
        <v>88</v>
      </c>
      <c r="S840" s="113" t="s">
        <v>1040</v>
      </c>
      <c r="T840" s="387">
        <v>46109</v>
      </c>
      <c r="U840" s="387">
        <f t="shared" si="194"/>
        <v>46169</v>
      </c>
      <c r="V840" s="387">
        <v>46198</v>
      </c>
      <c r="W840" s="76">
        <f t="shared" si="195"/>
        <v>29</v>
      </c>
      <c r="X840" s="133"/>
      <c r="Y840" s="76">
        <v>3600</v>
      </c>
      <c r="Z840" s="114">
        <v>2.9</v>
      </c>
      <c r="AA840" s="114">
        <f t="shared" si="196"/>
        <v>10440</v>
      </c>
      <c r="AB840" s="114"/>
      <c r="AC840" s="114"/>
      <c r="AD840" s="140"/>
      <c r="AE840" s="114"/>
      <c r="AF840" s="114"/>
      <c r="AG840" s="114"/>
      <c r="AH840" s="114"/>
      <c r="AI840" s="91"/>
      <c r="AM840" s="114"/>
      <c r="AN840" s="114"/>
      <c r="AP840" s="91"/>
      <c r="AQ840" s="387"/>
      <c r="AR840" s="387"/>
      <c r="AS840" s="387"/>
      <c r="AT840" s="387"/>
      <c r="AW840" s="387"/>
      <c r="AX840" s="129"/>
      <c r="AY840" s="114"/>
      <c r="AZ840" s="127"/>
      <c r="BA840" s="127"/>
      <c r="BB840" s="127"/>
      <c r="BC840" s="127"/>
      <c r="BI840" s="75"/>
      <c r="BJ840" s="91"/>
      <c r="BP840" s="129"/>
      <c r="BQ840" s="387"/>
    </row>
    <row r="841" s="76" customFormat="1" ht="43.2" spans="1:69">
      <c r="A841" s="76" t="s">
        <v>414</v>
      </c>
      <c r="C841" s="387"/>
      <c r="D841" s="76" t="s">
        <v>1038</v>
      </c>
      <c r="E841" s="113" t="s">
        <v>1047</v>
      </c>
      <c r="G841" s="479"/>
      <c r="J841" s="264"/>
      <c r="K841" s="129"/>
      <c r="L841" s="129"/>
      <c r="M841" s="129"/>
      <c r="P841" s="91"/>
      <c r="Q841" s="91"/>
      <c r="R841" s="76" t="s">
        <v>88</v>
      </c>
      <c r="S841" s="113" t="s">
        <v>1040</v>
      </c>
      <c r="T841" s="387">
        <v>46109</v>
      </c>
      <c r="U841" s="387">
        <f t="shared" si="194"/>
        <v>46169</v>
      </c>
      <c r="V841" s="387">
        <v>46198</v>
      </c>
      <c r="W841" s="76">
        <f t="shared" si="195"/>
        <v>29</v>
      </c>
      <c r="X841" s="133"/>
      <c r="Y841" s="76">
        <v>3600</v>
      </c>
      <c r="Z841" s="114">
        <v>2.95</v>
      </c>
      <c r="AA841" s="114">
        <f t="shared" si="196"/>
        <v>10620</v>
      </c>
      <c r="AB841" s="114"/>
      <c r="AC841" s="114"/>
      <c r="AD841" s="140"/>
      <c r="AE841" s="114"/>
      <c r="AF841" s="114"/>
      <c r="AG841" s="114"/>
      <c r="AH841" s="114"/>
      <c r="AI841" s="91"/>
      <c r="AM841" s="114"/>
      <c r="AN841" s="114"/>
      <c r="AP841" s="91"/>
      <c r="AQ841" s="387"/>
      <c r="AR841" s="387"/>
      <c r="AS841" s="387"/>
      <c r="AT841" s="387"/>
      <c r="AW841" s="387"/>
      <c r="AX841" s="129"/>
      <c r="AY841" s="114"/>
      <c r="AZ841" s="127"/>
      <c r="BA841" s="127"/>
      <c r="BB841" s="127"/>
      <c r="BC841" s="127"/>
      <c r="BI841" s="75"/>
      <c r="BJ841" s="91"/>
      <c r="BP841" s="129"/>
      <c r="BQ841" s="387"/>
    </row>
    <row r="842" s="76" customFormat="1" ht="43.2" spans="1:69">
      <c r="A842" s="76" t="s">
        <v>414</v>
      </c>
      <c r="C842" s="387"/>
      <c r="D842" s="76" t="s">
        <v>1038</v>
      </c>
      <c r="E842" s="113" t="s">
        <v>1048</v>
      </c>
      <c r="G842" s="479"/>
      <c r="J842" s="264">
        <v>8800</v>
      </c>
      <c r="K842" s="129">
        <v>1.95</v>
      </c>
      <c r="L842" s="129">
        <f>J842*K842</f>
        <v>17160</v>
      </c>
      <c r="M842" s="129"/>
      <c r="P842" s="91"/>
      <c r="Q842" s="91"/>
      <c r="R842" s="76" t="s">
        <v>88</v>
      </c>
      <c r="S842" s="113" t="s">
        <v>1040</v>
      </c>
      <c r="T842" s="387">
        <v>46109</v>
      </c>
      <c r="U842" s="387">
        <f t="shared" si="194"/>
        <v>46169</v>
      </c>
      <c r="V842" s="387">
        <v>46198</v>
      </c>
      <c r="W842" s="76">
        <f t="shared" si="195"/>
        <v>29</v>
      </c>
      <c r="X842" s="133"/>
      <c r="Y842" s="76">
        <v>4400</v>
      </c>
      <c r="Z842" s="114">
        <v>2</v>
      </c>
      <c r="AA842" s="114">
        <f t="shared" si="196"/>
        <v>8800</v>
      </c>
      <c r="AB842" s="114"/>
      <c r="AC842" s="114"/>
      <c r="AD842" s="140"/>
      <c r="AE842" s="114"/>
      <c r="AF842" s="114"/>
      <c r="AG842" s="114"/>
      <c r="AH842" s="114"/>
      <c r="AI842" s="91"/>
      <c r="AM842" s="114"/>
      <c r="AN842" s="114"/>
      <c r="AP842" s="91"/>
      <c r="AQ842" s="387"/>
      <c r="AR842" s="387"/>
      <c r="AS842" s="387"/>
      <c r="AT842" s="387"/>
      <c r="AW842" s="387"/>
      <c r="AX842" s="129"/>
      <c r="AY842" s="114"/>
      <c r="AZ842" s="127"/>
      <c r="BA842" s="127"/>
      <c r="BB842" s="127"/>
      <c r="BC842" s="127"/>
      <c r="BI842" s="75"/>
      <c r="BJ842" s="91"/>
      <c r="BP842" s="129"/>
      <c r="BQ842" s="387"/>
    </row>
    <row r="843" s="77" customFormat="1" ht="43.2" spans="1:69">
      <c r="A843" s="76" t="s">
        <v>414</v>
      </c>
      <c r="C843" s="569"/>
      <c r="D843" s="76" t="s">
        <v>1038</v>
      </c>
      <c r="E843" s="113" t="s">
        <v>1049</v>
      </c>
      <c r="G843" s="570"/>
      <c r="J843" s="751"/>
      <c r="K843" s="157"/>
      <c r="L843" s="157"/>
      <c r="M843" s="157"/>
      <c r="P843" s="160"/>
      <c r="Q843" s="160"/>
      <c r="R843" s="76" t="s">
        <v>88</v>
      </c>
      <c r="S843" s="113" t="s">
        <v>1040</v>
      </c>
      <c r="T843" s="387">
        <v>46109</v>
      </c>
      <c r="U843" s="387">
        <f t="shared" si="194"/>
        <v>46169</v>
      </c>
      <c r="V843" s="387">
        <v>46198</v>
      </c>
      <c r="W843" s="76">
        <f t="shared" si="195"/>
        <v>29</v>
      </c>
      <c r="X843" s="161"/>
      <c r="Y843" s="76">
        <v>4400</v>
      </c>
      <c r="Z843" s="155">
        <v>2.05</v>
      </c>
      <c r="AA843" s="114">
        <f t="shared" si="196"/>
        <v>9020</v>
      </c>
      <c r="AB843" s="155"/>
      <c r="AC843" s="155"/>
      <c r="AD843" s="163"/>
      <c r="AE843" s="155"/>
      <c r="AF843" s="155"/>
      <c r="AG843" s="155"/>
      <c r="AH843" s="155"/>
      <c r="AI843" s="160"/>
      <c r="AM843" s="155"/>
      <c r="AN843" s="155"/>
      <c r="AP843" s="160"/>
      <c r="AQ843" s="569"/>
      <c r="AR843" s="569"/>
      <c r="AS843" s="569"/>
      <c r="AT843" s="569"/>
      <c r="AW843" s="569"/>
      <c r="AX843" s="157"/>
      <c r="AY843" s="155"/>
      <c r="AZ843" s="168"/>
      <c r="BA843" s="168"/>
      <c r="BB843" s="168"/>
      <c r="BC843" s="168"/>
      <c r="BI843" s="169"/>
      <c r="BJ843" s="160"/>
      <c r="BP843" s="157"/>
      <c r="BQ843" s="569"/>
    </row>
    <row r="844" s="422" customFormat="1" ht="14.4" spans="1:69">
      <c r="A844" s="422" t="s">
        <v>414</v>
      </c>
      <c r="C844" s="619"/>
      <c r="D844" s="422" t="s">
        <v>1038</v>
      </c>
      <c r="G844" s="686"/>
      <c r="H844" s="422" t="s">
        <v>75</v>
      </c>
      <c r="J844" s="752">
        <f>SUM(J834:J842)</f>
        <v>55200</v>
      </c>
      <c r="K844" s="687"/>
      <c r="L844" s="693">
        <f>SUM(L834:L842)</f>
        <v>108720</v>
      </c>
      <c r="M844" s="693">
        <f>SUM(M825:M842)</f>
        <v>0</v>
      </c>
      <c r="N844" s="693">
        <f>SUM(N825:N842)</f>
        <v>173859.4</v>
      </c>
      <c r="O844" s="687">
        <f>SUM(O834:O842)</f>
        <v>0</v>
      </c>
      <c r="R844" s="420" t="s">
        <v>88</v>
      </c>
      <c r="T844" s="688"/>
      <c r="U844" s="688"/>
      <c r="V844" s="688"/>
      <c r="X844" s="689"/>
      <c r="Y844" s="687">
        <f>SUM(Y834:Y843)</f>
        <v>55200</v>
      </c>
      <c r="Z844" s="690"/>
      <c r="AA844" s="687">
        <f>SUM(AA834:AA843)</f>
        <v>114820</v>
      </c>
      <c r="AB844" s="690"/>
      <c r="AC844" s="690"/>
      <c r="AD844" s="692"/>
      <c r="AE844" s="690"/>
      <c r="AF844" s="690"/>
      <c r="AG844" s="690"/>
      <c r="AH844" s="690"/>
      <c r="AM844" s="690"/>
      <c r="AN844" s="690"/>
      <c r="AQ844" s="619"/>
      <c r="AR844" s="619"/>
      <c r="AS844" s="688"/>
      <c r="AT844" s="688"/>
      <c r="AW844" s="688"/>
      <c r="AX844" s="687"/>
      <c r="AY844" s="690"/>
      <c r="AZ844" s="693"/>
      <c r="BA844" s="693"/>
      <c r="BB844" s="693"/>
      <c r="BC844" s="693"/>
      <c r="BI844" s="743"/>
    </row>
    <row r="845" s="76" customFormat="1" customHeight="1" spans="1:69">
      <c r="A845" s="76" t="s">
        <v>933</v>
      </c>
      <c r="B845" s="76" t="s">
        <v>456</v>
      </c>
      <c r="C845" s="387"/>
      <c r="D845" s="76" t="s">
        <v>1050</v>
      </c>
      <c r="E845" s="76" t="s">
        <v>369</v>
      </c>
      <c r="G845" s="479"/>
      <c r="H845" s="76" t="s">
        <v>93</v>
      </c>
      <c r="J845" s="129">
        <v>110</v>
      </c>
      <c r="K845" s="129">
        <f t="shared" ref="K845:K849" si="197">Z845+250</f>
        <v>6100</v>
      </c>
      <c r="L845" s="114">
        <f t="shared" ref="L845:L849" si="198">J845*K845</f>
        <v>671000</v>
      </c>
      <c r="M845" s="129"/>
      <c r="N845" s="76">
        <v>311865.6</v>
      </c>
      <c r="P845" s="91"/>
      <c r="Q845" s="91"/>
      <c r="R845" s="76" t="s">
        <v>88</v>
      </c>
      <c r="S845" s="76" t="s">
        <v>1051</v>
      </c>
      <c r="T845" s="387">
        <v>46020</v>
      </c>
      <c r="U845" s="387">
        <f t="shared" ref="U845:U849" si="199">T845+60</f>
        <v>46080</v>
      </c>
      <c r="V845" s="387">
        <v>46111</v>
      </c>
      <c r="W845" s="76">
        <f>V845-U845</f>
        <v>31</v>
      </c>
      <c r="X845" s="133"/>
      <c r="Y845" s="129">
        <v>110</v>
      </c>
      <c r="Z845" s="114">
        <v>5850</v>
      </c>
      <c r="AA845" s="114">
        <f t="shared" ref="AA845:AA849" si="200">Y845*Z845</f>
        <v>643500</v>
      </c>
      <c r="AB845" s="114"/>
      <c r="AC845" s="114"/>
      <c r="AD845" s="140"/>
      <c r="AE845" s="114"/>
      <c r="AF845" s="114"/>
      <c r="AG845" s="114"/>
      <c r="AH845" s="114"/>
      <c r="AM845" s="114"/>
      <c r="AN845" s="114">
        <v>311865.6</v>
      </c>
      <c r="AQ845" s="746">
        <f t="shared" ref="AQ845:AQ849" si="201">V845</f>
        <v>46111</v>
      </c>
      <c r="AR845" s="387">
        <f t="shared" ref="AR845:AR849" si="202">V845-30</f>
        <v>46081</v>
      </c>
      <c r="AS845" s="387" t="s">
        <v>355</v>
      </c>
      <c r="AT845" s="387"/>
      <c r="AV845" s="76">
        <v>5</v>
      </c>
      <c r="AW845" s="387"/>
      <c r="AX845" s="129"/>
      <c r="AY845" s="114"/>
      <c r="AZ845" s="127"/>
      <c r="BA845" s="127"/>
      <c r="BB845" s="127"/>
      <c r="BC845" s="127"/>
      <c r="BI845" s="75"/>
      <c r="BJ845" s="91"/>
      <c r="BL845" s="76" t="str">
        <f t="shared" ref="BL845:BL852" si="203">D845</f>
        <v>TJTW-121</v>
      </c>
      <c r="BM845" s="76" t="str">
        <f t="shared" ref="BM845:BM852" si="204">A845</f>
        <v>KALMETA</v>
      </c>
      <c r="BO845" s="76" t="str">
        <f t="shared" ref="BO845:BO851" si="205">E845</f>
        <v>0.18*905*836.5 2.8/2.8 T4 BA</v>
      </c>
      <c r="BP845" s="129">
        <f t="shared" ref="BP845:BP852" si="206">J845</f>
        <v>110</v>
      </c>
      <c r="BQ845" s="387">
        <f t="shared" ref="BQ845:BQ852" si="207">U845</f>
        <v>46080</v>
      </c>
    </row>
    <row r="846" s="76" customFormat="1" customHeight="1" spans="1:69">
      <c r="A846" s="76" t="s">
        <v>933</v>
      </c>
      <c r="B846" s="76" t="s">
        <v>456</v>
      </c>
      <c r="C846" s="387"/>
      <c r="D846" s="76" t="s">
        <v>1050</v>
      </c>
      <c r="E846" s="76" t="s">
        <v>375</v>
      </c>
      <c r="G846" s="479"/>
      <c r="H846" s="76" t="s">
        <v>93</v>
      </c>
      <c r="J846" s="129">
        <v>54</v>
      </c>
      <c r="K846" s="129">
        <f t="shared" si="197"/>
        <v>6100</v>
      </c>
      <c r="L846" s="114">
        <f t="shared" si="198"/>
        <v>329400</v>
      </c>
      <c r="M846" s="129"/>
      <c r="N846" s="76">
        <v>305000</v>
      </c>
      <c r="P846" s="91"/>
      <c r="Q846" s="91"/>
      <c r="R846" s="76" t="s">
        <v>88</v>
      </c>
      <c r="S846" s="76" t="s">
        <v>1051</v>
      </c>
      <c r="T846" s="387">
        <v>46020</v>
      </c>
      <c r="U846" s="387">
        <f t="shared" si="199"/>
        <v>46080</v>
      </c>
      <c r="V846" s="387">
        <v>46111</v>
      </c>
      <c r="W846" s="76">
        <f t="shared" ref="W846:W849" si="208">V846-U846</f>
        <v>31</v>
      </c>
      <c r="X846" s="133"/>
      <c r="Y846" s="129">
        <v>54</v>
      </c>
      <c r="Z846" s="114">
        <v>5850</v>
      </c>
      <c r="AA846" s="114">
        <f t="shared" si="200"/>
        <v>315900</v>
      </c>
      <c r="AB846" s="114"/>
      <c r="AC846" s="114"/>
      <c r="AD846" s="140"/>
      <c r="AE846" s="114"/>
      <c r="AF846" s="114"/>
      <c r="AG846" s="114"/>
      <c r="AH846" s="114"/>
      <c r="AM846" s="114"/>
      <c r="AN846" s="114">
        <v>305000</v>
      </c>
      <c r="AQ846" s="746">
        <f t="shared" si="201"/>
        <v>46111</v>
      </c>
      <c r="AR846" s="387">
        <f t="shared" si="202"/>
        <v>46081</v>
      </c>
      <c r="AS846" s="387"/>
      <c r="AT846" s="387"/>
      <c r="AW846" s="387"/>
      <c r="AX846" s="129"/>
      <c r="AY846" s="114"/>
      <c r="AZ846" s="127"/>
      <c r="BA846" s="127"/>
      <c r="BB846" s="127"/>
      <c r="BC846" s="127"/>
      <c r="BI846" s="75"/>
      <c r="BJ846" s="91"/>
      <c r="BL846" s="76" t="str">
        <f t="shared" si="203"/>
        <v>TJTW-121</v>
      </c>
      <c r="BM846" s="76" t="str">
        <f t="shared" si="204"/>
        <v>KALMETA</v>
      </c>
      <c r="BO846" s="76" t="str">
        <f t="shared" si="205"/>
        <v>0.18*900*712 2.8/2.8 T3 BA</v>
      </c>
      <c r="BP846" s="129">
        <f t="shared" si="206"/>
        <v>54</v>
      </c>
      <c r="BQ846" s="387">
        <f t="shared" si="207"/>
        <v>46080</v>
      </c>
    </row>
    <row r="847" s="76" customFormat="1" customHeight="1" spans="1:69">
      <c r="A847" s="76" t="s">
        <v>933</v>
      </c>
      <c r="B847" s="76" t="s">
        <v>456</v>
      </c>
      <c r="C847" s="387"/>
      <c r="D847" s="76" t="s">
        <v>1050</v>
      </c>
      <c r="E847" s="76" t="s">
        <v>376</v>
      </c>
      <c r="G847" s="479"/>
      <c r="H847" s="76" t="s">
        <v>93</v>
      </c>
      <c r="J847" s="129">
        <v>50</v>
      </c>
      <c r="K847" s="129">
        <f t="shared" si="197"/>
        <v>6250</v>
      </c>
      <c r="L847" s="114">
        <f t="shared" si="198"/>
        <v>312500</v>
      </c>
      <c r="M847" s="129"/>
      <c r="N847" s="76">
        <v>230996.85</v>
      </c>
      <c r="P847" s="91"/>
      <c r="Q847" s="91"/>
      <c r="R847" s="76" t="s">
        <v>88</v>
      </c>
      <c r="S847" s="76" t="s">
        <v>1051</v>
      </c>
      <c r="T847" s="387">
        <v>46020</v>
      </c>
      <c r="U847" s="387">
        <f t="shared" si="199"/>
        <v>46080</v>
      </c>
      <c r="V847" s="387">
        <v>46111</v>
      </c>
      <c r="W847" s="76">
        <f t="shared" si="208"/>
        <v>31</v>
      </c>
      <c r="X847" s="133"/>
      <c r="Y847" s="129">
        <v>50</v>
      </c>
      <c r="Z847" s="114">
        <v>6000</v>
      </c>
      <c r="AA847" s="114">
        <f t="shared" si="200"/>
        <v>300000</v>
      </c>
      <c r="AB847" s="114"/>
      <c r="AC847" s="114"/>
      <c r="AD847" s="140"/>
      <c r="AE847" s="114"/>
      <c r="AF847" s="114"/>
      <c r="AG847" s="114"/>
      <c r="AH847" s="114"/>
      <c r="AM847" s="114"/>
      <c r="AN847" s="76">
        <v>230996.85</v>
      </c>
      <c r="AQ847" s="746">
        <f t="shared" si="201"/>
        <v>46111</v>
      </c>
      <c r="AR847" s="387">
        <f t="shared" si="202"/>
        <v>46081</v>
      </c>
      <c r="AS847" s="387"/>
      <c r="AT847" s="387"/>
      <c r="AW847" s="387"/>
      <c r="AX847" s="129"/>
      <c r="AY847" s="114"/>
      <c r="AZ847" s="127"/>
      <c r="BA847" s="127"/>
      <c r="BB847" s="127"/>
      <c r="BC847" s="127"/>
      <c r="BI847" s="75"/>
      <c r="BJ847" s="91"/>
      <c r="BL847" s="76" t="str">
        <f t="shared" si="203"/>
        <v>TJTW-121</v>
      </c>
      <c r="BM847" s="76" t="str">
        <f t="shared" si="204"/>
        <v>KALMETA</v>
      </c>
      <c r="BO847" s="76" t="str">
        <f t="shared" si="205"/>
        <v>0.17*857*730 2.8/2.8 T4 BA</v>
      </c>
      <c r="BP847" s="129">
        <f t="shared" si="206"/>
        <v>50</v>
      </c>
      <c r="BQ847" s="387">
        <f t="shared" si="207"/>
        <v>46080</v>
      </c>
    </row>
    <row r="848" s="76" customFormat="1" customHeight="1" spans="1:69">
      <c r="A848" s="76" t="s">
        <v>590</v>
      </c>
      <c r="B848" s="76" t="s">
        <v>456</v>
      </c>
      <c r="C848" s="387"/>
      <c r="D848" s="76" t="s">
        <v>1050</v>
      </c>
      <c r="E848" s="76" t="s">
        <v>379</v>
      </c>
      <c r="G848" s="479"/>
      <c r="H848" s="76" t="s">
        <v>93</v>
      </c>
      <c r="J848" s="129">
        <v>85</v>
      </c>
      <c r="K848" s="129">
        <f t="shared" si="197"/>
        <v>6100</v>
      </c>
      <c r="L848" s="114">
        <f t="shared" si="198"/>
        <v>518500</v>
      </c>
      <c r="M848" s="129"/>
      <c r="N848" s="76">
        <v>54162.5</v>
      </c>
      <c r="P848" s="91"/>
      <c r="Q848" s="91"/>
      <c r="R848" s="76" t="s">
        <v>88</v>
      </c>
      <c r="S848" s="76" t="s">
        <v>1051</v>
      </c>
      <c r="T848" s="387">
        <v>46020</v>
      </c>
      <c r="U848" s="387">
        <f t="shared" si="199"/>
        <v>46080</v>
      </c>
      <c r="V848" s="387">
        <v>46111</v>
      </c>
      <c r="W848" s="76">
        <f t="shared" si="208"/>
        <v>31</v>
      </c>
      <c r="X848" s="133"/>
      <c r="Y848" s="129">
        <v>85</v>
      </c>
      <c r="Z848" s="114">
        <v>5850</v>
      </c>
      <c r="AA848" s="114">
        <f t="shared" si="200"/>
        <v>497250</v>
      </c>
      <c r="AB848" s="114"/>
      <c r="AC848" s="114"/>
      <c r="AD848" s="140"/>
      <c r="AE848" s="114"/>
      <c r="AF848" s="114"/>
      <c r="AG848" s="114"/>
      <c r="AH848" s="114"/>
      <c r="AM848" s="114"/>
      <c r="AN848" s="76">
        <v>54162.5</v>
      </c>
      <c r="AQ848" s="746">
        <f t="shared" si="201"/>
        <v>46111</v>
      </c>
      <c r="AR848" s="387">
        <f t="shared" si="202"/>
        <v>46081</v>
      </c>
      <c r="AS848" s="387"/>
      <c r="AT848" s="387"/>
      <c r="AW848" s="387"/>
      <c r="AX848" s="129"/>
      <c r="AY848" s="114"/>
      <c r="AZ848" s="127"/>
      <c r="BA848" s="127"/>
      <c r="BB848" s="127"/>
      <c r="BC848" s="127"/>
      <c r="BI848" s="75"/>
      <c r="BJ848" s="91"/>
      <c r="BL848" s="76" t="str">
        <f t="shared" si="203"/>
        <v>TJTW-121</v>
      </c>
      <c r="BM848" s="76" t="str">
        <f t="shared" si="204"/>
        <v>ATL</v>
      </c>
      <c r="BO848" s="76" t="str">
        <f t="shared" si="205"/>
        <v>0.18*905*669.5 2.8/2.8 T4 BA</v>
      </c>
      <c r="BP848" s="129">
        <f t="shared" si="206"/>
        <v>85</v>
      </c>
      <c r="BQ848" s="387">
        <f t="shared" si="207"/>
        <v>46080</v>
      </c>
    </row>
    <row r="849" s="76" customFormat="1" customHeight="1" spans="1:69 16378:16379">
      <c r="A849" s="76" t="s">
        <v>590</v>
      </c>
      <c r="B849" s="76" t="s">
        <v>456</v>
      </c>
      <c r="C849" s="387"/>
      <c r="D849" s="76" t="s">
        <v>1050</v>
      </c>
      <c r="E849" s="76" t="s">
        <v>1052</v>
      </c>
      <c r="G849" s="479"/>
      <c r="H849" s="76" t="s">
        <v>93</v>
      </c>
      <c r="J849" s="129">
        <v>18</v>
      </c>
      <c r="K849" s="129">
        <f t="shared" si="197"/>
        <v>6100</v>
      </c>
      <c r="L849" s="114">
        <f t="shared" si="198"/>
        <v>109800</v>
      </c>
      <c r="M849" s="129"/>
      <c r="P849" s="91"/>
      <c r="Q849" s="91"/>
      <c r="R849" s="76" t="s">
        <v>88</v>
      </c>
      <c r="S849" s="76" t="s">
        <v>1051</v>
      </c>
      <c r="T849" s="387">
        <v>46020</v>
      </c>
      <c r="U849" s="387">
        <f t="shared" si="199"/>
        <v>46080</v>
      </c>
      <c r="V849" s="387">
        <v>46111</v>
      </c>
      <c r="W849" s="76">
        <f t="shared" si="208"/>
        <v>31</v>
      </c>
      <c r="X849" s="133"/>
      <c r="Y849" s="129">
        <v>18</v>
      </c>
      <c r="Z849" s="114">
        <v>5850</v>
      </c>
      <c r="AA849" s="114">
        <f t="shared" si="200"/>
        <v>105300</v>
      </c>
      <c r="AB849" s="114"/>
      <c r="AC849" s="114"/>
      <c r="AD849" s="140"/>
      <c r="AE849" s="114"/>
      <c r="AF849" s="114"/>
      <c r="AG849" s="114"/>
      <c r="AH849" s="114"/>
      <c r="AM849" s="114"/>
      <c r="AN849" s="114"/>
      <c r="AQ849" s="746">
        <f t="shared" si="201"/>
        <v>46111</v>
      </c>
      <c r="AR849" s="387">
        <f t="shared" si="202"/>
        <v>46081</v>
      </c>
      <c r="AS849" s="387"/>
      <c r="AT849" s="387"/>
      <c r="AW849" s="387"/>
      <c r="AX849" s="129"/>
      <c r="AY849" s="114"/>
      <c r="AZ849" s="127"/>
      <c r="BA849" s="127"/>
      <c r="BB849" s="127"/>
      <c r="BC849" s="127"/>
      <c r="BI849" s="75"/>
      <c r="BJ849" s="91"/>
      <c r="BL849" s="76" t="str">
        <f t="shared" si="203"/>
        <v>TJTW-121</v>
      </c>
      <c r="BM849" s="76" t="str">
        <f t="shared" si="204"/>
        <v>ATL</v>
      </c>
      <c r="BO849" s="76" t="str">
        <f t="shared" si="205"/>
        <v>0.18*822*764.2 2.8/2.8 T4 BA</v>
      </c>
      <c r="BP849" s="129">
        <f t="shared" si="206"/>
        <v>18</v>
      </c>
      <c r="BQ849" s="387">
        <f t="shared" si="207"/>
        <v>46080</v>
      </c>
    </row>
    <row r="850" s="79" customFormat="1" customHeight="1" spans="1:69 16378:16379">
      <c r="C850" s="463"/>
      <c r="D850" s="79" t="s">
        <v>1050</v>
      </c>
      <c r="G850" s="486"/>
      <c r="J850" s="194">
        <f>SUM(J845:J849)</f>
        <v>317</v>
      </c>
      <c r="K850" s="194"/>
      <c r="L850" s="194">
        <f>SUM(L845:L849)</f>
        <v>1941200</v>
      </c>
      <c r="M850" s="194"/>
      <c r="T850" s="463"/>
      <c r="U850" s="463"/>
      <c r="V850" s="463">
        <v>46111</v>
      </c>
      <c r="X850" s="193"/>
      <c r="Y850" s="194">
        <f>SUM(Y845:Y849)</f>
        <v>317</v>
      </c>
      <c r="Z850" s="192"/>
      <c r="AA850" s="192">
        <f>SUM(AA845:AA849)</f>
        <v>1861950</v>
      </c>
      <c r="AB850" s="192"/>
      <c r="AC850" s="192"/>
      <c r="AD850" s="196"/>
      <c r="AE850" s="192"/>
      <c r="AF850" s="192"/>
      <c r="AG850" s="192"/>
      <c r="AH850" s="192"/>
      <c r="AM850" s="192"/>
      <c r="AN850" s="192"/>
      <c r="AQ850" s="463"/>
      <c r="AR850" s="463"/>
      <c r="AS850" s="463"/>
      <c r="AT850" s="463"/>
      <c r="AW850" s="463"/>
      <c r="AX850" s="194"/>
      <c r="AY850" s="192"/>
      <c r="AZ850" s="150"/>
      <c r="BA850" s="150"/>
      <c r="BB850" s="150"/>
      <c r="BC850" s="150"/>
      <c r="BI850" s="151"/>
      <c r="BL850" s="79" t="str">
        <f t="shared" si="203"/>
        <v>TJTW-121</v>
      </c>
      <c r="BM850" s="79">
        <f t="shared" si="204"/>
        <v>0</v>
      </c>
      <c r="BO850" s="79">
        <f t="shared" si="205"/>
        <v>0</v>
      </c>
      <c r="BP850" s="194">
        <f t="shared" si="206"/>
        <v>317</v>
      </c>
      <c r="BQ850" s="463">
        <f t="shared" si="207"/>
        <v>0</v>
      </c>
    </row>
    <row r="851" s="76" customFormat="1" customHeight="1" spans="1:69 16378:16379">
      <c r="A851" s="76" t="s">
        <v>71</v>
      </c>
      <c r="C851" s="387"/>
      <c r="D851" s="76" t="s">
        <v>1053</v>
      </c>
      <c r="E851" s="76" t="s">
        <v>471</v>
      </c>
      <c r="G851" s="479"/>
      <c r="J851" s="264">
        <f>1960400*2</f>
        <v>3920800</v>
      </c>
      <c r="K851" s="129">
        <v>0.123</v>
      </c>
      <c r="L851" s="129">
        <f t="shared" ref="L851:L854" si="209">J851*K851</f>
        <v>482258.4</v>
      </c>
      <c r="M851" s="129"/>
      <c r="N851" s="76">
        <f>241129.2+242129</f>
        <v>483258.2</v>
      </c>
      <c r="O851" s="76">
        <f>L851-N851</f>
        <v>-999.800000000047</v>
      </c>
      <c r="P851" s="91"/>
      <c r="Q851" s="91"/>
      <c r="R851" s="76" t="s">
        <v>88</v>
      </c>
      <c r="T851" s="387"/>
      <c r="U851" s="387">
        <v>46109</v>
      </c>
      <c r="V851" s="387"/>
      <c r="X851" s="133" t="s">
        <v>90</v>
      </c>
      <c r="Z851" s="114"/>
      <c r="AA851" s="114"/>
      <c r="AB851" s="114"/>
      <c r="AC851" s="114"/>
      <c r="AD851" s="140"/>
      <c r="AE851" s="114"/>
      <c r="AF851" s="114"/>
      <c r="AG851" s="114"/>
      <c r="AH851" s="114"/>
      <c r="AM851" s="114"/>
      <c r="AN851" s="76">
        <f>241129.2+242129</f>
        <v>483258.2</v>
      </c>
      <c r="AQ851" s="746"/>
      <c r="AR851" s="387"/>
      <c r="AS851" s="387"/>
      <c r="AT851" s="387"/>
      <c r="AW851" s="387"/>
      <c r="AX851" s="129"/>
      <c r="AY851" s="114"/>
      <c r="AZ851" s="127"/>
      <c r="BA851" s="127"/>
      <c r="BB851" s="127"/>
      <c r="BC851" s="127"/>
      <c r="BI851" s="75"/>
      <c r="BJ851" s="91"/>
      <c r="BL851" s="76" t="str">
        <f t="shared" si="203"/>
        <v>INTW-21</v>
      </c>
      <c r="BM851" s="76" t="str">
        <f t="shared" si="204"/>
        <v>INDEX</v>
      </c>
      <c r="BN851" s="387">
        <f>C851</f>
        <v>0</v>
      </c>
      <c r="BO851" s="76" t="str">
        <f t="shared" si="205"/>
        <v>72.9mm #300</v>
      </c>
      <c r="BP851" s="264">
        <f t="shared" si="206"/>
        <v>3920800</v>
      </c>
      <c r="BQ851" s="387">
        <f t="shared" si="207"/>
        <v>46109</v>
      </c>
    </row>
    <row r="852" s="79" customFormat="1" customHeight="1" spans="1:69 16378:16379">
      <c r="A852" s="79" t="s">
        <v>71</v>
      </c>
      <c r="C852" s="463"/>
      <c r="D852" s="79" t="s">
        <v>1053</v>
      </c>
      <c r="G852" s="486"/>
      <c r="H852" s="79" t="s">
        <v>71</v>
      </c>
      <c r="J852" s="579">
        <f>SUM(J851)</f>
        <v>3920800</v>
      </c>
      <c r="K852" s="194"/>
      <c r="L852" s="748">
        <f>SUM(L851)</f>
        <v>482258.4</v>
      </c>
      <c r="M852" s="194"/>
      <c r="N852" s="79">
        <f>SUM(N849:N851)</f>
        <v>483258.2</v>
      </c>
      <c r="T852" s="463"/>
      <c r="U852" s="463"/>
      <c r="V852" s="463"/>
      <c r="X852" s="193"/>
      <c r="Y852" s="79">
        <f>SUM(Y851)</f>
        <v>0</v>
      </c>
      <c r="Z852" s="192"/>
      <c r="AA852" s="79">
        <f>SUM(AA851)</f>
        <v>0</v>
      </c>
      <c r="AB852" s="192"/>
      <c r="AC852" s="192"/>
      <c r="AD852" s="196"/>
      <c r="AE852" s="192"/>
      <c r="AF852" s="192"/>
      <c r="AG852" s="192"/>
      <c r="AH852" s="192"/>
      <c r="AM852" s="192"/>
      <c r="AN852" s="192"/>
      <c r="AQ852" s="463"/>
      <c r="AR852" s="463"/>
      <c r="AS852" s="463"/>
      <c r="AT852" s="463"/>
      <c r="AW852" s="463"/>
      <c r="AX852" s="194"/>
      <c r="AY852" s="192"/>
      <c r="AZ852" s="150"/>
      <c r="BA852" s="150"/>
      <c r="BB852" s="150"/>
      <c r="BC852" s="150"/>
      <c r="BI852" s="151"/>
      <c r="BL852" s="79" t="str">
        <f t="shared" si="203"/>
        <v>INTW-21</v>
      </c>
      <c r="BM852" s="79" t="str">
        <f t="shared" si="204"/>
        <v>INDEX</v>
      </c>
      <c r="BP852" s="79">
        <f t="shared" si="206"/>
        <v>3920800</v>
      </c>
      <c r="BQ852" s="79">
        <f t="shared" si="207"/>
        <v>0</v>
      </c>
    </row>
    <row r="853" s="76" customFormat="1" customHeight="1" spans="1:69 16378:16379">
      <c r="A853" s="76" t="s">
        <v>401</v>
      </c>
      <c r="B853" s="76" t="s">
        <v>440</v>
      </c>
      <c r="C853" s="387"/>
      <c r="D853" s="76" t="s">
        <v>1054</v>
      </c>
      <c r="E853" s="76" t="s">
        <v>1055</v>
      </c>
      <c r="G853" s="479"/>
      <c r="J853" s="129">
        <v>68.5</v>
      </c>
      <c r="K853" s="129">
        <v>7150</v>
      </c>
      <c r="L853" s="129">
        <f t="shared" si="209"/>
        <v>489775</v>
      </c>
      <c r="M853" s="129"/>
      <c r="N853" s="76">
        <v>222032.9</v>
      </c>
      <c r="P853" s="91"/>
      <c r="Q853" s="91"/>
      <c r="R853" s="76" t="s">
        <v>66</v>
      </c>
      <c r="S853" s="76" t="s">
        <v>1056</v>
      </c>
      <c r="T853" s="387">
        <v>46087</v>
      </c>
      <c r="U853" s="387">
        <f>T853+45</f>
        <v>46132</v>
      </c>
      <c r="V853" s="387">
        <f>T853+50</f>
        <v>46137</v>
      </c>
      <c r="W853" s="76">
        <f>V853-U853</f>
        <v>5</v>
      </c>
      <c r="Y853" s="129">
        <v>71.296</v>
      </c>
      <c r="Z853" s="114">
        <v>6410</v>
      </c>
      <c r="AA853" s="114">
        <f t="shared" ref="AA853:AA857" si="210">Y853*Z853</f>
        <v>457007.36</v>
      </c>
      <c r="AB853" s="114">
        <v>67458.5</v>
      </c>
      <c r="AC853" s="114"/>
      <c r="AD853" s="140"/>
      <c r="AE853" s="114"/>
      <c r="AF853" s="114"/>
      <c r="AG853" s="114"/>
      <c r="AH853" s="114"/>
      <c r="AM853" s="114"/>
      <c r="AN853" s="114">
        <v>222032.9</v>
      </c>
      <c r="AQ853" s="746">
        <f t="shared" ref="AQ853:AQ857" si="211">V853</f>
        <v>46137</v>
      </c>
      <c r="AR853" s="387">
        <f t="shared" ref="AR853:AR857" si="212">V853-30</f>
        <v>46107</v>
      </c>
      <c r="AS853" s="387"/>
      <c r="AT853" s="387"/>
      <c r="AW853" s="387"/>
      <c r="AX853" s="129"/>
      <c r="AY853" s="114"/>
      <c r="AZ853" s="127"/>
      <c r="BA853" s="127"/>
      <c r="BB853" s="127"/>
      <c r="BC853" s="127"/>
      <c r="BI853" s="75"/>
      <c r="BJ853" s="91"/>
      <c r="BN853" s="76">
        <f>C853</f>
        <v>0</v>
      </c>
      <c r="BP853" s="129"/>
      <c r="BQ853" s="387"/>
    </row>
    <row r="854" s="76" customFormat="1" customHeight="1" spans="1:69 16378:16379">
      <c r="A854" s="76" t="s">
        <v>401</v>
      </c>
      <c r="B854" s="76" t="s">
        <v>440</v>
      </c>
      <c r="C854" s="387"/>
      <c r="D854" s="76" t="s">
        <v>1054</v>
      </c>
      <c r="E854" s="76" t="s">
        <v>1057</v>
      </c>
      <c r="G854" s="479"/>
      <c r="J854" s="129">
        <v>37.5</v>
      </c>
      <c r="K854" s="129">
        <v>7020</v>
      </c>
      <c r="L854" s="129">
        <f t="shared" si="209"/>
        <v>263250</v>
      </c>
      <c r="M854" s="129"/>
      <c r="N854" s="76">
        <v>666098.69</v>
      </c>
      <c r="P854" s="91"/>
      <c r="Q854" s="91"/>
      <c r="R854" s="76" t="s">
        <v>66</v>
      </c>
      <c r="S854" s="76" t="s">
        <v>1056</v>
      </c>
      <c r="T854" s="387">
        <v>46087</v>
      </c>
      <c r="U854" s="387">
        <f>T854+45</f>
        <v>46132</v>
      </c>
      <c r="V854" s="387">
        <f>T854+50</f>
        <v>46137</v>
      </c>
      <c r="W854" s="76">
        <f>V854-U854</f>
        <v>5</v>
      </c>
      <c r="Y854" s="129">
        <v>41.786</v>
      </c>
      <c r="Z854" s="114">
        <v>6280</v>
      </c>
      <c r="AA854" s="114">
        <f t="shared" si="210"/>
        <v>262416.08</v>
      </c>
      <c r="AB854" s="114"/>
      <c r="AC854" s="114"/>
      <c r="AD854" s="140"/>
      <c r="AE854" s="114"/>
      <c r="AF854" s="114"/>
      <c r="AG854" s="114"/>
      <c r="AH854" s="114"/>
      <c r="AM854" s="114"/>
      <c r="AN854" s="114">
        <v>666098.69</v>
      </c>
      <c r="AQ854" s="746">
        <f t="shared" si="211"/>
        <v>46137</v>
      </c>
      <c r="AR854" s="387">
        <f t="shared" si="212"/>
        <v>46107</v>
      </c>
      <c r="AS854" s="387"/>
      <c r="AT854" s="387"/>
      <c r="AW854" s="387"/>
      <c r="AX854" s="129"/>
      <c r="AY854" s="114"/>
      <c r="AZ854" s="127"/>
      <c r="BA854" s="127"/>
      <c r="BB854" s="127"/>
      <c r="BC854" s="127"/>
      <c r="BI854" s="75"/>
      <c r="BJ854" s="91"/>
      <c r="BP854" s="129"/>
      <c r="BQ854" s="387"/>
    </row>
    <row r="855" s="79" customFormat="1" customHeight="1" spans="1:69 16378:16379">
      <c r="A855" s="79" t="s">
        <v>401</v>
      </c>
      <c r="C855" s="463"/>
      <c r="D855" s="79" t="s">
        <v>1054</v>
      </c>
      <c r="G855" s="486"/>
      <c r="H855" s="79" t="str">
        <f>A855</f>
        <v>PARTNER</v>
      </c>
      <c r="J855" s="79">
        <f>SUM(J853:J854)</f>
        <v>106</v>
      </c>
      <c r="K855" s="194"/>
      <c r="L855" s="79">
        <f>SUM(L853:L854)</f>
        <v>753025</v>
      </c>
      <c r="M855" s="194"/>
      <c r="N855" s="79">
        <f>SUM(N818:N853)</f>
        <v>3302309.7</v>
      </c>
      <c r="R855" s="79" t="s">
        <v>66</v>
      </c>
      <c r="T855" s="463"/>
      <c r="U855" s="463"/>
      <c r="V855" s="463"/>
      <c r="X855" s="193"/>
      <c r="Y855" s="748">
        <f>SUM(Y853:Y854)</f>
        <v>113.082</v>
      </c>
      <c r="Z855" s="192"/>
      <c r="AA855" s="226">
        <f>SUM(AA853:AA854)</f>
        <v>719423.44</v>
      </c>
      <c r="AB855" s="79">
        <f>SUM(AB818:AB850)</f>
        <v>0</v>
      </c>
      <c r="AC855" s="192"/>
      <c r="AD855" s="196"/>
      <c r="AE855" s="192"/>
      <c r="AF855" s="192"/>
      <c r="AG855" s="192"/>
      <c r="AH855" s="192"/>
      <c r="AM855" s="192"/>
      <c r="AN855" s="192"/>
      <c r="AQ855" s="463"/>
      <c r="AR855" s="463"/>
      <c r="AS855" s="463"/>
      <c r="AT855" s="463"/>
      <c r="AW855" s="463"/>
      <c r="AX855" s="194"/>
      <c r="AY855" s="192"/>
      <c r="AZ855" s="150"/>
      <c r="BA855" s="150"/>
      <c r="BB855" s="150"/>
      <c r="BC855" s="150"/>
      <c r="BI855" s="151"/>
    </row>
    <row r="856" s="76" customFormat="1" customHeight="1" spans="1:69 16378:16379">
      <c r="A856" s="76" t="s">
        <v>365</v>
      </c>
      <c r="B856" s="76" t="s">
        <v>440</v>
      </c>
      <c r="C856" s="387" t="s">
        <v>1058</v>
      </c>
      <c r="D856" s="76" t="s">
        <v>1059</v>
      </c>
      <c r="E856" s="76" t="s">
        <v>1060</v>
      </c>
      <c r="G856" s="479"/>
      <c r="H856" s="76" t="s">
        <v>93</v>
      </c>
      <c r="J856" s="129">
        <v>100</v>
      </c>
      <c r="K856" s="129">
        <f>Z856+340</f>
        <v>6255</v>
      </c>
      <c r="L856" s="129">
        <f t="shared" ref="L856:L860" si="213">J856*K856</f>
        <v>625500</v>
      </c>
      <c r="M856" s="129"/>
      <c r="N856" s="76">
        <f>62550+562950</f>
        <v>625500</v>
      </c>
      <c r="P856" s="91"/>
      <c r="Q856" s="91"/>
      <c r="R856" s="76" t="s">
        <v>66</v>
      </c>
      <c r="S856" s="76" t="s">
        <v>1056</v>
      </c>
      <c r="T856" s="387">
        <v>46087</v>
      </c>
      <c r="U856" s="387">
        <f>T856+45</f>
        <v>46132</v>
      </c>
      <c r="V856" s="387">
        <v>46170</v>
      </c>
      <c r="W856" s="76">
        <f>V856-U856</f>
        <v>38</v>
      </c>
      <c r="X856" s="133" t="s">
        <v>355</v>
      </c>
      <c r="Y856" s="76">
        <v>108</v>
      </c>
      <c r="Z856" s="76">
        <v>5915</v>
      </c>
      <c r="AA856" s="114">
        <f t="shared" si="210"/>
        <v>638820</v>
      </c>
      <c r="AB856" s="114">
        <v>95283</v>
      </c>
      <c r="AC856" s="114"/>
      <c r="AD856" s="140"/>
      <c r="AE856" s="114"/>
      <c r="AF856" s="114"/>
      <c r="AG856" s="114"/>
      <c r="AH856" s="114"/>
      <c r="AM856" s="114"/>
      <c r="AN856" s="76">
        <f>62550+562950</f>
        <v>625500</v>
      </c>
      <c r="AQ856" s="746">
        <f t="shared" si="211"/>
        <v>46170</v>
      </c>
      <c r="AR856" s="387">
        <f t="shared" si="212"/>
        <v>46140</v>
      </c>
      <c r="AS856" s="387" t="s">
        <v>355</v>
      </c>
      <c r="AT856" s="387"/>
      <c r="AU856" s="76" t="s">
        <v>1061</v>
      </c>
      <c r="AV856" s="76">
        <v>2</v>
      </c>
      <c r="AW856" s="387">
        <v>46145</v>
      </c>
      <c r="AX856" s="129"/>
      <c r="AY856" s="114"/>
      <c r="AZ856" s="127"/>
      <c r="BA856" s="127"/>
      <c r="BB856" s="127"/>
      <c r="BC856" s="127"/>
      <c r="BI856" s="75"/>
      <c r="BJ856" s="91"/>
      <c r="BL856" s="76" t="str">
        <f>D856</f>
        <v>TJTW-122</v>
      </c>
      <c r="BM856" s="76" t="str">
        <f>A856</f>
        <v>PLK</v>
      </c>
      <c r="BO856" s="76" t="str">
        <f>E856</f>
        <v>0.16*892*Coil 2.0/2.0, T4 Stone, BA "eye to Sky"</v>
      </c>
      <c r="BP856" s="129">
        <f>J856</f>
        <v>100</v>
      </c>
      <c r="BQ856" s="387">
        <f>U856</f>
        <v>46132</v>
      </c>
    </row>
    <row r="857" s="76" customFormat="1" customHeight="1" spans="1:69 16378:16379">
      <c r="A857" s="76" t="s">
        <v>365</v>
      </c>
      <c r="B857" s="76" t="s">
        <v>440</v>
      </c>
      <c r="C857" s="387" t="s">
        <v>1062</v>
      </c>
      <c r="D857" s="76" t="s">
        <v>1059</v>
      </c>
      <c r="E857" s="76" t="s">
        <v>1063</v>
      </c>
      <c r="G857" s="479"/>
      <c r="H857" s="76" t="s">
        <v>93</v>
      </c>
      <c r="J857" s="129">
        <v>50</v>
      </c>
      <c r="K857" s="129">
        <f>Z857+340</f>
        <v>6155</v>
      </c>
      <c r="L857" s="129">
        <f t="shared" si="213"/>
        <v>307750</v>
      </c>
      <c r="M857" s="129"/>
      <c r="N857" s="76">
        <f>30775+183650+91686.8655+46153.69</f>
        <v>352265.5555</v>
      </c>
      <c r="P857" s="91"/>
      <c r="Q857" s="91"/>
      <c r="R857" s="76" t="s">
        <v>66</v>
      </c>
      <c r="S857" s="76" t="s">
        <v>1056</v>
      </c>
      <c r="T857" s="387">
        <v>46087</v>
      </c>
      <c r="U857" s="387">
        <f>T857+45</f>
        <v>46132</v>
      </c>
      <c r="V857" s="387">
        <f>T857+50</f>
        <v>46137</v>
      </c>
      <c r="W857" s="76">
        <f>V857-U857</f>
        <v>5</v>
      </c>
      <c r="X857" s="133" t="s">
        <v>355</v>
      </c>
      <c r="Y857" s="76">
        <v>51.389</v>
      </c>
      <c r="Z857" s="76">
        <v>5815</v>
      </c>
      <c r="AA857" s="114">
        <f t="shared" si="210"/>
        <v>298827.035</v>
      </c>
      <c r="AB857" s="114"/>
      <c r="AC857" s="114"/>
      <c r="AD857" s="140"/>
      <c r="AE857" s="114"/>
      <c r="AF857" s="114"/>
      <c r="AG857" s="114"/>
      <c r="AH857" s="114"/>
      <c r="AM857" s="114"/>
      <c r="AN857" s="76">
        <f>30775+183650+91686.8655+46153.69</f>
        <v>352265.5555</v>
      </c>
      <c r="AQ857" s="746">
        <f t="shared" si="211"/>
        <v>46137</v>
      </c>
      <c r="AR857" s="387">
        <f t="shared" si="212"/>
        <v>46107</v>
      </c>
      <c r="AS857" s="387" t="s">
        <v>355</v>
      </c>
      <c r="AT857" s="387"/>
      <c r="AV857" s="76">
        <v>4</v>
      </c>
      <c r="AW857" s="387">
        <v>46201</v>
      </c>
      <c r="AX857" s="129"/>
      <c r="AY857" s="114"/>
      <c r="AZ857" s="127"/>
      <c r="BA857" s="127"/>
      <c r="BB857" s="127"/>
      <c r="BC857" s="127"/>
      <c r="BI857" s="75"/>
      <c r="BJ857" s="91"/>
      <c r="BL857" s="76" t="str">
        <f>D857</f>
        <v>TJTW-122</v>
      </c>
      <c r="BM857" s="76" t="str">
        <f>A857</f>
        <v>PLK</v>
      </c>
      <c r="BO857" s="76" t="str">
        <f>E857</f>
        <v>0.17*807*Coil 2.0/2.0, DR 8,5 Stone, BA "eye to the side"</v>
      </c>
      <c r="BP857" s="129">
        <f>J857</f>
        <v>50</v>
      </c>
      <c r="BQ857" s="387">
        <f>U857</f>
        <v>46132</v>
      </c>
    </row>
    <row r="858" s="201" customFormat="1" customHeight="1" spans="1:69 16378:16379">
      <c r="A858" s="201" t="s">
        <v>365</v>
      </c>
      <c r="C858" s="625"/>
      <c r="D858" s="201" t="s">
        <v>1059</v>
      </c>
      <c r="F858" s="753"/>
      <c r="G858" s="754"/>
      <c r="H858" s="201" t="s">
        <v>93</v>
      </c>
      <c r="I858" s="755"/>
      <c r="J858" s="201">
        <f t="shared" ref="J858:N858" si="214">SUM(J856:J857)</f>
        <v>150</v>
      </c>
      <c r="K858" s="755"/>
      <c r="L858" s="83">
        <f t="shared" si="214"/>
        <v>933250</v>
      </c>
      <c r="N858" s="201">
        <f t="shared" si="214"/>
        <v>977765.5555</v>
      </c>
      <c r="R858" s="83" t="s">
        <v>66</v>
      </c>
      <c r="S858" s="625"/>
      <c r="T858" s="625"/>
      <c r="U858" s="756"/>
      <c r="X858" s="753" t="s">
        <v>355</v>
      </c>
      <c r="Y858" s="201">
        <f>SUM(Y856:Y857)</f>
        <v>159.389</v>
      </c>
      <c r="Z858" s="753"/>
      <c r="AA858" s="233">
        <f>SUM(AA856:AA857)</f>
        <v>937647.035</v>
      </c>
      <c r="AE858" s="753"/>
      <c r="AF858" s="201">
        <v>59900</v>
      </c>
      <c r="AI858" s="625"/>
      <c r="AJ858" s="625"/>
      <c r="AK858" s="625"/>
      <c r="AL858" s="625"/>
      <c r="AN858" s="201">
        <f>SUM(AN856:AN857)</f>
        <v>977765.5555</v>
      </c>
      <c r="AO858" s="625"/>
      <c r="AP858" s="755"/>
      <c r="AQ858" s="753"/>
      <c r="AR858" s="757"/>
      <c r="AS858" s="757"/>
      <c r="AT858" s="757"/>
      <c r="AU858" s="757"/>
      <c r="BA858" s="758"/>
      <c r="XEX858" s="84"/>
      <c r="XEY858" s="84"/>
    </row>
    <row r="859" s="76" customFormat="1" customHeight="1" spans="1:69 16378:16379">
      <c r="A859" s="76" t="s">
        <v>759</v>
      </c>
      <c r="B859" s="76" t="s">
        <v>922</v>
      </c>
      <c r="C859" s="387" t="s">
        <v>1064</v>
      </c>
      <c r="D859" s="76" t="s">
        <v>1065</v>
      </c>
      <c r="E859" s="76" t="s">
        <v>1066</v>
      </c>
      <c r="G859" s="479"/>
      <c r="H859" s="76" t="s">
        <v>93</v>
      </c>
      <c r="J859" s="405">
        <v>11</v>
      </c>
      <c r="K859" s="129">
        <f>Z859+250</f>
        <v>6250</v>
      </c>
      <c r="L859" s="129">
        <f t="shared" si="213"/>
        <v>68750</v>
      </c>
      <c r="M859" s="129"/>
      <c r="N859" s="76">
        <v>151380</v>
      </c>
      <c r="P859" s="91"/>
      <c r="Q859" s="91"/>
      <c r="R859" s="76" t="s">
        <v>88</v>
      </c>
      <c r="S859" s="76" t="s">
        <v>1067</v>
      </c>
      <c r="T859" s="387">
        <v>46087</v>
      </c>
      <c r="U859" s="387">
        <f>T859+60</f>
        <v>46147</v>
      </c>
      <c r="V859" s="387">
        <v>46157</v>
      </c>
      <c r="W859" s="76">
        <f>V859-U859</f>
        <v>10</v>
      </c>
      <c r="X859" s="133" t="s">
        <v>355</v>
      </c>
      <c r="Y859" s="76">
        <v>11</v>
      </c>
      <c r="Z859" s="114">
        <v>6000</v>
      </c>
      <c r="AA859" s="114">
        <f t="shared" ref="AA859:AA864" si="215">Y859*Z859</f>
        <v>66000</v>
      </c>
      <c r="AB859" s="114"/>
      <c r="AC859" s="114"/>
      <c r="AD859" s="140"/>
      <c r="AE859" s="114"/>
      <c r="AF859" s="114"/>
      <c r="AG859" s="114"/>
      <c r="AH859" s="114"/>
      <c r="AM859" s="114"/>
      <c r="AN859" s="114">
        <v>151380</v>
      </c>
      <c r="AQ859" s="746">
        <f t="shared" ref="AQ859:AQ864" si="216">V859</f>
        <v>46157</v>
      </c>
      <c r="AR859" s="387">
        <f t="shared" ref="AR859:AR864" si="217">V859-30</f>
        <v>46127</v>
      </c>
      <c r="AS859" s="387" t="s">
        <v>355</v>
      </c>
      <c r="AT859" s="387"/>
      <c r="AV859" s="76">
        <v>1</v>
      </c>
      <c r="AW859" s="387"/>
      <c r="AX859" s="129"/>
      <c r="AY859" s="114"/>
      <c r="AZ859" s="127"/>
      <c r="BA859" s="127"/>
      <c r="BB859" s="127"/>
      <c r="BC859" s="127"/>
      <c r="BI859" s="75"/>
      <c r="BJ859" s="91"/>
      <c r="BL859" s="76" t="str">
        <f>D859</f>
        <v>TJTW-123</v>
      </c>
      <c r="BM859" s="76" t="str">
        <f>A859</f>
        <v>LB</v>
      </c>
      <c r="BO859" s="76" t="str">
        <f>E859</f>
        <v>0.18*945*918 2.0/2.0 T4 BA</v>
      </c>
      <c r="BP859" s="129" t="e">
        <f>#REF!</f>
        <v>#REF!</v>
      </c>
      <c r="BQ859" s="387">
        <f>U859</f>
        <v>46147</v>
      </c>
    </row>
    <row r="860" s="76" customFormat="1" customHeight="1" spans="1:69 16378:16379">
      <c r="A860" s="76" t="s">
        <v>759</v>
      </c>
      <c r="B860" s="76" t="s">
        <v>922</v>
      </c>
      <c r="C860" s="387" t="s">
        <v>1064</v>
      </c>
      <c r="D860" s="76" t="s">
        <v>1065</v>
      </c>
      <c r="E860" s="76" t="s">
        <v>1068</v>
      </c>
      <c r="G860" s="479"/>
      <c r="H860" s="76" t="s">
        <v>93</v>
      </c>
      <c r="J860" s="405">
        <v>17</v>
      </c>
      <c r="K860" s="129">
        <f>Z860+250</f>
        <v>5850</v>
      </c>
      <c r="L860" s="129">
        <f t="shared" si="213"/>
        <v>99450</v>
      </c>
      <c r="M860" s="129"/>
      <c r="N860" s="76">
        <v>11418.9</v>
      </c>
      <c r="P860" s="91"/>
      <c r="Q860" s="91"/>
      <c r="R860" s="76" t="s">
        <v>88</v>
      </c>
      <c r="S860" s="76" t="s">
        <v>1067</v>
      </c>
      <c r="T860" s="387">
        <v>46087</v>
      </c>
      <c r="U860" s="387">
        <f>T860+60</f>
        <v>46147</v>
      </c>
      <c r="V860" s="387">
        <v>46157</v>
      </c>
      <c r="W860" s="76">
        <f>V860-U860</f>
        <v>10</v>
      </c>
      <c r="X860" s="133" t="s">
        <v>355</v>
      </c>
      <c r="Y860" s="76">
        <v>17</v>
      </c>
      <c r="Z860" s="114">
        <v>5600</v>
      </c>
      <c r="AA860" s="114">
        <f t="shared" si="215"/>
        <v>95200</v>
      </c>
      <c r="AB860" s="114"/>
      <c r="AC860" s="114"/>
      <c r="AD860" s="140"/>
      <c r="AE860" s="114"/>
      <c r="AF860" s="114"/>
      <c r="AG860" s="114"/>
      <c r="AH860" s="114"/>
      <c r="AM860" s="114"/>
      <c r="AN860" s="114">
        <v>11418.9</v>
      </c>
      <c r="AQ860" s="746">
        <f t="shared" si="216"/>
        <v>46157</v>
      </c>
      <c r="AR860" s="387">
        <f t="shared" si="217"/>
        <v>46127</v>
      </c>
      <c r="AS860" s="387"/>
      <c r="AT860" s="387"/>
      <c r="AW860" s="387"/>
      <c r="AX860" s="129"/>
      <c r="AY860" s="114"/>
      <c r="AZ860" s="127"/>
      <c r="BA860" s="127"/>
      <c r="BB860" s="127"/>
      <c r="BC860" s="127"/>
      <c r="BI860" s="75"/>
      <c r="BJ860" s="91"/>
      <c r="BL860" s="76" t="str">
        <f>D860</f>
        <v>TJTW-123</v>
      </c>
      <c r="BM860" s="76" t="str">
        <f>A860</f>
        <v>LB</v>
      </c>
      <c r="BO860" s="76" t="str">
        <f>E860</f>
        <v>0.24*1023*957 2.0/2.0 T3 BA</v>
      </c>
      <c r="BP860" s="129" t="e">
        <f>#REF!</f>
        <v>#REF!</v>
      </c>
      <c r="BQ860" s="387">
        <f>U860</f>
        <v>46147</v>
      </c>
    </row>
    <row r="861" s="79" customFormat="1" customHeight="1" spans="1:69 16378:16379">
      <c r="A861" s="79" t="s">
        <v>759</v>
      </c>
      <c r="B861" s="79" t="s">
        <v>922</v>
      </c>
      <c r="C861" s="463" t="s">
        <v>1064</v>
      </c>
      <c r="D861" s="79" t="s">
        <v>1065</v>
      </c>
      <c r="F861" s="192"/>
      <c r="G861" s="486"/>
      <c r="H861" s="201" t="s">
        <v>93</v>
      </c>
      <c r="I861" s="194"/>
      <c r="J861" s="194">
        <f>SUM(J859:J860)</f>
        <v>28</v>
      </c>
      <c r="K861" s="194"/>
      <c r="L861" s="79">
        <f>SUM(L859:L860)</f>
        <v>168200</v>
      </c>
      <c r="R861" s="463" t="s">
        <v>88</v>
      </c>
      <c r="S861" s="463"/>
      <c r="T861" s="463"/>
      <c r="U861" s="193"/>
      <c r="X861" s="192"/>
      <c r="Y861" s="192">
        <f>SUM(Y859:Y860)</f>
        <v>28</v>
      </c>
      <c r="Z861" s="192"/>
      <c r="AA861" s="226">
        <f>SUM(AA859:AA860)</f>
        <v>161200</v>
      </c>
      <c r="AE861" s="192"/>
      <c r="AF861" s="192">
        <v>360243.23</v>
      </c>
      <c r="AI861" s="463"/>
      <c r="AJ861" s="463"/>
      <c r="AK861" s="463"/>
      <c r="AL861" s="463"/>
      <c r="AO861" s="463"/>
      <c r="AP861" s="194"/>
      <c r="AQ861" s="192"/>
      <c r="AR861" s="150"/>
      <c r="AS861" s="150"/>
      <c r="AT861" s="150"/>
      <c r="AU861" s="150"/>
      <c r="BA861" s="151"/>
      <c r="XEX861" s="76"/>
      <c r="XEY861" s="76"/>
    </row>
    <row r="862" s="76" customFormat="1" customHeight="1" spans="1:69 16378:16379">
      <c r="A862" s="76" t="s">
        <v>744</v>
      </c>
      <c r="B862" s="76" t="s">
        <v>440</v>
      </c>
      <c r="C862" s="387" t="s">
        <v>1069</v>
      </c>
      <c r="D862" s="76" t="s">
        <v>1070</v>
      </c>
      <c r="E862" s="76" t="s">
        <v>1071</v>
      </c>
      <c r="G862" s="479"/>
      <c r="H862" s="76" t="s">
        <v>93</v>
      </c>
      <c r="J862" s="129">
        <v>54</v>
      </c>
      <c r="K862" s="129">
        <f>Z862+250</f>
        <v>6550</v>
      </c>
      <c r="L862" s="129">
        <f t="shared" ref="L862:L864" si="218">J862*K862</f>
        <v>353700</v>
      </c>
      <c r="M862" s="129"/>
      <c r="N862" s="76">
        <f>221540+281184.12</f>
        <v>502724.12</v>
      </c>
      <c r="P862" s="91"/>
      <c r="Q862" s="91"/>
      <c r="R862" s="76" t="s">
        <v>88</v>
      </c>
      <c r="S862" s="76" t="s">
        <v>1072</v>
      </c>
      <c r="T862" s="387">
        <v>46087</v>
      </c>
      <c r="U862" s="387">
        <f t="shared" ref="U862:U864" si="219">T862+60</f>
        <v>46147</v>
      </c>
      <c r="V862" s="387">
        <v>46157</v>
      </c>
      <c r="W862" s="76">
        <f t="shared" ref="W862:W864" si="220">V862-U862</f>
        <v>10</v>
      </c>
      <c r="X862" s="133">
        <f>V862+8+80</f>
        <v>46245</v>
      </c>
      <c r="Y862" s="76">
        <v>54</v>
      </c>
      <c r="Z862" s="114">
        <v>6300</v>
      </c>
      <c r="AA862" s="114">
        <f t="shared" si="215"/>
        <v>340200</v>
      </c>
      <c r="AB862" s="114"/>
      <c r="AC862" s="114"/>
      <c r="AD862" s="140"/>
      <c r="AE862" s="114"/>
      <c r="AF862" s="114"/>
      <c r="AG862" s="114"/>
      <c r="AH862" s="114"/>
      <c r="AI862" s="91"/>
      <c r="AM862" s="114"/>
      <c r="AN862" s="114">
        <f>221540+281184.12</f>
        <v>502724.12</v>
      </c>
      <c r="AP862" s="91"/>
      <c r="AQ862" s="746">
        <f t="shared" si="216"/>
        <v>46157</v>
      </c>
      <c r="AR862" s="387">
        <f t="shared" si="217"/>
        <v>46127</v>
      </c>
      <c r="AS862" s="387" t="s">
        <v>355</v>
      </c>
      <c r="AT862" s="387"/>
      <c r="AV862" s="76">
        <v>6</v>
      </c>
      <c r="AW862" s="387"/>
      <c r="AX862" s="129"/>
      <c r="AY862" s="114"/>
      <c r="AZ862" s="127"/>
      <c r="BA862" s="127"/>
      <c r="BB862" s="127"/>
      <c r="BC862" s="127"/>
      <c r="BI862" s="75"/>
      <c r="BJ862" s="91"/>
      <c r="BL862" s="76" t="str">
        <f t="shared" ref="BL862:BL876" si="221">D862</f>
        <v>TJTW-124</v>
      </c>
      <c r="BM862" s="76" t="str">
        <f t="shared" ref="BM862:BM879" si="222">A862</f>
        <v>SKARDA</v>
      </c>
      <c r="BO862" s="76" t="str">
        <f t="shared" ref="BO862:BO866" si="223">E862</f>
        <v>0.17x944x795 Sheets Т4 2.8/2.8 Stone, BA</v>
      </c>
      <c r="BP862" s="129">
        <f t="shared" ref="BP862:BP879" si="224">J862</f>
        <v>54</v>
      </c>
      <c r="BQ862" s="387">
        <f t="shared" ref="BQ862:BQ879" si="225">U862</f>
        <v>46147</v>
      </c>
    </row>
    <row r="863" s="76" customFormat="1" customHeight="1" spans="1:69 16378:16379">
      <c r="A863" s="76" t="s">
        <v>744</v>
      </c>
      <c r="B863" s="76" t="s">
        <v>440</v>
      </c>
      <c r="C863" s="387" t="s">
        <v>1069</v>
      </c>
      <c r="D863" s="76" t="s">
        <v>1070</v>
      </c>
      <c r="E863" s="76" t="s">
        <v>1073</v>
      </c>
      <c r="G863" s="479">
        <v>13</v>
      </c>
      <c r="H863" s="76" t="s">
        <v>93</v>
      </c>
      <c r="J863" s="129">
        <v>54</v>
      </c>
      <c r="K863" s="129">
        <f>Z863+250</f>
        <v>6400</v>
      </c>
      <c r="L863" s="129">
        <f t="shared" si="218"/>
        <v>345600</v>
      </c>
      <c r="M863" s="129"/>
      <c r="N863" s="76">
        <v>341994.05</v>
      </c>
      <c r="P863" s="91"/>
      <c r="Q863" s="91"/>
      <c r="R863" s="76" t="s">
        <v>88</v>
      </c>
      <c r="S863" s="76" t="s">
        <v>1072</v>
      </c>
      <c r="T863" s="387">
        <v>46087</v>
      </c>
      <c r="U863" s="387">
        <f t="shared" si="219"/>
        <v>46147</v>
      </c>
      <c r="V863" s="387">
        <v>46157</v>
      </c>
      <c r="W863" s="76">
        <f t="shared" si="220"/>
        <v>10</v>
      </c>
      <c r="X863" s="133" t="s">
        <v>355</v>
      </c>
      <c r="Y863" s="76">
        <v>54</v>
      </c>
      <c r="Z863" s="114">
        <v>6150</v>
      </c>
      <c r="AA863" s="114">
        <f t="shared" si="215"/>
        <v>332100</v>
      </c>
      <c r="AB863" s="114"/>
      <c r="AC863" s="114"/>
      <c r="AD863" s="140"/>
      <c r="AE863" s="114"/>
      <c r="AF863" s="114"/>
      <c r="AG863" s="114"/>
      <c r="AH863" s="114"/>
      <c r="AM863" s="114"/>
      <c r="AN863" s="114">
        <v>341994.05</v>
      </c>
      <c r="AQ863" s="746">
        <f t="shared" si="216"/>
        <v>46157</v>
      </c>
      <c r="AR863" s="387">
        <f t="shared" si="217"/>
        <v>46127</v>
      </c>
      <c r="AS863" s="387"/>
      <c r="AT863" s="387"/>
      <c r="AW863" s="387"/>
      <c r="AX863" s="129"/>
      <c r="AY863" s="114"/>
      <c r="AZ863" s="127"/>
      <c r="BA863" s="127"/>
      <c r="BB863" s="127"/>
      <c r="BC863" s="127"/>
      <c r="BI863" s="75"/>
      <c r="BJ863" s="91"/>
      <c r="BL863" s="76" t="str">
        <f t="shared" si="221"/>
        <v>TJTW-124</v>
      </c>
      <c r="BM863" s="76" t="str">
        <f t="shared" si="222"/>
        <v>SKARDA</v>
      </c>
      <c r="BO863" s="76" t="str">
        <f t="shared" si="223"/>
        <v>0.18x862x782 Scroll Sheets Т5 2.8/2.8 Stone, BA</v>
      </c>
      <c r="BP863" s="129">
        <f t="shared" si="224"/>
        <v>54</v>
      </c>
      <c r="BQ863" s="387">
        <f t="shared" si="225"/>
        <v>46147</v>
      </c>
    </row>
    <row r="864" s="76" customFormat="1" customHeight="1" spans="1:69 16378:16379">
      <c r="A864" s="76" t="s">
        <v>744</v>
      </c>
      <c r="B864" s="76" t="s">
        <v>440</v>
      </c>
      <c r="C864" s="387" t="s">
        <v>1069</v>
      </c>
      <c r="D864" s="76" t="s">
        <v>1070</v>
      </c>
      <c r="E864" s="76" t="s">
        <v>1074</v>
      </c>
      <c r="G864" s="479">
        <v>11</v>
      </c>
      <c r="H864" s="76" t="s">
        <v>93</v>
      </c>
      <c r="J864" s="129">
        <v>54</v>
      </c>
      <c r="K864" s="129">
        <f>Z864+250</f>
        <v>6350</v>
      </c>
      <c r="L864" s="129">
        <f t="shared" si="218"/>
        <v>342900</v>
      </c>
      <c r="M864" s="129"/>
      <c r="N864" s="114">
        <f>151901.8325+33254.4</f>
        <v>185156.2325</v>
      </c>
      <c r="P864" s="91"/>
      <c r="Q864" s="91"/>
      <c r="R864" s="76" t="s">
        <v>88</v>
      </c>
      <c r="S864" s="76" t="s">
        <v>1072</v>
      </c>
      <c r="T864" s="387">
        <v>46087</v>
      </c>
      <c r="U864" s="387">
        <f t="shared" si="219"/>
        <v>46147</v>
      </c>
      <c r="V864" s="387">
        <v>46157</v>
      </c>
      <c r="W864" s="76">
        <f t="shared" si="220"/>
        <v>10</v>
      </c>
      <c r="X864" s="133" t="s">
        <v>355</v>
      </c>
      <c r="Y864" s="76">
        <v>54</v>
      </c>
      <c r="Z864" s="114">
        <v>6100</v>
      </c>
      <c r="AA864" s="114">
        <f t="shared" si="215"/>
        <v>329400</v>
      </c>
      <c r="AB864" s="114"/>
      <c r="AC864" s="114"/>
      <c r="AD864" s="140"/>
      <c r="AE864" s="114"/>
      <c r="AF864" s="114"/>
      <c r="AG864" s="114"/>
      <c r="AH864" s="114"/>
      <c r="AM864" s="114"/>
      <c r="AN864" s="114">
        <f>151901.8325+33254.4</f>
        <v>185156.2325</v>
      </c>
      <c r="AQ864" s="746">
        <f t="shared" si="216"/>
        <v>46157</v>
      </c>
      <c r="AR864" s="387">
        <f t="shared" si="217"/>
        <v>46127</v>
      </c>
      <c r="AS864" s="387"/>
      <c r="AT864" s="387"/>
      <c r="AW864" s="387"/>
      <c r="AX864" s="129"/>
      <c r="AY864" s="114"/>
      <c r="AZ864" s="127"/>
      <c r="BA864" s="127"/>
      <c r="BB864" s="127"/>
      <c r="BC864" s="127"/>
      <c r="BI864" s="75"/>
      <c r="BJ864" s="91"/>
      <c r="BP864" s="129"/>
      <c r="BQ864" s="387"/>
    </row>
    <row r="865" s="79" customFormat="1" customHeight="1" spans="1:69 16378:16379">
      <c r="A865" s="79" t="s">
        <v>744</v>
      </c>
      <c r="C865" s="463" t="s">
        <v>1069</v>
      </c>
      <c r="D865" s="79" t="s">
        <v>1070</v>
      </c>
      <c r="F865" s="192"/>
      <c r="G865" s="486"/>
      <c r="H865" s="79" t="s">
        <v>93</v>
      </c>
      <c r="I865" s="194"/>
      <c r="J865" s="194">
        <f>SUM(J862:J864)</f>
        <v>162</v>
      </c>
      <c r="K865" s="194"/>
      <c r="L865" s="79">
        <f>SUM(L862:L864)</f>
        <v>1042200</v>
      </c>
      <c r="R865" s="463" t="s">
        <v>88</v>
      </c>
      <c r="S865" s="463"/>
      <c r="T865" s="463"/>
      <c r="U865" s="193"/>
      <c r="X865" s="192"/>
      <c r="Y865" s="192">
        <f>SUM(Y862:Y864)</f>
        <v>162</v>
      </c>
      <c r="Z865" s="192"/>
      <c r="AA865" s="226">
        <f>SUM(AA862:AA864)</f>
        <v>1001700</v>
      </c>
      <c r="AE865" s="192"/>
      <c r="AF865" s="192">
        <v>360243.23</v>
      </c>
      <c r="AI865" s="463"/>
      <c r="AJ865" s="463"/>
      <c r="AK865" s="463"/>
      <c r="AL865" s="463"/>
      <c r="AO865" s="463"/>
      <c r="AP865" s="194"/>
      <c r="AQ865" s="192"/>
      <c r="AR865" s="150"/>
      <c r="AS865" s="150"/>
      <c r="AT865" s="150"/>
      <c r="AU865" s="150"/>
      <c r="BA865" s="151"/>
      <c r="XEX865" s="76"/>
      <c r="XEY865" s="76"/>
    </row>
    <row r="866" s="76" customFormat="1" customHeight="1" spans="1:69 16378:16379">
      <c r="A866" s="76" t="s">
        <v>71</v>
      </c>
      <c r="C866" s="387"/>
      <c r="D866" s="76" t="s">
        <v>1075</v>
      </c>
      <c r="E866" s="76" t="s">
        <v>471</v>
      </c>
      <c r="G866" s="479"/>
      <c r="J866" s="264">
        <f>1960400</f>
        <v>1960400</v>
      </c>
      <c r="K866" s="129">
        <v>0.123</v>
      </c>
      <c r="L866" s="129">
        <f t="shared" ref="L866:L873" si="226">J866*K866</f>
        <v>241129.2</v>
      </c>
      <c r="M866" s="129"/>
      <c r="N866" s="76">
        <v>242129</v>
      </c>
      <c r="O866" s="76">
        <f>L866-N866</f>
        <v>-999.800000000017</v>
      </c>
      <c r="P866" s="91"/>
      <c r="Q866" s="91"/>
      <c r="R866" s="76" t="s">
        <v>88</v>
      </c>
      <c r="T866" s="387"/>
      <c r="U866" s="387">
        <v>46109</v>
      </c>
      <c r="V866" s="387">
        <v>46119</v>
      </c>
      <c r="W866" s="76">
        <f>V866-U866</f>
        <v>10</v>
      </c>
      <c r="X866" s="133"/>
      <c r="Z866" s="114"/>
      <c r="AA866" s="114"/>
      <c r="AB866" s="114"/>
      <c r="AC866" s="114"/>
      <c r="AD866" s="140"/>
      <c r="AE866" s="114"/>
      <c r="AF866" s="114"/>
      <c r="AG866" s="114"/>
      <c r="AH866" s="114"/>
      <c r="AM866" s="114">
        <v>0.125</v>
      </c>
      <c r="AN866" s="114">
        <v>242129</v>
      </c>
      <c r="AQ866" s="746"/>
      <c r="AR866" s="387"/>
      <c r="AS866" s="387"/>
      <c r="AT866" s="387"/>
      <c r="AW866" s="387"/>
      <c r="AX866" s="129"/>
      <c r="AY866" s="114"/>
      <c r="AZ866" s="127"/>
      <c r="BA866" s="127"/>
      <c r="BB866" s="127"/>
      <c r="BC866" s="127"/>
      <c r="BI866" s="75"/>
      <c r="BJ866" s="91"/>
      <c r="BL866" s="76" t="str">
        <f t="shared" si="221"/>
        <v>INTW-22</v>
      </c>
      <c r="BM866" s="76" t="str">
        <f t="shared" si="222"/>
        <v>INDEX</v>
      </c>
      <c r="BN866" s="387">
        <f>C866</f>
        <v>0</v>
      </c>
      <c r="BO866" s="76" t="str">
        <f t="shared" si="223"/>
        <v>72.9mm #300</v>
      </c>
      <c r="BP866" s="264">
        <f t="shared" si="224"/>
        <v>1960400</v>
      </c>
      <c r="BQ866" s="387">
        <f t="shared" si="225"/>
        <v>46109</v>
      </c>
    </row>
    <row r="867" s="79" customFormat="1" customHeight="1" spans="1:69 16378:16379">
      <c r="A867" s="79" t="s">
        <v>71</v>
      </c>
      <c r="C867" s="463"/>
      <c r="D867" s="79" t="s">
        <v>1075</v>
      </c>
      <c r="G867" s="486"/>
      <c r="H867" s="79" t="s">
        <v>71</v>
      </c>
      <c r="J867" s="579">
        <f>SUM(J866)</f>
        <v>1960400</v>
      </c>
      <c r="K867" s="194"/>
      <c r="L867" s="748">
        <f>SUM(L866)</f>
        <v>241129.2</v>
      </c>
      <c r="M867" s="194"/>
      <c r="N867" s="79">
        <f>SUM(N864:N866)</f>
        <v>427285.2325</v>
      </c>
      <c r="T867" s="463"/>
      <c r="U867" s="463"/>
      <c r="V867" s="463"/>
      <c r="X867" s="193"/>
      <c r="Y867" s="79">
        <f>SUM(Y866)</f>
        <v>0</v>
      </c>
      <c r="Z867" s="192"/>
      <c r="AA867" s="79">
        <f>SUM(AA866)</f>
        <v>0</v>
      </c>
      <c r="AB867" s="192"/>
      <c r="AC867" s="192"/>
      <c r="AD867" s="196"/>
      <c r="AE867" s="192"/>
      <c r="AF867" s="192"/>
      <c r="AG867" s="192"/>
      <c r="AH867" s="192"/>
      <c r="AM867" s="192"/>
      <c r="AN867" s="192"/>
      <c r="AQ867" s="463"/>
      <c r="AR867" s="463"/>
      <c r="AS867" s="463"/>
      <c r="AT867" s="463"/>
      <c r="AW867" s="463"/>
      <c r="AX867" s="194"/>
      <c r="AY867" s="192"/>
      <c r="AZ867" s="150"/>
      <c r="BA867" s="150"/>
      <c r="BB867" s="150"/>
      <c r="BC867" s="150"/>
      <c r="BI867" s="151"/>
      <c r="BL867" s="79" t="str">
        <f t="shared" si="221"/>
        <v>INTW-22</v>
      </c>
      <c r="BM867" s="79" t="str">
        <f t="shared" si="222"/>
        <v>INDEX</v>
      </c>
      <c r="BP867" s="79">
        <f t="shared" si="224"/>
        <v>1960400</v>
      </c>
      <c r="BQ867" s="79">
        <f t="shared" si="225"/>
        <v>0</v>
      </c>
    </row>
    <row r="868" s="76" customFormat="1" customHeight="1" spans="1:69 16378:16379">
      <c r="A868" s="76" t="s">
        <v>71</v>
      </c>
      <c r="C868" s="387"/>
      <c r="D868" s="76" t="s">
        <v>1076</v>
      </c>
      <c r="E868" s="76" t="s">
        <v>471</v>
      </c>
      <c r="G868" s="479"/>
      <c r="J868" s="264">
        <f>1960400*2</f>
        <v>3920800</v>
      </c>
      <c r="K868" s="129">
        <v>0.123</v>
      </c>
      <c r="L868" s="129">
        <f t="shared" si="226"/>
        <v>482258.4</v>
      </c>
      <c r="M868" s="129"/>
      <c r="N868" s="76">
        <v>482258.4</v>
      </c>
      <c r="O868" s="76">
        <f>L868-N868</f>
        <v>0</v>
      </c>
      <c r="P868" s="91"/>
      <c r="Q868" s="91"/>
      <c r="R868" s="76" t="s">
        <v>88</v>
      </c>
      <c r="T868" s="387"/>
      <c r="U868" s="387">
        <v>46134</v>
      </c>
      <c r="V868" s="387"/>
      <c r="W868" s="76">
        <f>V868-U868</f>
        <v>-46134</v>
      </c>
      <c r="X868" s="133"/>
      <c r="Z868" s="114"/>
      <c r="AA868" s="114"/>
      <c r="AB868" s="114"/>
      <c r="AC868" s="114"/>
      <c r="AD868" s="140"/>
      <c r="AE868" s="114"/>
      <c r="AF868" s="114"/>
      <c r="AG868" s="114"/>
      <c r="AH868" s="114"/>
      <c r="AM868" s="114"/>
      <c r="AN868" s="114">
        <v>482258.4</v>
      </c>
      <c r="AQ868" s="746"/>
      <c r="AR868" s="387"/>
      <c r="AS868" s="387"/>
      <c r="AT868" s="387"/>
      <c r="AW868" s="387"/>
      <c r="AX868" s="129"/>
      <c r="AY868" s="114"/>
      <c r="AZ868" s="127"/>
      <c r="BA868" s="127"/>
      <c r="BB868" s="127"/>
      <c r="BC868" s="127"/>
      <c r="BI868" s="75"/>
      <c r="BJ868" s="91"/>
      <c r="BL868" s="76" t="str">
        <f t="shared" si="221"/>
        <v>INTW-23</v>
      </c>
      <c r="BM868" s="76" t="str">
        <f t="shared" si="222"/>
        <v>INDEX</v>
      </c>
      <c r="BN868" s="387">
        <f>C868</f>
        <v>0</v>
      </c>
      <c r="BO868" s="76" t="str">
        <f>E868</f>
        <v>72.9mm #300</v>
      </c>
      <c r="BP868" s="264">
        <f t="shared" si="224"/>
        <v>3920800</v>
      </c>
      <c r="BQ868" s="387">
        <f t="shared" si="225"/>
        <v>46134</v>
      </c>
    </row>
    <row r="869" s="79" customFormat="1" customHeight="1" spans="1:69 16378:16379">
      <c r="A869" s="79" t="s">
        <v>71</v>
      </c>
      <c r="C869" s="463"/>
      <c r="D869" s="79" t="s">
        <v>1076</v>
      </c>
      <c r="G869" s="486"/>
      <c r="H869" s="79" t="s">
        <v>71</v>
      </c>
      <c r="J869" s="579">
        <f>SUM(J868)</f>
        <v>3920800</v>
      </c>
      <c r="K869" s="194"/>
      <c r="L869" s="748">
        <f>SUM(L868)</f>
        <v>482258.4</v>
      </c>
      <c r="M869" s="194"/>
      <c r="N869" s="79">
        <f>SUM(N868)</f>
        <v>482258.4</v>
      </c>
      <c r="T869" s="463"/>
      <c r="U869" s="463"/>
      <c r="V869" s="463"/>
      <c r="X869" s="193"/>
      <c r="Y869" s="79">
        <f>SUM(Y868)</f>
        <v>0</v>
      </c>
      <c r="Z869" s="192"/>
      <c r="AA869" s="79">
        <f>SUM(AA868)</f>
        <v>0</v>
      </c>
      <c r="AB869" s="192"/>
      <c r="AC869" s="192"/>
      <c r="AD869" s="196"/>
      <c r="AE869" s="192"/>
      <c r="AF869" s="192"/>
      <c r="AG869" s="192"/>
      <c r="AH869" s="192"/>
      <c r="AM869" s="192"/>
      <c r="AN869" s="192"/>
      <c r="AQ869" s="463"/>
      <c r="AR869" s="463"/>
      <c r="AS869" s="463"/>
      <c r="AT869" s="463"/>
      <c r="AW869" s="463"/>
      <c r="AX869" s="194"/>
      <c r="AY869" s="192"/>
      <c r="AZ869" s="150"/>
      <c r="BA869" s="150"/>
      <c r="BB869" s="150"/>
      <c r="BC869" s="150"/>
      <c r="BI869" s="151"/>
      <c r="BL869" s="79" t="str">
        <f t="shared" si="221"/>
        <v>INTW-23</v>
      </c>
      <c r="BM869" s="79" t="str">
        <f t="shared" si="222"/>
        <v>INDEX</v>
      </c>
      <c r="BP869" s="79">
        <f t="shared" si="224"/>
        <v>3920800</v>
      </c>
      <c r="BQ869" s="79">
        <f t="shared" si="225"/>
        <v>0</v>
      </c>
    </row>
    <row r="870" s="76" customFormat="1" customHeight="1" spans="1:69 16378:16379">
      <c r="A870" s="76" t="s">
        <v>933</v>
      </c>
      <c r="B870" s="76" t="s">
        <v>456</v>
      </c>
      <c r="C870" s="387"/>
      <c r="D870" s="76" t="s">
        <v>1077</v>
      </c>
      <c r="E870" s="76" t="s">
        <v>1078</v>
      </c>
      <c r="G870" s="479"/>
      <c r="H870" s="76" t="s">
        <v>93</v>
      </c>
      <c r="J870" s="129">
        <v>25</v>
      </c>
      <c r="K870" s="129">
        <f t="shared" ref="K870:K873" si="227">Z870+250</f>
        <v>6550</v>
      </c>
      <c r="L870" s="129">
        <f t="shared" si="226"/>
        <v>163750</v>
      </c>
      <c r="M870" s="129"/>
      <c r="N870" s="114">
        <f>800000+5423.4</f>
        <v>805423.4</v>
      </c>
      <c r="P870" s="91"/>
      <c r="Q870" s="91"/>
      <c r="R870" s="76" t="s">
        <v>88</v>
      </c>
      <c r="S870" s="76" t="s">
        <v>1079</v>
      </c>
      <c r="T870" s="387">
        <v>46112</v>
      </c>
      <c r="U870" s="387">
        <f t="shared" ref="U870:U873" si="228">T870+60</f>
        <v>46172</v>
      </c>
      <c r="V870" s="387">
        <v>46183</v>
      </c>
      <c r="W870" s="76">
        <f t="shared" ref="W870:W873" si="229">V870-U870</f>
        <v>11</v>
      </c>
      <c r="X870" s="133"/>
      <c r="Y870" s="76">
        <v>25</v>
      </c>
      <c r="Z870" s="114">
        <v>6300</v>
      </c>
      <c r="AA870" s="114">
        <f t="shared" ref="AA870:AA873" si="230">Y870*Z870</f>
        <v>157500</v>
      </c>
      <c r="AB870" s="114"/>
      <c r="AC870" s="114"/>
      <c r="AD870" s="140"/>
      <c r="AE870" s="114"/>
      <c r="AF870" s="114"/>
      <c r="AG870" s="114"/>
      <c r="AH870" s="114"/>
      <c r="AM870" s="114"/>
      <c r="AN870" s="114">
        <f>800000+5423.4</f>
        <v>805423.4</v>
      </c>
      <c r="AQ870" s="746">
        <f t="shared" ref="AQ870:AQ873" si="231">V870</f>
        <v>46183</v>
      </c>
      <c r="AR870" s="387">
        <f t="shared" ref="AR870:AR873" si="232">V870-30</f>
        <v>46153</v>
      </c>
      <c r="AS870" s="387"/>
      <c r="AT870" s="387"/>
      <c r="AW870" s="387"/>
      <c r="AX870" s="129"/>
      <c r="AY870" s="114"/>
      <c r="AZ870" s="127"/>
      <c r="BA870" s="127"/>
      <c r="BB870" s="127"/>
      <c r="BC870" s="127"/>
      <c r="BI870" s="75"/>
      <c r="BJ870" s="91"/>
      <c r="BL870" s="76" t="str">
        <f t="shared" si="221"/>
        <v>TJTW-125</v>
      </c>
      <c r="BM870" s="76" t="str">
        <f t="shared" si="222"/>
        <v>KALMETA</v>
      </c>
      <c r="BO870" s="76" t="str">
        <f t="shared" ref="BO870:BO875" si="233">E870</f>
        <v>0.17*818*913 T4 2.8/2.8   VARNISHED</v>
      </c>
      <c r="BP870" s="129">
        <f t="shared" si="224"/>
        <v>25</v>
      </c>
      <c r="BQ870" s="387">
        <f t="shared" si="225"/>
        <v>46172</v>
      </c>
    </row>
    <row r="871" s="76" customFormat="1" customHeight="1" spans="1:69 16378:16379">
      <c r="A871" s="76" t="s">
        <v>933</v>
      </c>
      <c r="B871" s="76" t="s">
        <v>456</v>
      </c>
      <c r="C871" s="387"/>
      <c r="D871" s="76" t="s">
        <v>1077</v>
      </c>
      <c r="E871" s="76" t="s">
        <v>1080</v>
      </c>
      <c r="G871" s="479"/>
      <c r="H871" s="76" t="s">
        <v>93</v>
      </c>
      <c r="J871" s="129">
        <v>50</v>
      </c>
      <c r="K871" s="129">
        <f t="shared" si="227"/>
        <v>6350</v>
      </c>
      <c r="L871" s="129">
        <f t="shared" si="226"/>
        <v>317500</v>
      </c>
      <c r="M871" s="129"/>
      <c r="N871" s="76">
        <v>47585.26</v>
      </c>
      <c r="P871" s="91"/>
      <c r="Q871" s="91"/>
      <c r="R871" s="76" t="s">
        <v>88</v>
      </c>
      <c r="S871" s="76" t="s">
        <v>1079</v>
      </c>
      <c r="T871" s="387">
        <v>46112</v>
      </c>
      <c r="U871" s="387">
        <f t="shared" si="228"/>
        <v>46172</v>
      </c>
      <c r="V871" s="387">
        <v>46183</v>
      </c>
      <c r="W871" s="76">
        <f t="shared" si="229"/>
        <v>11</v>
      </c>
      <c r="X871" s="133"/>
      <c r="Y871" s="76">
        <v>50</v>
      </c>
      <c r="Z871" s="114">
        <v>6100</v>
      </c>
      <c r="AA871" s="114">
        <f t="shared" si="230"/>
        <v>305000</v>
      </c>
      <c r="AB871" s="114"/>
      <c r="AC871" s="114"/>
      <c r="AD871" s="140"/>
      <c r="AE871" s="114"/>
      <c r="AF871" s="114"/>
      <c r="AG871" s="114"/>
      <c r="AH871" s="114"/>
      <c r="AM871" s="114"/>
      <c r="AN871" s="114">
        <v>47585.26</v>
      </c>
      <c r="AQ871" s="746">
        <f t="shared" si="231"/>
        <v>46183</v>
      </c>
      <c r="AR871" s="387">
        <f t="shared" si="232"/>
        <v>46153</v>
      </c>
      <c r="AS871" s="387"/>
      <c r="AT871" s="387"/>
      <c r="AW871" s="387"/>
      <c r="AX871" s="129"/>
      <c r="AY871" s="114"/>
      <c r="AZ871" s="127"/>
      <c r="BA871" s="127"/>
      <c r="BB871" s="127"/>
      <c r="BC871" s="127"/>
      <c r="BI871" s="75"/>
      <c r="BJ871" s="91"/>
      <c r="BL871" s="76" t="str">
        <f t="shared" si="221"/>
        <v>TJTW-125</v>
      </c>
      <c r="BM871" s="76" t="str">
        <f t="shared" si="222"/>
        <v>KALMETA</v>
      </c>
      <c r="BO871" s="76" t="str">
        <f t="shared" si="233"/>
        <v>0.18*900*712 T3 2.8/2.8    VARNISHED</v>
      </c>
      <c r="BP871" s="129">
        <f t="shared" si="224"/>
        <v>50</v>
      </c>
      <c r="BQ871" s="387">
        <f t="shared" si="225"/>
        <v>46172</v>
      </c>
    </row>
    <row r="872" s="76" customFormat="1" customHeight="1" spans="1:69 16378:16379">
      <c r="A872" s="76" t="s">
        <v>933</v>
      </c>
      <c r="B872" s="76" t="s">
        <v>456</v>
      </c>
      <c r="C872" s="387"/>
      <c r="D872" s="76" t="s">
        <v>1077</v>
      </c>
      <c r="E872" s="76" t="s">
        <v>1081</v>
      </c>
      <c r="G872" s="479"/>
      <c r="H872" s="76" t="s">
        <v>93</v>
      </c>
      <c r="J872" s="129">
        <v>180</v>
      </c>
      <c r="K872" s="129">
        <f t="shared" si="227"/>
        <v>6550</v>
      </c>
      <c r="L872" s="129">
        <f t="shared" si="226"/>
        <v>1179000</v>
      </c>
      <c r="M872" s="129"/>
      <c r="N872" s="76">
        <v>564375.14</v>
      </c>
      <c r="P872" s="91"/>
      <c r="Q872" s="91"/>
      <c r="R872" s="76" t="s">
        <v>88</v>
      </c>
      <c r="S872" s="76" t="s">
        <v>1079</v>
      </c>
      <c r="T872" s="387">
        <v>46112</v>
      </c>
      <c r="U872" s="387">
        <f t="shared" si="228"/>
        <v>46172</v>
      </c>
      <c r="V872" s="387">
        <v>46183</v>
      </c>
      <c r="W872" s="76">
        <f t="shared" si="229"/>
        <v>11</v>
      </c>
      <c r="X872" s="133"/>
      <c r="Y872" s="76">
        <v>180</v>
      </c>
      <c r="Z872" s="114">
        <v>6300</v>
      </c>
      <c r="AA872" s="114">
        <f t="shared" si="230"/>
        <v>1134000</v>
      </c>
      <c r="AB872" s="114"/>
      <c r="AC872" s="114"/>
      <c r="AD872" s="140"/>
      <c r="AE872" s="114"/>
      <c r="AF872" s="114"/>
      <c r="AG872" s="114"/>
      <c r="AH872" s="114"/>
      <c r="AM872" s="114"/>
      <c r="AN872" s="114">
        <v>564375.14</v>
      </c>
      <c r="AQ872" s="746">
        <f t="shared" si="231"/>
        <v>46183</v>
      </c>
      <c r="AR872" s="387">
        <f t="shared" si="232"/>
        <v>46153</v>
      </c>
      <c r="AS872" s="387"/>
      <c r="AT872" s="387"/>
      <c r="AW872" s="387"/>
      <c r="AX872" s="129"/>
      <c r="AY872" s="114"/>
      <c r="AZ872" s="127"/>
      <c r="BA872" s="127"/>
      <c r="BB872" s="127"/>
      <c r="BC872" s="127"/>
      <c r="BI872" s="75"/>
      <c r="BJ872" s="91"/>
      <c r="BL872" s="76" t="str">
        <f t="shared" si="221"/>
        <v>TJTW-125</v>
      </c>
      <c r="BM872" s="76" t="str">
        <f t="shared" si="222"/>
        <v>KALMETA</v>
      </c>
      <c r="BO872" s="76" t="str">
        <f t="shared" si="233"/>
        <v>0.17*905*836.5 T4 2.8/2.8   VARNISHED</v>
      </c>
      <c r="BP872" s="129">
        <f t="shared" si="224"/>
        <v>180</v>
      </c>
      <c r="BQ872" s="387">
        <f t="shared" si="225"/>
        <v>46172</v>
      </c>
    </row>
    <row r="873" s="76" customFormat="1" customHeight="1" spans="1:69 16378:16379">
      <c r="A873" s="76" t="s">
        <v>590</v>
      </c>
      <c r="B873" s="76" t="s">
        <v>456</v>
      </c>
      <c r="C873" s="387"/>
      <c r="D873" s="76" t="s">
        <v>1077</v>
      </c>
      <c r="E873" s="76" t="s">
        <v>1082</v>
      </c>
      <c r="G873" s="479"/>
      <c r="H873" s="76" t="s">
        <v>93</v>
      </c>
      <c r="J873" s="129">
        <v>80</v>
      </c>
      <c r="K873" s="129">
        <f t="shared" si="227"/>
        <v>6350</v>
      </c>
      <c r="L873" s="129">
        <f t="shared" si="226"/>
        <v>508000</v>
      </c>
      <c r="M873" s="129"/>
      <c r="N873" s="114">
        <v>178618.5</v>
      </c>
      <c r="P873" s="91"/>
      <c r="Q873" s="91"/>
      <c r="R873" s="76" t="s">
        <v>88</v>
      </c>
      <c r="S873" s="76" t="s">
        <v>1079</v>
      </c>
      <c r="T873" s="387">
        <v>46112</v>
      </c>
      <c r="U873" s="387">
        <f t="shared" si="228"/>
        <v>46172</v>
      </c>
      <c r="V873" s="387">
        <v>46183</v>
      </c>
      <c r="W873" s="76">
        <f t="shared" si="229"/>
        <v>11</v>
      </c>
      <c r="X873" s="133"/>
      <c r="Y873" s="76">
        <v>80</v>
      </c>
      <c r="Z873" s="114">
        <v>6100</v>
      </c>
      <c r="AA873" s="114">
        <f t="shared" si="230"/>
        <v>488000</v>
      </c>
      <c r="AB873" s="114"/>
      <c r="AC873" s="114"/>
      <c r="AD873" s="140"/>
      <c r="AE873" s="114"/>
      <c r="AF873" s="114"/>
      <c r="AG873" s="114"/>
      <c r="AH873" s="114"/>
      <c r="AM873" s="114"/>
      <c r="AN873" s="114">
        <v>178618.5</v>
      </c>
      <c r="AQ873" s="746">
        <f t="shared" si="231"/>
        <v>46183</v>
      </c>
      <c r="AR873" s="387">
        <f t="shared" si="232"/>
        <v>46153</v>
      </c>
      <c r="AS873" s="387"/>
      <c r="AT873" s="387"/>
      <c r="AW873" s="387"/>
      <c r="AX873" s="129"/>
      <c r="AY873" s="114"/>
      <c r="AZ873" s="127"/>
      <c r="BA873" s="127"/>
      <c r="BB873" s="127"/>
      <c r="BC873" s="127"/>
      <c r="BI873" s="75"/>
      <c r="BJ873" s="91"/>
      <c r="BL873" s="76" t="str">
        <f t="shared" si="221"/>
        <v>TJTW-125</v>
      </c>
      <c r="BM873" s="76" t="str">
        <f t="shared" si="222"/>
        <v>ATL</v>
      </c>
      <c r="BO873" s="76" t="str">
        <f t="shared" si="233"/>
        <v>0.18*905*669 T4 2.8/2.8</v>
      </c>
      <c r="BP873" s="129">
        <f t="shared" si="224"/>
        <v>80</v>
      </c>
      <c r="BQ873" s="387">
        <f t="shared" si="225"/>
        <v>46172</v>
      </c>
    </row>
    <row r="874" s="79" customFormat="1" customHeight="1" spans="1:69 16378:16379">
      <c r="A874" s="79" t="s">
        <v>933</v>
      </c>
      <c r="C874" s="463"/>
      <c r="D874" s="79" t="s">
        <v>1077</v>
      </c>
      <c r="G874" s="486"/>
      <c r="J874" s="194">
        <f>SUM(J870:J873)</f>
        <v>335</v>
      </c>
      <c r="K874" s="194"/>
      <c r="L874" s="748">
        <f>SUM(L870:L873)</f>
        <v>2168250</v>
      </c>
      <c r="M874" s="194"/>
      <c r="R874" s="463" t="s">
        <v>88</v>
      </c>
      <c r="T874" s="463"/>
      <c r="U874" s="463"/>
      <c r="V874" s="463"/>
      <c r="X874" s="193"/>
      <c r="Y874" s="194">
        <f>SUM(Y870:Y873)</f>
        <v>335</v>
      </c>
      <c r="Z874" s="192"/>
      <c r="AA874" s="192">
        <f>SUM(AA870:AA873)</f>
        <v>2084500</v>
      </c>
      <c r="AB874" s="192"/>
      <c r="AC874" s="192"/>
      <c r="AD874" s="196"/>
      <c r="AE874" s="192"/>
      <c r="AF874" s="192"/>
      <c r="AG874" s="192"/>
      <c r="AH874" s="192"/>
      <c r="AM874" s="192"/>
      <c r="AN874" s="192"/>
      <c r="AQ874" s="463"/>
      <c r="AR874" s="463"/>
      <c r="AS874" s="463"/>
      <c r="AT874" s="463"/>
      <c r="AW874" s="463"/>
      <c r="AX874" s="194"/>
      <c r="AY874" s="192"/>
      <c r="AZ874" s="150"/>
      <c r="BA874" s="150"/>
      <c r="BB874" s="150"/>
      <c r="BC874" s="150"/>
      <c r="BI874" s="151"/>
      <c r="BL874" s="79" t="str">
        <f t="shared" si="221"/>
        <v>TJTW-125</v>
      </c>
      <c r="BM874" s="79" t="str">
        <f t="shared" si="222"/>
        <v>KALMETA</v>
      </c>
      <c r="BO874" s="79">
        <f t="shared" si="233"/>
        <v>0</v>
      </c>
      <c r="BP874" s="194">
        <f t="shared" si="224"/>
        <v>335</v>
      </c>
      <c r="BQ874" s="463">
        <f t="shared" si="225"/>
        <v>0</v>
      </c>
    </row>
    <row r="875" s="76" customFormat="1" customHeight="1" spans="1:69 16378:16379">
      <c r="A875" s="76" t="s">
        <v>571</v>
      </c>
      <c r="B875" s="76" t="s">
        <v>922</v>
      </c>
      <c r="C875" s="387"/>
      <c r="D875" s="76" t="s">
        <v>1083</v>
      </c>
      <c r="E875" s="76" t="s">
        <v>1084</v>
      </c>
      <c r="G875" s="479"/>
      <c r="H875" s="76" t="s">
        <v>93</v>
      </c>
      <c r="J875" s="264">
        <v>1026000</v>
      </c>
      <c r="K875" s="259">
        <v>0.2803</v>
      </c>
      <c r="L875" s="129">
        <f>J875*K875</f>
        <v>287587.8</v>
      </c>
      <c r="M875" s="129"/>
      <c r="N875" s="76">
        <v>287587.8</v>
      </c>
      <c r="P875" s="91"/>
      <c r="Q875" s="91"/>
      <c r="R875" s="76" t="s">
        <v>1085</v>
      </c>
      <c r="S875" s="76" t="s">
        <v>1086</v>
      </c>
      <c r="T875" s="387">
        <v>46174</v>
      </c>
      <c r="U875" s="387">
        <f>T875+25</f>
        <v>46199</v>
      </c>
      <c r="V875" s="387">
        <v>46203</v>
      </c>
      <c r="W875" s="76">
        <f>V875-U875</f>
        <v>4</v>
      </c>
      <c r="X875" s="133"/>
      <c r="Y875" s="76">
        <v>1026000</v>
      </c>
      <c r="Z875" s="140">
        <v>0.307</v>
      </c>
      <c r="AA875" s="114">
        <f>Y875*Z875</f>
        <v>314982</v>
      </c>
      <c r="AB875" s="114">
        <v>141588</v>
      </c>
      <c r="AC875" s="114">
        <f>AA875-AB875</f>
        <v>173394</v>
      </c>
      <c r="AD875" s="140"/>
      <c r="AE875" s="114"/>
      <c r="AF875" s="114"/>
      <c r="AG875" s="114"/>
      <c r="AH875" s="114"/>
      <c r="AM875" s="114"/>
      <c r="AN875" s="76">
        <v>287587.8</v>
      </c>
      <c r="AQ875" s="387">
        <f>U875-30</f>
        <v>46169</v>
      </c>
      <c r="AR875" s="387">
        <f>V875-30</f>
        <v>46173</v>
      </c>
      <c r="AS875" s="387"/>
      <c r="AT875" s="387"/>
      <c r="AW875" s="387"/>
      <c r="AX875" s="129"/>
      <c r="AY875" s="114"/>
      <c r="AZ875" s="127"/>
      <c r="BA875" s="127"/>
      <c r="BB875" s="127"/>
      <c r="BC875" s="127"/>
      <c r="BI875" s="75"/>
      <c r="BJ875" s="91"/>
      <c r="BL875" s="76" t="str">
        <f t="shared" si="221"/>
        <v>TJTW-84</v>
      </c>
      <c r="BM875" s="76" t="str">
        <f t="shared" si="222"/>
        <v>PLsk</v>
      </c>
      <c r="BO875" s="76" t="str">
        <f t="shared" si="233"/>
        <v>99 Peel-off Lids</v>
      </c>
      <c r="BP875" s="129">
        <f t="shared" si="224"/>
        <v>1026000</v>
      </c>
      <c r="BQ875" s="387">
        <f t="shared" si="225"/>
        <v>46199</v>
      </c>
    </row>
    <row r="876" s="76" customFormat="1" customHeight="1" spans="1:69 16378:16379">
      <c r="A876" s="76" t="s">
        <v>571</v>
      </c>
      <c r="B876" s="76" t="s">
        <v>922</v>
      </c>
      <c r="C876" s="387"/>
      <c r="D876" s="76" t="s">
        <v>1083</v>
      </c>
      <c r="E876" s="76" t="s">
        <v>1087</v>
      </c>
      <c r="G876" s="479"/>
      <c r="H876" s="76" t="s">
        <v>93</v>
      </c>
      <c r="J876" s="264">
        <v>1026000</v>
      </c>
      <c r="K876" s="259">
        <v>0.144</v>
      </c>
      <c r="L876" s="129">
        <f>J876*K876</f>
        <v>147744</v>
      </c>
      <c r="M876" s="129"/>
      <c r="N876" s="76">
        <v>147744</v>
      </c>
      <c r="P876" s="91"/>
      <c r="Q876" s="91"/>
      <c r="R876" s="76" t="s">
        <v>1085</v>
      </c>
      <c r="S876" s="76" t="s">
        <v>1086</v>
      </c>
      <c r="T876" s="387">
        <v>46174</v>
      </c>
      <c r="U876" s="387">
        <f>T876+25</f>
        <v>46199</v>
      </c>
      <c r="V876" s="387">
        <v>46203</v>
      </c>
      <c r="W876" s="76">
        <f>V876-U876</f>
        <v>4</v>
      </c>
      <c r="X876" s="133"/>
      <c r="Y876" s="76">
        <v>1026000</v>
      </c>
      <c r="Z876" s="140">
        <v>0.153</v>
      </c>
      <c r="AA876" s="114">
        <f>Y876*Z876</f>
        <v>156978</v>
      </c>
      <c r="AB876" s="114"/>
      <c r="AC876" s="114">
        <f>AA876-AB876</f>
        <v>156978</v>
      </c>
      <c r="AD876" s="140"/>
      <c r="AE876" s="114"/>
      <c r="AF876" s="114"/>
      <c r="AG876" s="114"/>
      <c r="AH876" s="114"/>
      <c r="AM876" s="114"/>
      <c r="AN876" s="76">
        <v>147744</v>
      </c>
      <c r="AQ876" s="387"/>
      <c r="AR876" s="387"/>
      <c r="AS876" s="387"/>
      <c r="AT876" s="387"/>
      <c r="AW876" s="387"/>
      <c r="AX876" s="129"/>
      <c r="AY876" s="114"/>
      <c r="AZ876" s="127"/>
      <c r="BA876" s="127"/>
      <c r="BB876" s="127"/>
      <c r="BC876" s="127"/>
      <c r="BI876" s="75"/>
      <c r="BJ876" s="91"/>
      <c r="BP876" s="129"/>
      <c r="BQ876" s="387"/>
    </row>
    <row r="877" s="79" customFormat="1" customHeight="1" spans="1:69 16378:16379">
      <c r="A877" s="79" t="s">
        <v>571</v>
      </c>
      <c r="C877" s="463"/>
      <c r="D877" s="79" t="s">
        <v>1083</v>
      </c>
      <c r="G877" s="486"/>
      <c r="H877" s="79" t="s">
        <v>93</v>
      </c>
      <c r="J877" s="579">
        <f>SUM(J875:J876)</f>
        <v>2052000</v>
      </c>
      <c r="K877" s="194"/>
      <c r="L877" s="748">
        <f>SUM(L875:L876)</f>
        <v>435331.8</v>
      </c>
      <c r="M877" s="194"/>
      <c r="N877" s="79">
        <f>SUM(N875:N876)</f>
        <v>435331.8</v>
      </c>
      <c r="T877" s="463"/>
      <c r="U877" s="463"/>
      <c r="V877" s="463"/>
      <c r="X877" s="193"/>
      <c r="Y877" s="79">
        <f t="shared" ref="Y877:AC877" si="234">SUM(Y875:Y876)</f>
        <v>2052000</v>
      </c>
      <c r="Z877" s="192"/>
      <c r="AA877" s="79">
        <f t="shared" si="234"/>
        <v>471960</v>
      </c>
      <c r="AB877" s="79">
        <f t="shared" si="234"/>
        <v>141588</v>
      </c>
      <c r="AC877" s="79">
        <f t="shared" si="234"/>
        <v>330372</v>
      </c>
      <c r="AD877" s="196"/>
      <c r="AE877" s="192"/>
      <c r="AF877" s="192"/>
      <c r="AG877" s="192"/>
      <c r="AH877" s="192"/>
      <c r="AM877" s="192"/>
      <c r="AN877" s="192"/>
      <c r="AQ877" s="463"/>
      <c r="AR877" s="463"/>
      <c r="AS877" s="463"/>
      <c r="AT877" s="463"/>
      <c r="AW877" s="463"/>
      <c r="AX877" s="194"/>
      <c r="AY877" s="192"/>
      <c r="AZ877" s="150"/>
      <c r="BA877" s="150"/>
      <c r="BB877" s="150"/>
      <c r="BC877" s="150"/>
      <c r="BI877" s="151"/>
      <c r="BL877" s="79" t="str">
        <f>D877</f>
        <v>TJTW-84</v>
      </c>
      <c r="BM877" s="79" t="str">
        <f>A877</f>
        <v>PLsk</v>
      </c>
      <c r="BP877" s="79">
        <f>J877</f>
        <v>2052000</v>
      </c>
      <c r="BQ877" s="79">
        <f>U877</f>
        <v>0</v>
      </c>
    </row>
    <row r="878" s="76" customFormat="1" ht="43.2" spans="1:69 16378:16379">
      <c r="A878" s="76" t="s">
        <v>414</v>
      </c>
      <c r="C878" s="387"/>
      <c r="D878" s="76" t="s">
        <v>1088</v>
      </c>
      <c r="E878" s="113" t="s">
        <v>1089</v>
      </c>
      <c r="G878" s="479"/>
      <c r="H878" s="76" t="s">
        <v>75</v>
      </c>
      <c r="J878" s="129">
        <v>17</v>
      </c>
      <c r="K878" s="129">
        <v>5950</v>
      </c>
      <c r="L878" s="129">
        <f>J878*K878</f>
        <v>101150</v>
      </c>
      <c r="M878" s="129"/>
      <c r="N878" s="76">
        <v>101517</v>
      </c>
      <c r="P878" s="91"/>
      <c r="Q878" s="91"/>
      <c r="R878" s="76" t="s">
        <v>1090</v>
      </c>
      <c r="S878" s="76" t="s">
        <v>1091</v>
      </c>
      <c r="T878" s="387">
        <v>46110</v>
      </c>
      <c r="U878" s="387">
        <v>46124</v>
      </c>
      <c r="V878" s="387">
        <v>46142</v>
      </c>
      <c r="W878" s="76">
        <f>V878-U878</f>
        <v>18</v>
      </c>
      <c r="X878" s="133"/>
      <c r="Y878" s="76">
        <v>17</v>
      </c>
      <c r="Z878" s="114">
        <v>4970</v>
      </c>
      <c r="AA878" s="114">
        <f>Z878*Y878</f>
        <v>84490</v>
      </c>
      <c r="AB878" s="114"/>
      <c r="AC878" s="114"/>
      <c r="AD878" s="140"/>
      <c r="AE878" s="114"/>
      <c r="AF878" s="114"/>
      <c r="AG878" s="114"/>
      <c r="AH878" s="114"/>
      <c r="AK878" s="76">
        <v>16.944</v>
      </c>
      <c r="AL878" s="76">
        <v>6175</v>
      </c>
      <c r="AM878" s="114">
        <f>AK878*AL878</f>
        <v>104629.2</v>
      </c>
      <c r="AN878" s="114">
        <v>101517</v>
      </c>
      <c r="AQ878" s="746">
        <f>V878</f>
        <v>46142</v>
      </c>
      <c r="AR878" s="387">
        <f>V878-30</f>
        <v>46112</v>
      </c>
      <c r="AS878" s="387"/>
      <c r="AT878" s="387"/>
      <c r="AW878" s="387"/>
      <c r="AX878" s="129"/>
      <c r="AY878" s="114"/>
      <c r="AZ878" s="127"/>
      <c r="BA878" s="127"/>
      <c r="BB878" s="127"/>
      <c r="BC878" s="127"/>
      <c r="BI878" s="75"/>
      <c r="BJ878" s="91"/>
      <c r="BL878" s="76" t="str">
        <f>E878</f>
        <v>Лента холоднокатаная оцинкованная 0,55 мм 22,0 м
冷轧镀锌钢带</v>
      </c>
      <c r="BM878" s="76" t="str">
        <f>A878</f>
        <v>ICE</v>
      </c>
      <c r="BO878" s="76" t="e">
        <f>#REF!</f>
        <v>#REF!</v>
      </c>
      <c r="BP878" s="129">
        <f>J878</f>
        <v>17</v>
      </c>
      <c r="BQ878" s="387">
        <f>U878</f>
        <v>46124</v>
      </c>
    </row>
    <row r="879" s="79" customFormat="1" customHeight="1" spans="1:69 16378:16379">
      <c r="A879" s="79" t="s">
        <v>414</v>
      </c>
      <c r="C879" s="463"/>
      <c r="D879" s="79" t="s">
        <v>1088</v>
      </c>
      <c r="G879" s="486"/>
      <c r="H879" s="422" t="s">
        <v>75</v>
      </c>
      <c r="J879" s="579">
        <f>SUM(J878)</f>
        <v>17</v>
      </c>
      <c r="K879" s="194"/>
      <c r="L879" s="748">
        <f>SUM(L878)</f>
        <v>101150</v>
      </c>
      <c r="M879" s="194"/>
      <c r="N879" s="79">
        <f>SUM(N878:N878)</f>
        <v>101517</v>
      </c>
      <c r="T879" s="463"/>
      <c r="U879" s="463"/>
      <c r="V879" s="463"/>
      <c r="X879" s="193"/>
      <c r="Y879" s="79">
        <f>SUM(Y878)</f>
        <v>17</v>
      </c>
      <c r="Z879" s="192"/>
      <c r="AA879" s="79">
        <f>SUM(AA878)</f>
        <v>84490</v>
      </c>
      <c r="AB879" s="192"/>
      <c r="AC879" s="192"/>
      <c r="AD879" s="196"/>
      <c r="AE879" s="192"/>
      <c r="AF879" s="192"/>
      <c r="AG879" s="192"/>
      <c r="AH879" s="192"/>
      <c r="AM879" s="192"/>
      <c r="AN879" s="192"/>
      <c r="AQ879" s="463"/>
      <c r="AR879" s="463"/>
      <c r="AS879" s="463"/>
      <c r="AT879" s="463"/>
      <c r="AW879" s="463"/>
      <c r="AX879" s="194"/>
      <c r="AY879" s="192"/>
      <c r="AZ879" s="150"/>
      <c r="BA879" s="150"/>
      <c r="BB879" s="150"/>
      <c r="BC879" s="150"/>
      <c r="BI879" s="151"/>
      <c r="BL879" s="79" t="str">
        <f>D879</f>
        <v>NBE-12</v>
      </c>
      <c r="BM879" s="79" t="str">
        <f>A879</f>
        <v>ICE</v>
      </c>
      <c r="BP879" s="79">
        <f>J879</f>
        <v>17</v>
      </c>
      <c r="BQ879" s="79">
        <f>U879</f>
        <v>0</v>
      </c>
    </row>
    <row r="880" s="76" customFormat="1" customHeight="1" spans="1:69 16378:16379">
      <c r="A880" s="76" t="s">
        <v>414</v>
      </c>
      <c r="C880" s="387"/>
      <c r="D880" s="190" t="s">
        <v>1092</v>
      </c>
      <c r="E880" s="190" t="s">
        <v>1093</v>
      </c>
      <c r="G880" s="479"/>
      <c r="H880" s="76" t="s">
        <v>75</v>
      </c>
      <c r="J880" s="190">
        <v>60</v>
      </c>
      <c r="K880" s="190">
        <v>6760</v>
      </c>
      <c r="L880" s="114">
        <f>J880*K880</f>
        <v>405600</v>
      </c>
      <c r="M880" s="127"/>
      <c r="N880" s="76">
        <v>247035.704</v>
      </c>
      <c r="P880" s="91"/>
      <c r="Q880" s="91"/>
      <c r="R880" s="76" t="s">
        <v>88</v>
      </c>
      <c r="S880" s="76" t="s">
        <v>1094</v>
      </c>
      <c r="T880" s="387">
        <v>46121</v>
      </c>
      <c r="U880" s="387">
        <f>T880+60</f>
        <v>46181</v>
      </c>
      <c r="V880" s="387">
        <v>46171</v>
      </c>
      <c r="W880" s="76">
        <f t="shared" ref="W880:W890" si="235">V880-U880</f>
        <v>-10</v>
      </c>
      <c r="X880" s="133"/>
      <c r="Y880" s="190">
        <v>40</v>
      </c>
      <c r="Z880" s="114">
        <v>5570</v>
      </c>
      <c r="AA880" s="114">
        <f>Y880*Z880</f>
        <v>222800</v>
      </c>
      <c r="AB880" s="114"/>
      <c r="AC880" s="114"/>
      <c r="AD880" s="140"/>
      <c r="AE880" s="114"/>
      <c r="AF880" s="114"/>
      <c r="AG880" s="114"/>
      <c r="AH880" s="114"/>
      <c r="AM880" s="114"/>
      <c r="AN880" s="114">
        <v>247035.7</v>
      </c>
      <c r="AQ880" s="746">
        <f>V880</f>
        <v>46171</v>
      </c>
      <c r="AR880" s="387">
        <f>V880-30</f>
        <v>46141</v>
      </c>
      <c r="AS880" s="387"/>
      <c r="AT880" s="387"/>
      <c r="AW880" s="387"/>
      <c r="AX880" s="129"/>
      <c r="AY880" s="114"/>
      <c r="AZ880" s="127"/>
      <c r="BA880" s="127"/>
      <c r="BB880" s="127"/>
      <c r="BC880" s="127"/>
      <c r="BI880" s="75"/>
      <c r="BJ880" s="91"/>
      <c r="BL880" s="76" t="str">
        <f>D880</f>
        <v>NBE-13</v>
      </c>
      <c r="BM880" s="76" t="str">
        <f>A880</f>
        <v>ICE</v>
      </c>
      <c r="BN880" s="76">
        <f>C880</f>
        <v>0</v>
      </c>
      <c r="BO880" s="76" t="str">
        <f>E880</f>
        <v>0,23x905x720 1.5/1.5 T3 with lamination</v>
      </c>
      <c r="BP880" s="129">
        <f>J880</f>
        <v>60</v>
      </c>
      <c r="BQ880" s="387">
        <f>U880</f>
        <v>46181</v>
      </c>
    </row>
    <row r="881" s="422" customFormat="1" ht="14.4" spans="1:69 16378:16379">
      <c r="A881" s="422" t="s">
        <v>414</v>
      </c>
      <c r="C881" s="619"/>
      <c r="D881" s="422" t="s">
        <v>1092</v>
      </c>
      <c r="G881" s="686"/>
      <c r="H881" s="422" t="s">
        <v>75</v>
      </c>
      <c r="J881" s="687">
        <f>SUM(J880:J880)</f>
        <v>60</v>
      </c>
      <c r="K881" s="687"/>
      <c r="L881" s="687">
        <f>SUM(L880:L880)</f>
        <v>405600</v>
      </c>
      <c r="M881" s="693">
        <f>SUM(M874:M880)</f>
        <v>0</v>
      </c>
      <c r="N881" s="693">
        <f>SUM(N874:N880)</f>
        <v>1320733.304</v>
      </c>
      <c r="O881" s="687">
        <f>SUM(O874:O880)</f>
        <v>0</v>
      </c>
      <c r="R881" s="79" t="s">
        <v>88</v>
      </c>
      <c r="T881" s="688"/>
      <c r="U881" s="688"/>
      <c r="V881" s="688"/>
      <c r="X881" s="689"/>
      <c r="Y881" s="687">
        <f>SUM(Y880:Y880)</f>
        <v>40</v>
      </c>
      <c r="Z881" s="690"/>
      <c r="AA881" s="687">
        <f>SUM(AA880:AA880)</f>
        <v>222800</v>
      </c>
      <c r="AB881" s="690"/>
      <c r="AC881" s="690"/>
      <c r="AD881" s="692"/>
      <c r="AE881" s="690"/>
      <c r="AF881" s="690"/>
      <c r="AG881" s="690"/>
      <c r="AH881" s="690"/>
      <c r="AM881" s="690"/>
      <c r="AN881" s="690"/>
      <c r="AQ881" s="619"/>
      <c r="AR881" s="619"/>
      <c r="AS881" s="688"/>
      <c r="AT881" s="688"/>
      <c r="AW881" s="688"/>
      <c r="AX881" s="687"/>
      <c r="AY881" s="690"/>
      <c r="AZ881" s="693"/>
      <c r="BA881" s="693"/>
      <c r="BB881" s="693"/>
      <c r="BC881" s="693"/>
      <c r="BI881" s="743"/>
    </row>
    <row r="882" s="76" customFormat="1" customHeight="1" spans="1:69 16378:16379">
      <c r="A882" s="76" t="s">
        <v>365</v>
      </c>
      <c r="B882" s="76" t="s">
        <v>440</v>
      </c>
      <c r="C882" s="387" t="s">
        <v>1095</v>
      </c>
      <c r="D882" s="76" t="s">
        <v>1096</v>
      </c>
      <c r="E882" s="76" t="s">
        <v>1060</v>
      </c>
      <c r="G882" s="479"/>
      <c r="H882" s="76" t="s">
        <v>93</v>
      </c>
      <c r="J882" s="129">
        <v>100</v>
      </c>
      <c r="K882" s="129">
        <f>Z882+340</f>
        <v>6225</v>
      </c>
      <c r="L882" s="129">
        <f>J882*K882</f>
        <v>622500</v>
      </c>
      <c r="M882" s="129"/>
      <c r="N882" s="76">
        <f>92925+400000</f>
        <v>492925</v>
      </c>
      <c r="P882" s="91"/>
      <c r="Q882" s="91"/>
      <c r="R882" s="76" t="s">
        <v>66</v>
      </c>
      <c r="S882" s="76" t="s">
        <v>1097</v>
      </c>
      <c r="T882" s="387">
        <v>46125</v>
      </c>
      <c r="U882" s="387">
        <f>T882+45</f>
        <v>46170</v>
      </c>
      <c r="V882" s="387">
        <v>46188</v>
      </c>
      <c r="W882" s="76">
        <f t="shared" si="235"/>
        <v>18</v>
      </c>
      <c r="X882" s="133"/>
      <c r="Y882" s="76">
        <v>108</v>
      </c>
      <c r="Z882" s="76">
        <v>5885</v>
      </c>
      <c r="AA882" s="114">
        <f>Y882*Z882</f>
        <v>635580</v>
      </c>
      <c r="AB882" s="114">
        <v>94851</v>
      </c>
      <c r="AC882" s="114"/>
      <c r="AD882" s="140"/>
      <c r="AE882" s="114"/>
      <c r="AF882" s="114"/>
      <c r="AG882" s="114"/>
      <c r="AH882" s="114"/>
      <c r="AM882" s="114"/>
      <c r="AN882" s="76">
        <v>92925</v>
      </c>
      <c r="AQ882" s="746">
        <f>V882</f>
        <v>46188</v>
      </c>
      <c r="AR882" s="387">
        <f t="shared" ref="AR882:AR889" si="236">V882-30</f>
        <v>46158</v>
      </c>
      <c r="AS882" s="387"/>
      <c r="AT882" s="387"/>
      <c r="AW882" s="387"/>
      <c r="AX882" s="129"/>
      <c r="AY882" s="114"/>
      <c r="AZ882" s="127"/>
      <c r="BA882" s="127"/>
      <c r="BB882" s="127"/>
      <c r="BC882" s="127"/>
      <c r="BI882" s="75"/>
      <c r="BJ882" s="91"/>
      <c r="BL882" s="76" t="str">
        <f>D882</f>
        <v>TJTW-126</v>
      </c>
      <c r="BM882" s="76" t="str">
        <f>A882</f>
        <v>PLK</v>
      </c>
      <c r="BO882" s="76" t="str">
        <f>E882</f>
        <v>0.16*892*Coil 2.0/2.0, T4 Stone, BA "eye to Sky"</v>
      </c>
      <c r="BP882" s="129">
        <f>J882</f>
        <v>100</v>
      </c>
      <c r="BQ882" s="387">
        <f>U882</f>
        <v>46170</v>
      </c>
    </row>
    <row r="883" s="76" customFormat="1" customHeight="1" spans="1:69 16378:16379">
      <c r="A883" s="76" t="s">
        <v>365</v>
      </c>
      <c r="B883" s="76" t="s">
        <v>440</v>
      </c>
      <c r="C883" s="387" t="s">
        <v>1098</v>
      </c>
      <c r="D883" s="76" t="s">
        <v>1096</v>
      </c>
      <c r="E883" s="76" t="s">
        <v>1063</v>
      </c>
      <c r="G883" s="479"/>
      <c r="H883" s="76" t="s">
        <v>93</v>
      </c>
      <c r="J883" s="129">
        <v>50</v>
      </c>
      <c r="K883" s="129">
        <f>Z883+340</f>
        <v>6135</v>
      </c>
      <c r="L883" s="129">
        <f>J883*K883</f>
        <v>306750</v>
      </c>
      <c r="M883" s="129"/>
      <c r="N883" s="76">
        <v>519536.62</v>
      </c>
      <c r="P883" s="91"/>
      <c r="Q883" s="91"/>
      <c r="R883" s="76" t="s">
        <v>66</v>
      </c>
      <c r="S883" s="76" t="s">
        <v>1097</v>
      </c>
      <c r="T883" s="387">
        <v>46125</v>
      </c>
      <c r="U883" s="387">
        <f>T883+45</f>
        <v>46170</v>
      </c>
      <c r="V883" s="387">
        <v>46174</v>
      </c>
      <c r="W883" s="76">
        <f t="shared" si="235"/>
        <v>4</v>
      </c>
      <c r="X883" s="133"/>
      <c r="Y883" s="76">
        <v>54</v>
      </c>
      <c r="Z883" s="76">
        <v>5795</v>
      </c>
      <c r="AA883" s="114">
        <f>Y883*Z883</f>
        <v>312930</v>
      </c>
      <c r="AB883" s="114"/>
      <c r="AC883" s="114"/>
      <c r="AD883" s="140"/>
      <c r="AE883" s="114"/>
      <c r="AF883" s="114"/>
      <c r="AG883" s="114"/>
      <c r="AH883" s="114"/>
      <c r="AM883" s="114"/>
      <c r="AN883" s="76">
        <v>519536.62</v>
      </c>
      <c r="AQ883" s="746">
        <f>V883</f>
        <v>46174</v>
      </c>
      <c r="AR883" s="387">
        <f t="shared" si="236"/>
        <v>46144</v>
      </c>
      <c r="AS883" s="387"/>
      <c r="AT883" s="387"/>
      <c r="AW883" s="387"/>
      <c r="AX883" s="129"/>
      <c r="AY883" s="114"/>
      <c r="AZ883" s="127"/>
      <c r="BA883" s="127"/>
      <c r="BB883" s="127"/>
      <c r="BC883" s="127"/>
      <c r="BI883" s="75"/>
      <c r="BJ883" s="91"/>
      <c r="BL883" s="76" t="str">
        <f>D883</f>
        <v>TJTW-126</v>
      </c>
      <c r="BM883" s="76" t="str">
        <f>A883</f>
        <v>PLK</v>
      </c>
      <c r="BO883" s="76" t="str">
        <f>E883</f>
        <v>0.17*807*Coil 2.0/2.0, DR 8,5 Stone, BA "eye to the side"</v>
      </c>
      <c r="BP883" s="129">
        <f>J883</f>
        <v>50</v>
      </c>
      <c r="BQ883" s="387">
        <f>U883</f>
        <v>46170</v>
      </c>
    </row>
    <row r="884" s="201" customFormat="1" customHeight="1" spans="1:69 16378:16379">
      <c r="A884" s="201" t="s">
        <v>365</v>
      </c>
      <c r="C884" s="625"/>
      <c r="D884" s="201" t="s">
        <v>1096</v>
      </c>
      <c r="F884" s="753"/>
      <c r="G884" s="754"/>
      <c r="H884" s="201" t="s">
        <v>93</v>
      </c>
      <c r="I884" s="755"/>
      <c r="J884" s="201">
        <f>SUM(J882:J883)</f>
        <v>150</v>
      </c>
      <c r="K884" s="755"/>
      <c r="L884" s="83">
        <f>SUM(L882:L883)</f>
        <v>929250</v>
      </c>
      <c r="R884" s="83"/>
      <c r="S884" s="625"/>
      <c r="T884" s="625"/>
      <c r="U884" s="756"/>
      <c r="X884" s="753"/>
      <c r="Y884" s="201">
        <f>SUM(Y882:Y883)</f>
        <v>162</v>
      </c>
      <c r="Z884" s="753"/>
      <c r="AA884" s="233">
        <f>SUM(AA882:AA883)</f>
        <v>948510</v>
      </c>
      <c r="AE884" s="753"/>
      <c r="AF884" s="201">
        <v>59900</v>
      </c>
      <c r="AI884" s="625"/>
      <c r="AJ884" s="625"/>
      <c r="AK884" s="625"/>
      <c r="AL884" s="625"/>
      <c r="AO884" s="625"/>
      <c r="AP884" s="755"/>
      <c r="AQ884" s="753"/>
      <c r="AR884" s="757"/>
      <c r="AS884" s="757"/>
      <c r="AT884" s="757"/>
      <c r="AU884" s="757"/>
      <c r="BA884" s="758"/>
      <c r="XEX884" s="84"/>
      <c r="XEY884" s="84"/>
    </row>
    <row r="885" s="76" customFormat="1" customHeight="1" spans="1:69 16378:16379">
      <c r="A885" s="76" t="s">
        <v>744</v>
      </c>
      <c r="B885" s="76" t="s">
        <v>440</v>
      </c>
      <c r="C885" s="387" t="s">
        <v>1099</v>
      </c>
      <c r="D885" s="76" t="s">
        <v>1100</v>
      </c>
      <c r="E885" s="76" t="s">
        <v>1071</v>
      </c>
      <c r="G885" s="479"/>
      <c r="H885" s="76" t="s">
        <v>93</v>
      </c>
      <c r="J885" s="129">
        <v>54</v>
      </c>
      <c r="K885" s="129">
        <f t="shared" ref="K885:K889" si="237">Z885+50+150</f>
        <v>6200</v>
      </c>
      <c r="L885" s="129">
        <f t="shared" ref="L885:L890" si="238">J885*K885</f>
        <v>334800</v>
      </c>
      <c r="M885" s="129"/>
      <c r="N885" s="76">
        <v>1607202</v>
      </c>
      <c r="P885" s="91"/>
      <c r="Q885" s="91"/>
      <c r="R885" s="76" t="s">
        <v>88</v>
      </c>
      <c r="S885" s="76" t="s">
        <v>1101</v>
      </c>
      <c r="T885" s="387">
        <v>46126</v>
      </c>
      <c r="U885" s="387">
        <v>46186</v>
      </c>
      <c r="V885" s="387">
        <v>46217</v>
      </c>
      <c r="W885" s="76">
        <f t="shared" si="235"/>
        <v>31</v>
      </c>
      <c r="X885" s="133"/>
      <c r="Y885" s="76">
        <v>55.214</v>
      </c>
      <c r="Z885" s="114">
        <v>6000</v>
      </c>
      <c r="AA885" s="114">
        <f t="shared" ref="AA885:AA890" si="239">Y885*Z885</f>
        <v>331284</v>
      </c>
      <c r="AB885" s="114"/>
      <c r="AC885" s="114"/>
      <c r="AD885" s="140"/>
      <c r="AE885" s="114"/>
      <c r="AF885" s="114"/>
      <c r="AG885" s="114"/>
      <c r="AH885" s="114"/>
      <c r="AM885" s="114"/>
      <c r="AN885" s="114">
        <v>1607202</v>
      </c>
      <c r="AQ885" s="746">
        <f t="shared" ref="AQ885:AQ889" si="240">V885</f>
        <v>46217</v>
      </c>
      <c r="AR885" s="387">
        <f t="shared" si="236"/>
        <v>46187</v>
      </c>
      <c r="AS885" s="387"/>
      <c r="AT885" s="387"/>
      <c r="AW885" s="387"/>
      <c r="AX885" s="129"/>
      <c r="AY885" s="114"/>
      <c r="AZ885" s="127"/>
      <c r="BA885" s="127"/>
      <c r="BB885" s="127"/>
      <c r="BC885" s="127"/>
      <c r="BI885" s="75"/>
      <c r="BJ885" s="91"/>
      <c r="BL885" s="76" t="s">
        <v>1100</v>
      </c>
      <c r="BM885" s="76" t="s">
        <v>744</v>
      </c>
      <c r="BO885" s="76" t="e">
        <v>#REF!</v>
      </c>
      <c r="BP885" s="129" t="e">
        <v>#REF!</v>
      </c>
      <c r="BQ885" s="387">
        <v>46186</v>
      </c>
    </row>
    <row r="886" s="76" customFormat="1" customHeight="1" spans="1:69 16378:16379">
      <c r="A886" s="76" t="s">
        <v>744</v>
      </c>
      <c r="B886" s="76" t="s">
        <v>440</v>
      </c>
      <c r="C886" s="387" t="s">
        <v>1099</v>
      </c>
      <c r="D886" s="76" t="s">
        <v>1100</v>
      </c>
      <c r="E886" s="76" t="s">
        <v>1073</v>
      </c>
      <c r="G886" s="479">
        <v>13</v>
      </c>
      <c r="H886" s="76" t="s">
        <v>93</v>
      </c>
      <c r="J886" s="129">
        <v>54</v>
      </c>
      <c r="K886" s="129">
        <f t="shared" si="237"/>
        <v>6050</v>
      </c>
      <c r="L886" s="129">
        <f t="shared" si="238"/>
        <v>326700</v>
      </c>
      <c r="M886" s="129"/>
      <c r="N886" s="76">
        <v>175492.93</v>
      </c>
      <c r="P886" s="91"/>
      <c r="Q886" s="91"/>
      <c r="R886" s="76" t="s">
        <v>88</v>
      </c>
      <c r="S886" s="76" t="s">
        <v>1101</v>
      </c>
      <c r="T886" s="387">
        <v>46126</v>
      </c>
      <c r="U886" s="387">
        <v>46186</v>
      </c>
      <c r="V886" s="387">
        <v>46217</v>
      </c>
      <c r="W886" s="76">
        <f t="shared" si="235"/>
        <v>31</v>
      </c>
      <c r="X886" s="133"/>
      <c r="Y886" s="76">
        <v>59.705</v>
      </c>
      <c r="Z886" s="114">
        <v>5850</v>
      </c>
      <c r="AA886" s="114">
        <f t="shared" si="239"/>
        <v>349274.25</v>
      </c>
      <c r="AB886" s="114"/>
      <c r="AC886" s="114"/>
      <c r="AD886" s="140"/>
      <c r="AE886" s="114"/>
      <c r="AF886" s="114"/>
      <c r="AG886" s="114"/>
      <c r="AH886" s="114"/>
      <c r="AM886" s="114"/>
      <c r="AN886" s="114">
        <v>175492.93</v>
      </c>
      <c r="AQ886" s="746">
        <f t="shared" si="240"/>
        <v>46217</v>
      </c>
      <c r="AR886" s="387">
        <f t="shared" si="236"/>
        <v>46187</v>
      </c>
      <c r="AS886" s="387"/>
      <c r="AT886" s="387"/>
      <c r="AW886" s="387"/>
      <c r="AX886" s="129"/>
      <c r="AY886" s="114"/>
      <c r="AZ886" s="127"/>
      <c r="BA886" s="127"/>
      <c r="BB886" s="127"/>
      <c r="BC886" s="127"/>
      <c r="BI886" s="75"/>
      <c r="BJ886" s="91"/>
      <c r="BL886" s="76" t="s">
        <v>1100</v>
      </c>
      <c r="BM886" s="76" t="s">
        <v>744</v>
      </c>
      <c r="BO886" s="76" t="e">
        <v>#REF!</v>
      </c>
      <c r="BP886" s="129">
        <v>54</v>
      </c>
      <c r="BQ886" s="387">
        <v>46186</v>
      </c>
    </row>
    <row r="887" s="76" customFormat="1" customHeight="1" spans="1:69 16378:16379">
      <c r="A887" s="76" t="s">
        <v>744</v>
      </c>
      <c r="B887" s="76" t="s">
        <v>440</v>
      </c>
      <c r="C887" s="387" t="s">
        <v>1099</v>
      </c>
      <c r="D887" s="76" t="s">
        <v>1100</v>
      </c>
      <c r="E887" s="76" t="s">
        <v>1102</v>
      </c>
      <c r="G887" s="479">
        <v>10</v>
      </c>
      <c r="H887" s="76" t="s">
        <v>93</v>
      </c>
      <c r="J887" s="129">
        <v>54</v>
      </c>
      <c r="K887" s="129">
        <f t="shared" si="237"/>
        <v>6050</v>
      </c>
      <c r="L887" s="129">
        <f t="shared" si="238"/>
        <v>326700</v>
      </c>
      <c r="M887" s="129"/>
      <c r="N887" s="76">
        <v>13152.41</v>
      </c>
      <c r="P887" s="91"/>
      <c r="Q887" s="91"/>
      <c r="R887" s="76" t="s">
        <v>88</v>
      </c>
      <c r="S887" s="76" t="s">
        <v>1101</v>
      </c>
      <c r="T887" s="387">
        <v>46126</v>
      </c>
      <c r="U887" s="387">
        <v>46186</v>
      </c>
      <c r="V887" s="387">
        <v>46217</v>
      </c>
      <c r="W887" s="76">
        <f t="shared" si="235"/>
        <v>31</v>
      </c>
      <c r="X887" s="133"/>
      <c r="Y887" s="76">
        <v>48.736</v>
      </c>
      <c r="Z887" s="114">
        <v>5850</v>
      </c>
      <c r="AA887" s="114">
        <f t="shared" si="239"/>
        <v>285105.6</v>
      </c>
      <c r="AB887" s="114"/>
      <c r="AC887" s="114"/>
      <c r="AD887" s="140"/>
      <c r="AE887" s="114"/>
      <c r="AF887" s="114"/>
      <c r="AG887" s="114"/>
      <c r="AH887" s="114"/>
      <c r="AI887" s="91"/>
      <c r="AM887" s="114"/>
      <c r="AN887" s="76">
        <v>13152.41</v>
      </c>
      <c r="AP887" s="91"/>
      <c r="AQ887" s="746">
        <f t="shared" si="240"/>
        <v>46217</v>
      </c>
      <c r="AR887" s="387">
        <f t="shared" si="236"/>
        <v>46187</v>
      </c>
      <c r="AS887" s="387"/>
      <c r="AT887" s="387"/>
      <c r="AW887" s="387"/>
      <c r="AX887" s="129"/>
      <c r="AY887" s="114"/>
      <c r="AZ887" s="127"/>
      <c r="BA887" s="127"/>
      <c r="BB887" s="127"/>
      <c r="BC887" s="127"/>
      <c r="BI887" s="75"/>
      <c r="BJ887" s="91"/>
      <c r="BL887" s="76" t="s">
        <v>1100</v>
      </c>
      <c r="BM887" s="76" t="s">
        <v>744</v>
      </c>
      <c r="BO887" s="76" t="s">
        <v>1071</v>
      </c>
      <c r="BP887" s="129">
        <v>54</v>
      </c>
      <c r="BQ887" s="387">
        <v>46186</v>
      </c>
    </row>
    <row r="888" s="76" customFormat="1" customHeight="1" spans="1:69 16378:16379">
      <c r="A888" s="76" t="s">
        <v>744</v>
      </c>
      <c r="B888" s="76" t="s">
        <v>440</v>
      </c>
      <c r="C888" s="387" t="s">
        <v>1099</v>
      </c>
      <c r="D888" s="76" t="s">
        <v>1100</v>
      </c>
      <c r="E888" s="76" t="s">
        <v>1074</v>
      </c>
      <c r="G888" s="479">
        <v>11</v>
      </c>
      <c r="H888" s="76" t="s">
        <v>93</v>
      </c>
      <c r="J888" s="129">
        <v>54</v>
      </c>
      <c r="K888" s="129">
        <f t="shared" si="237"/>
        <v>6050</v>
      </c>
      <c r="L888" s="129">
        <f t="shared" si="238"/>
        <v>326700</v>
      </c>
      <c r="M888" s="129"/>
      <c r="N888" s="76">
        <v>10024.85</v>
      </c>
      <c r="P888" s="91"/>
      <c r="Q888" s="91"/>
      <c r="R888" s="76" t="s">
        <v>88</v>
      </c>
      <c r="S888" s="76" t="s">
        <v>1101</v>
      </c>
      <c r="T888" s="387">
        <v>46126</v>
      </c>
      <c r="U888" s="387">
        <v>46186</v>
      </c>
      <c r="V888" s="387">
        <v>46217</v>
      </c>
      <c r="W888" s="76">
        <f t="shared" si="235"/>
        <v>31</v>
      </c>
      <c r="X888" s="133"/>
      <c r="Y888" s="76">
        <v>56.233</v>
      </c>
      <c r="Z888" s="114">
        <v>5850</v>
      </c>
      <c r="AA888" s="114">
        <f t="shared" si="239"/>
        <v>328963.05</v>
      </c>
      <c r="AB888" s="114"/>
      <c r="AC888" s="114"/>
      <c r="AD888" s="140"/>
      <c r="AE888" s="114"/>
      <c r="AF888" s="114"/>
      <c r="AG888" s="114"/>
      <c r="AH888" s="114"/>
      <c r="AM888" s="114"/>
      <c r="AN888" s="114">
        <v>10024.85</v>
      </c>
      <c r="AQ888" s="746">
        <f t="shared" si="240"/>
        <v>46217</v>
      </c>
      <c r="AR888" s="387">
        <f t="shared" si="236"/>
        <v>46187</v>
      </c>
      <c r="AS888" s="387"/>
      <c r="AT888" s="387"/>
      <c r="AW888" s="387"/>
      <c r="AX888" s="129"/>
      <c r="AY888" s="114"/>
      <c r="AZ888" s="127"/>
      <c r="BA888" s="127"/>
      <c r="BB888" s="127"/>
      <c r="BC888" s="127"/>
      <c r="BI888" s="75"/>
      <c r="BJ888" s="91"/>
      <c r="BL888" s="76" t="s">
        <v>1100</v>
      </c>
      <c r="BM888" s="76" t="s">
        <v>744</v>
      </c>
      <c r="BO888" s="76" t="s">
        <v>1073</v>
      </c>
      <c r="BP888" s="129">
        <v>54</v>
      </c>
      <c r="BQ888" s="387">
        <v>46186</v>
      </c>
    </row>
    <row r="889" s="76" customFormat="1" customHeight="1" spans="1:69 16378:16379">
      <c r="A889" s="76" t="s">
        <v>744</v>
      </c>
      <c r="B889" s="76" t="s">
        <v>440</v>
      </c>
      <c r="C889" s="387" t="s">
        <v>1099</v>
      </c>
      <c r="D889" s="76" t="s">
        <v>1100</v>
      </c>
      <c r="E889" s="76" t="s">
        <v>1103</v>
      </c>
      <c r="G889" s="479">
        <v>12</v>
      </c>
      <c r="H889" s="76" t="s">
        <v>93</v>
      </c>
      <c r="J889" s="76">
        <v>27</v>
      </c>
      <c r="K889" s="129">
        <f t="shared" si="237"/>
        <v>6050</v>
      </c>
      <c r="L889" s="129">
        <f t="shared" si="238"/>
        <v>163350</v>
      </c>
      <c r="M889" s="129"/>
      <c r="P889" s="91"/>
      <c r="Q889" s="91"/>
      <c r="R889" s="76" t="s">
        <v>88</v>
      </c>
      <c r="S889" s="76" t="s">
        <v>1101</v>
      </c>
      <c r="T889" s="387">
        <v>46126</v>
      </c>
      <c r="U889" s="387">
        <v>46186</v>
      </c>
      <c r="V889" s="387">
        <v>46217</v>
      </c>
      <c r="W889" s="76">
        <f t="shared" si="235"/>
        <v>31</v>
      </c>
      <c r="X889" s="133"/>
      <c r="Y889" s="76">
        <v>27.783</v>
      </c>
      <c r="Z889" s="114">
        <v>5850</v>
      </c>
      <c r="AA889" s="114">
        <f t="shared" si="239"/>
        <v>162530.55</v>
      </c>
      <c r="AB889" s="114"/>
      <c r="AC889" s="114"/>
      <c r="AD889" s="140"/>
      <c r="AE889" s="114"/>
      <c r="AF889" s="114"/>
      <c r="AG889" s="114"/>
      <c r="AH889" s="114"/>
      <c r="AM889" s="114"/>
      <c r="AN889" s="114"/>
      <c r="AQ889" s="746">
        <f t="shared" si="240"/>
        <v>46217</v>
      </c>
      <c r="AR889" s="387">
        <f t="shared" si="236"/>
        <v>46187</v>
      </c>
      <c r="AS889" s="387"/>
      <c r="AT889" s="387"/>
      <c r="AW889" s="387"/>
      <c r="AX889" s="129"/>
      <c r="AY889" s="114"/>
      <c r="AZ889" s="127"/>
      <c r="BA889" s="127"/>
      <c r="BB889" s="127"/>
      <c r="BC889" s="127"/>
      <c r="BI889" s="75"/>
      <c r="BJ889" s="91"/>
      <c r="BP889" s="129"/>
      <c r="BQ889" s="387"/>
    </row>
    <row r="890" s="76" customFormat="1" customHeight="1" spans="1:69 16378:16379">
      <c r="A890" s="76" t="s">
        <v>744</v>
      </c>
      <c r="B890" s="76" t="s">
        <v>440</v>
      </c>
      <c r="C890" s="387" t="s">
        <v>1099</v>
      </c>
      <c r="D890" s="76" t="s">
        <v>1100</v>
      </c>
      <c r="E890" s="76" t="s">
        <v>1104</v>
      </c>
      <c r="G890" s="479">
        <v>8</v>
      </c>
      <c r="H890" s="76" t="s">
        <v>93</v>
      </c>
      <c r="J890" s="129">
        <v>54</v>
      </c>
      <c r="K890" s="129">
        <f>Z890+340</f>
        <v>5795</v>
      </c>
      <c r="L890" s="129">
        <f t="shared" si="238"/>
        <v>312930</v>
      </c>
      <c r="M890" s="129"/>
      <c r="P890" s="91"/>
      <c r="Q890" s="91"/>
      <c r="R890" s="76" t="s">
        <v>66</v>
      </c>
      <c r="S890" s="76" t="s">
        <v>1105</v>
      </c>
      <c r="T890" s="387">
        <v>46134</v>
      </c>
      <c r="U890" s="387">
        <f>T890+45</f>
        <v>46179</v>
      </c>
      <c r="V890" s="387">
        <f>U890+5</f>
        <v>46184</v>
      </c>
      <c r="W890" s="76">
        <f t="shared" si="235"/>
        <v>5</v>
      </c>
      <c r="X890" s="133"/>
      <c r="Y890" s="76">
        <v>57.052</v>
      </c>
      <c r="Z890" s="114">
        <v>5455</v>
      </c>
      <c r="AA890" s="114">
        <f t="shared" si="239"/>
        <v>311218.66</v>
      </c>
      <c r="AB890" s="114"/>
      <c r="AC890" s="114"/>
      <c r="AD890" s="140"/>
      <c r="AE890" s="114"/>
      <c r="AF890" s="114"/>
      <c r="AG890" s="114"/>
      <c r="AH890" s="114"/>
      <c r="AM890" s="114"/>
      <c r="AN890" s="114"/>
      <c r="AQ890" s="746"/>
      <c r="AR890" s="387"/>
      <c r="AS890" s="387"/>
      <c r="AT890" s="387"/>
      <c r="AW890" s="387"/>
      <c r="AX890" s="129"/>
      <c r="AY890" s="114"/>
      <c r="AZ890" s="127"/>
      <c r="BA890" s="127"/>
      <c r="BB890" s="127"/>
      <c r="BC890" s="127"/>
      <c r="BI890" s="75"/>
      <c r="BJ890" s="91"/>
      <c r="BP890" s="129"/>
      <c r="BQ890" s="387"/>
    </row>
    <row r="891" s="79" customFormat="1" customHeight="1" spans="1:69 16378:16379">
      <c r="A891" s="79" t="s">
        <v>744</v>
      </c>
      <c r="C891" s="463" t="s">
        <v>1099</v>
      </c>
      <c r="D891" s="79" t="s">
        <v>1100</v>
      </c>
      <c r="F891" s="192"/>
      <c r="G891" s="486"/>
      <c r="H891" s="79" t="s">
        <v>93</v>
      </c>
      <c r="I891" s="194"/>
      <c r="J891" s="226">
        <f>SUM(J885:J890)</f>
        <v>297</v>
      </c>
      <c r="K891" s="194"/>
      <c r="L891" s="226">
        <f>SUM(L885:L890)</f>
        <v>1791180</v>
      </c>
      <c r="R891" s="463" t="s">
        <v>88</v>
      </c>
      <c r="S891" s="463"/>
      <c r="T891" s="463"/>
      <c r="U891" s="193"/>
      <c r="X891" s="192"/>
      <c r="Y891" s="226">
        <f>SUM(Y885:Y890)</f>
        <v>304.723</v>
      </c>
      <c r="Z891" s="192"/>
      <c r="AA891" s="226">
        <f>SUM(AA885:AA890)</f>
        <v>1768376.11</v>
      </c>
      <c r="AE891" s="192"/>
      <c r="AF891" s="192">
        <v>360243.23</v>
      </c>
      <c r="AI891" s="463"/>
      <c r="AJ891" s="463"/>
      <c r="AK891" s="463"/>
      <c r="AL891" s="463"/>
      <c r="AO891" s="463"/>
      <c r="AP891" s="194"/>
      <c r="AQ891" s="192"/>
      <c r="AR891" s="150"/>
      <c r="AS891" s="150"/>
      <c r="AT891" s="150"/>
      <c r="AU891" s="150"/>
      <c r="BA891" s="151"/>
      <c r="XEX891" s="76"/>
      <c r="XEY891" s="76"/>
    </row>
    <row r="892" s="76" customFormat="1" customHeight="1" outlineLevel="1" spans="1:69 16378:16379">
      <c r="A892" s="387" t="s">
        <v>142</v>
      </c>
      <c r="B892" s="387" t="s">
        <v>440</v>
      </c>
      <c r="C892" s="387"/>
      <c r="D892" s="76" t="s">
        <v>1106</v>
      </c>
      <c r="E892" s="76" t="s">
        <v>912</v>
      </c>
      <c r="G892" s="586"/>
      <c r="H892" s="76" t="s">
        <v>142</v>
      </c>
      <c r="J892" s="264">
        <v>1960400</v>
      </c>
      <c r="K892" s="373">
        <v>0.0184</v>
      </c>
      <c r="L892" s="483">
        <f t="shared" ref="L892:L894" si="241">J892*K892</f>
        <v>36071.36</v>
      </c>
      <c r="M892" s="114">
        <f>L892*0.2</f>
        <v>7214.272</v>
      </c>
      <c r="N892" s="76">
        <f>7214.27+28857.09</f>
        <v>36071.36</v>
      </c>
      <c r="O892" s="76">
        <f>L892-N892</f>
        <v>0</v>
      </c>
      <c r="P892" s="91"/>
      <c r="Q892" s="91"/>
      <c r="R892" s="76" t="s">
        <v>88</v>
      </c>
      <c r="S892" s="76" t="s">
        <v>1107</v>
      </c>
      <c r="T892" s="387">
        <v>46129</v>
      </c>
      <c r="U892" s="387">
        <f>T892+20</f>
        <v>46149</v>
      </c>
      <c r="V892" s="387">
        <v>46152</v>
      </c>
      <c r="W892" s="76">
        <f>V892-U892</f>
        <v>3</v>
      </c>
      <c r="X892" s="133" t="s">
        <v>701</v>
      </c>
      <c r="Y892" s="76">
        <v>1960400</v>
      </c>
      <c r="Z892" s="140">
        <v>0.135</v>
      </c>
      <c r="AA892" s="114">
        <f t="shared" ref="AA892:AA896" si="242">Y892*Z892</f>
        <v>264654</v>
      </c>
      <c r="AB892" s="114"/>
      <c r="AC892" s="114">
        <f>AA892-AB892</f>
        <v>264654</v>
      </c>
      <c r="AD892" s="140"/>
      <c r="AE892" s="114"/>
      <c r="AF892" s="114"/>
      <c r="AG892" s="114"/>
      <c r="AH892" s="114"/>
      <c r="AI892" s="91"/>
      <c r="AL892" s="263"/>
      <c r="AM892" s="114"/>
      <c r="AN892" s="76">
        <f>7214.27+28857.09</f>
        <v>36071.36</v>
      </c>
      <c r="AO892" s="141"/>
      <c r="AP892" s="91"/>
      <c r="AQ892" s="746">
        <f t="shared" ref="AQ892:AQ896" si="243">V892</f>
        <v>46152</v>
      </c>
      <c r="AR892" s="387">
        <f t="shared" ref="AR892:AR896" si="244">V892-30</f>
        <v>46122</v>
      </c>
      <c r="AS892" s="387"/>
      <c r="AT892" s="387"/>
      <c r="AW892" s="387"/>
      <c r="AY892" s="263"/>
      <c r="AZ892" s="127"/>
      <c r="BA892" s="127"/>
      <c r="BB892" s="127"/>
      <c r="BC892" s="127"/>
      <c r="BJ892" s="91"/>
      <c r="BL892" s="76" t="str">
        <f t="shared" ref="BL892:BL896" si="245">D892</f>
        <v>TJTW-128</v>
      </c>
      <c r="BM892" s="76" t="str">
        <f t="shared" ref="BM892:BM896" si="246">A892</f>
        <v>NF</v>
      </c>
      <c r="BN892" s="76">
        <f t="shared" ref="BN892:BN896" si="247">C892</f>
        <v>0</v>
      </c>
      <c r="BO892" s="76" t="str">
        <f t="shared" ref="BO892:BO896" si="248">E892</f>
        <v>TFS EOE 72.9 BPAni FREE 300#</v>
      </c>
      <c r="BP892" s="129">
        <f t="shared" ref="BP892:BP896" si="249">J892</f>
        <v>1960400</v>
      </c>
      <c r="BQ892" s="387">
        <f t="shared" ref="BQ892:BQ896" si="250">U892</f>
        <v>46149</v>
      </c>
    </row>
    <row r="893" s="79" customFormat="1" ht="14.45" customHeight="1" spans="1:69 16378:16379">
      <c r="A893" s="79" t="s">
        <v>142</v>
      </c>
      <c r="B893" s="79" t="s">
        <v>440</v>
      </c>
      <c r="C893" s="599"/>
      <c r="D893" s="79" t="s">
        <v>1106</v>
      </c>
      <c r="E893" s="79" t="s">
        <v>912</v>
      </c>
      <c r="G893" s="486"/>
      <c r="H893" s="79" t="s">
        <v>142</v>
      </c>
      <c r="J893" s="579">
        <v>1960400</v>
      </c>
      <c r="K893" s="194"/>
      <c r="L893" s="194">
        <f>L892</f>
        <v>36071.36</v>
      </c>
      <c r="M893" s="194"/>
      <c r="O893" s="192">
        <f>O892</f>
        <v>0</v>
      </c>
      <c r="P893" s="91"/>
      <c r="Q893" s="91"/>
      <c r="R893" s="463" t="s">
        <v>88</v>
      </c>
      <c r="T893" s="463">
        <f>T892</f>
        <v>46129</v>
      </c>
      <c r="U893" s="463"/>
      <c r="V893" s="463">
        <f>V892</f>
        <v>46152</v>
      </c>
      <c r="X893" s="193"/>
      <c r="Y893" s="79">
        <f>Y892</f>
        <v>1960400</v>
      </c>
      <c r="Z893" s="192"/>
      <c r="AA893" s="192">
        <f>AA892</f>
        <v>264654</v>
      </c>
      <c r="AB893" s="192"/>
      <c r="AC893" s="192"/>
      <c r="AD893" s="196"/>
      <c r="AE893" s="192"/>
      <c r="AF893" s="192"/>
      <c r="AG893" s="192"/>
      <c r="AH893" s="192"/>
      <c r="AM893" s="192"/>
      <c r="AN893" s="192"/>
      <c r="AQ893" s="463"/>
      <c r="AR893" s="463"/>
      <c r="AS893" s="463"/>
      <c r="AT893" s="463"/>
      <c r="AW893" s="463"/>
      <c r="AX893" s="194"/>
      <c r="AY893" s="192"/>
      <c r="AZ893" s="150"/>
      <c r="BA893" s="150"/>
      <c r="BB893" s="150"/>
      <c r="BC893" s="150"/>
      <c r="BI893" s="494"/>
    </row>
    <row r="894" s="76" customFormat="1" customHeight="1" spans="1:69 16378:16379">
      <c r="A894" s="76" t="s">
        <v>933</v>
      </c>
      <c r="B894" s="76" t="s">
        <v>456</v>
      </c>
      <c r="C894" s="387"/>
      <c r="D894" s="76" t="s">
        <v>1108</v>
      </c>
      <c r="E894" s="76" t="s">
        <v>685</v>
      </c>
      <c r="G894" s="479"/>
      <c r="J894" s="264">
        <v>2097600</v>
      </c>
      <c r="K894" s="129">
        <v>0.23</v>
      </c>
      <c r="L894" s="129">
        <f t="shared" si="241"/>
        <v>482448</v>
      </c>
      <c r="M894" s="129"/>
      <c r="N894" s="114">
        <f>144734.4+337713.6</f>
        <v>482448</v>
      </c>
      <c r="P894" s="91"/>
      <c r="Q894" s="91"/>
      <c r="R894" s="113" t="s">
        <v>148</v>
      </c>
      <c r="S894" s="76" t="s">
        <v>1109</v>
      </c>
      <c r="T894" s="387">
        <v>46129</v>
      </c>
      <c r="U894" s="387">
        <f>T894+20</f>
        <v>46149</v>
      </c>
      <c r="V894" s="387">
        <v>46152</v>
      </c>
      <c r="W894" s="76">
        <f>V894-U894</f>
        <v>3</v>
      </c>
      <c r="X894" s="133"/>
      <c r="Y894" s="264">
        <v>2097600</v>
      </c>
      <c r="Z894" s="140">
        <v>0.245</v>
      </c>
      <c r="AA894" s="114">
        <f t="shared" si="242"/>
        <v>513912</v>
      </c>
      <c r="AB894" s="114"/>
      <c r="AC894" s="114"/>
      <c r="AD894" s="140"/>
      <c r="AE894" s="114"/>
      <c r="AF894" s="114"/>
      <c r="AG894" s="114"/>
      <c r="AH894" s="114"/>
      <c r="AM894" s="114"/>
      <c r="AN894" s="114">
        <f>144734.4+337713.6</f>
        <v>482448</v>
      </c>
      <c r="AQ894" s="746">
        <f t="shared" si="243"/>
        <v>46152</v>
      </c>
      <c r="AR894" s="387">
        <f t="shared" si="244"/>
        <v>46122</v>
      </c>
      <c r="AS894" s="387"/>
      <c r="AT894" s="387"/>
      <c r="AW894" s="387"/>
      <c r="AX894" s="129"/>
      <c r="AY894" s="114"/>
      <c r="AZ894" s="127"/>
      <c r="BA894" s="127"/>
      <c r="BB894" s="127"/>
      <c r="BC894" s="127"/>
      <c r="BI894" s="75"/>
      <c r="BJ894" s="91"/>
      <c r="BL894" s="76" t="str">
        <f t="shared" si="245"/>
        <v>TJTW-129</v>
      </c>
      <c r="BM894" s="76" t="str">
        <f t="shared" si="246"/>
        <v>KALMETA</v>
      </c>
      <c r="BN894" s="76">
        <f t="shared" si="247"/>
        <v>0</v>
      </c>
      <c r="BO894" s="76" t="str">
        <f t="shared" si="248"/>
        <v>EOE.99.8mm 0.22 #401</v>
      </c>
      <c r="BP894" s="129">
        <f t="shared" si="249"/>
        <v>2097600</v>
      </c>
      <c r="BQ894" s="387">
        <f t="shared" si="250"/>
        <v>46149</v>
      </c>
    </row>
    <row r="895" s="79" customFormat="1" customHeight="1" spans="1:69 16378:16379">
      <c r="A895" s="79" t="s">
        <v>933</v>
      </c>
      <c r="B895" s="79" t="s">
        <v>456</v>
      </c>
      <c r="C895" s="463"/>
      <c r="D895" s="79" t="s">
        <v>1108</v>
      </c>
      <c r="G895" s="486"/>
      <c r="J895" s="79">
        <f>SUM(J894)</f>
        <v>2097600</v>
      </c>
      <c r="K895" s="194"/>
      <c r="L895" s="79">
        <f>SUM(L894)</f>
        <v>482448</v>
      </c>
      <c r="M895" s="194"/>
      <c r="T895" s="463"/>
      <c r="U895" s="463"/>
      <c r="V895" s="463"/>
      <c r="X895" s="193"/>
      <c r="Y895" s="79">
        <f>SUM(Y894)</f>
        <v>2097600</v>
      </c>
      <c r="Z895" s="192"/>
      <c r="AA895" s="79">
        <f>SUM(AA894)</f>
        <v>513912</v>
      </c>
      <c r="AB895" s="192"/>
      <c r="AC895" s="192"/>
      <c r="AD895" s="196"/>
      <c r="AE895" s="192"/>
      <c r="AF895" s="192"/>
      <c r="AG895" s="192"/>
      <c r="AH895" s="192"/>
      <c r="AM895" s="192"/>
      <c r="AN895" s="192"/>
      <c r="AQ895" s="463"/>
      <c r="AR895" s="463"/>
      <c r="AS895" s="463"/>
      <c r="AT895" s="463"/>
      <c r="AW895" s="463"/>
      <c r="AX895" s="194"/>
      <c r="AY895" s="192"/>
      <c r="AZ895" s="150"/>
      <c r="BA895" s="150"/>
      <c r="BB895" s="150"/>
      <c r="BC895" s="150"/>
      <c r="BI895" s="151"/>
      <c r="BL895" s="79" t="str">
        <f t="shared" si="245"/>
        <v>TJTW-129</v>
      </c>
      <c r="BM895" s="79" t="str">
        <f t="shared" si="246"/>
        <v>KALMETA</v>
      </c>
      <c r="BO895" s="79">
        <f t="shared" si="248"/>
        <v>0</v>
      </c>
      <c r="BP895" s="79">
        <f t="shared" si="249"/>
        <v>2097600</v>
      </c>
      <c r="BQ895" s="79">
        <f t="shared" si="250"/>
        <v>0</v>
      </c>
    </row>
    <row r="896" s="76" customFormat="1" customHeight="1" spans="1:69 16378:16379">
      <c r="A896" s="76" t="s">
        <v>933</v>
      </c>
      <c r="B896" s="76" t="s">
        <v>456</v>
      </c>
      <c r="C896" s="387"/>
      <c r="D896" s="76" t="s">
        <v>1110</v>
      </c>
      <c r="E896" s="76" t="s">
        <v>935</v>
      </c>
      <c r="G896" s="479"/>
      <c r="H896" s="76" t="s">
        <v>93</v>
      </c>
      <c r="J896" s="76">
        <v>2320000</v>
      </c>
      <c r="K896" s="143">
        <v>0.2329</v>
      </c>
      <c r="L896" s="114">
        <f t="shared" ref="L896:L900" si="251">J896*K896</f>
        <v>540328</v>
      </c>
      <c r="M896" s="129"/>
      <c r="N896" s="76">
        <v>540328</v>
      </c>
      <c r="P896" s="91"/>
      <c r="Q896" s="91"/>
      <c r="R896" s="76" t="s">
        <v>88</v>
      </c>
      <c r="S896" s="76" t="s">
        <v>1111</v>
      </c>
      <c r="T896" s="387">
        <v>46140</v>
      </c>
      <c r="U896" s="387">
        <f>T896+15</f>
        <v>46155</v>
      </c>
      <c r="V896" s="387">
        <f>U896+10</f>
        <v>46165</v>
      </c>
      <c r="W896" s="76">
        <f>V896-U896</f>
        <v>10</v>
      </c>
      <c r="X896" s="133"/>
      <c r="Y896" s="76">
        <v>2320000</v>
      </c>
      <c r="Z896" s="140">
        <v>0.25</v>
      </c>
      <c r="AA896" s="114">
        <f t="shared" si="242"/>
        <v>580000</v>
      </c>
      <c r="AB896" s="114"/>
      <c r="AC896" s="114"/>
      <c r="AD896" s="140"/>
      <c r="AE896" s="114"/>
      <c r="AF896" s="114"/>
      <c r="AG896" s="114"/>
      <c r="AH896" s="114"/>
      <c r="AM896" s="114"/>
      <c r="AN896" s="114">
        <v>540328</v>
      </c>
      <c r="AQ896" s="746">
        <f t="shared" si="243"/>
        <v>46165</v>
      </c>
      <c r="AR896" s="387">
        <f t="shared" si="244"/>
        <v>46135</v>
      </c>
      <c r="AS896" s="387"/>
      <c r="AT896" s="387"/>
      <c r="AW896" s="387"/>
      <c r="AX896" s="129"/>
      <c r="AY896" s="114"/>
      <c r="AZ896" s="127"/>
      <c r="BA896" s="127"/>
      <c r="BB896" s="127"/>
      <c r="BC896" s="127"/>
      <c r="BI896" s="75"/>
      <c r="BJ896" s="91"/>
      <c r="BL896" s="76" t="str">
        <f t="shared" si="245"/>
        <v>TJTW-130</v>
      </c>
      <c r="BM896" s="76" t="str">
        <f t="shared" si="246"/>
        <v>KALMETA</v>
      </c>
      <c r="BN896" s="76">
        <f t="shared" si="247"/>
        <v>0</v>
      </c>
      <c r="BO896" s="76" t="str">
        <f t="shared" si="248"/>
        <v>EOE 99.8mm 0.21 #401</v>
      </c>
      <c r="BP896" s="129">
        <f t="shared" si="249"/>
        <v>2320000</v>
      </c>
      <c r="BQ896" s="387">
        <f t="shared" si="250"/>
        <v>46155</v>
      </c>
    </row>
    <row r="897" s="79" customFormat="1" customHeight="1" spans="1:69">
      <c r="A897" s="79" t="s">
        <v>933</v>
      </c>
      <c r="B897" s="79" t="s">
        <v>456</v>
      </c>
      <c r="C897" s="463"/>
      <c r="D897" s="79" t="s">
        <v>1110</v>
      </c>
      <c r="G897" s="486"/>
      <c r="J897" s="79">
        <f t="shared" ref="J897:N897" si="252">SUM(J896:J896)</f>
        <v>2320000</v>
      </c>
      <c r="K897" s="194"/>
      <c r="L897" s="79">
        <f t="shared" si="252"/>
        <v>540328</v>
      </c>
      <c r="M897" s="194"/>
      <c r="N897" s="79">
        <f t="shared" si="252"/>
        <v>540328</v>
      </c>
      <c r="O897" s="79">
        <f>O896</f>
        <v>0</v>
      </c>
      <c r="R897" s="463" t="s">
        <v>88</v>
      </c>
      <c r="T897" s="463"/>
      <c r="U897" s="463"/>
      <c r="V897" s="463"/>
      <c r="X897" s="193"/>
      <c r="Y897" s="79">
        <f>SUM(Y896:Y896)</f>
        <v>2320000</v>
      </c>
      <c r="Z897" s="192"/>
      <c r="AA897" s="79">
        <f>SUM(AA896:AA896)</f>
        <v>580000</v>
      </c>
      <c r="AB897" s="192"/>
      <c r="AC897" s="192"/>
      <c r="AD897" s="196"/>
      <c r="AE897" s="192"/>
      <c r="AF897" s="192"/>
      <c r="AG897" s="192"/>
      <c r="AH897" s="192"/>
      <c r="AM897" s="192"/>
      <c r="AN897" s="192">
        <f>SUM(AN896:AN896)</f>
        <v>540328</v>
      </c>
      <c r="AQ897" s="463"/>
      <c r="AR897" s="463"/>
      <c r="AS897" s="463"/>
      <c r="AT897" s="463"/>
      <c r="AW897" s="463"/>
      <c r="AX897" s="194"/>
      <c r="AY897" s="192"/>
      <c r="AZ897" s="150"/>
      <c r="BA897" s="150"/>
      <c r="BB897" s="150"/>
      <c r="BC897" s="150"/>
      <c r="BI897" s="151"/>
    </row>
    <row r="898" s="76" customFormat="1" ht="12" customHeight="1" outlineLevel="1" spans="1:69">
      <c r="A898" s="76" t="s">
        <v>590</v>
      </c>
      <c r="B898" s="76" t="s">
        <v>456</v>
      </c>
      <c r="C898" s="387"/>
      <c r="D898" s="76" t="s">
        <v>1112</v>
      </c>
      <c r="E898" s="265" t="s">
        <v>1113</v>
      </c>
      <c r="F898" s="76" t="s">
        <v>248</v>
      </c>
      <c r="G898" s="479"/>
      <c r="I898" s="549" t="s">
        <v>249</v>
      </c>
      <c r="J898" s="129">
        <v>27</v>
      </c>
      <c r="K898" s="759">
        <v>30600</v>
      </c>
      <c r="L898" s="129">
        <f t="shared" si="251"/>
        <v>826200</v>
      </c>
      <c r="M898" s="131"/>
      <c r="N898" s="76">
        <f>743580+1957.65</f>
        <v>745537.65</v>
      </c>
      <c r="P898" s="91"/>
      <c r="Q898" s="91"/>
      <c r="R898" s="76" t="s">
        <v>1114</v>
      </c>
      <c r="S898" s="76" t="s">
        <v>1115</v>
      </c>
      <c r="T898" s="387">
        <v>46134</v>
      </c>
      <c r="U898" s="387">
        <v>46184</v>
      </c>
      <c r="V898" s="745">
        <v>46223</v>
      </c>
      <c r="W898" s="76">
        <f>V898-U898</f>
        <v>39</v>
      </c>
      <c r="X898" s="112"/>
      <c r="Y898" s="129">
        <v>27</v>
      </c>
      <c r="Z898" s="114">
        <v>34106.36</v>
      </c>
      <c r="AA898" s="114">
        <f t="shared" ref="AA898:AA903" si="253">Y898*Z898</f>
        <v>920871.72</v>
      </c>
      <c r="AB898" s="114">
        <v>276261.51</v>
      </c>
      <c r="AC898" s="114">
        <f>AA898-AB898</f>
        <v>644610.21</v>
      </c>
      <c r="AD898" s="140"/>
      <c r="AE898" s="114"/>
      <c r="AF898" s="114"/>
      <c r="AG898" s="114"/>
      <c r="AH898" s="141"/>
      <c r="AI898" s="91"/>
      <c r="AJ898" s="137"/>
      <c r="AK898" s="551"/>
      <c r="AL898" s="146">
        <v>30600</v>
      </c>
      <c r="AM898" s="114">
        <f>AL898*AK898</f>
        <v>0</v>
      </c>
      <c r="AN898" s="76">
        <f>743580+1957.65</f>
        <v>745537.65</v>
      </c>
      <c r="AO898" s="144"/>
      <c r="AP898" s="91"/>
      <c r="AQ898" s="387"/>
      <c r="AR898" s="387">
        <f t="shared" ref="AR898:AR903" si="254">V898-30</f>
        <v>46193</v>
      </c>
      <c r="AS898" s="482"/>
      <c r="AT898" s="482"/>
      <c r="AU898" s="137"/>
      <c r="AV898" s="137"/>
      <c r="AW898" s="482"/>
      <c r="AX898" s="551"/>
      <c r="AY898" s="146"/>
      <c r="AZ898" s="134"/>
      <c r="BA898" s="127"/>
      <c r="BB898" s="127"/>
      <c r="BC898" s="127"/>
      <c r="BI898" s="75"/>
      <c r="BJ898" s="91"/>
      <c r="BL898" s="76" t="str">
        <f t="shared" ref="BL898:BL901" si="255">D898</f>
        <v>TJTW-131</v>
      </c>
      <c r="BM898" s="76" t="str">
        <f t="shared" ref="BM898:BM901" si="256">A898</f>
        <v>ATL</v>
      </c>
      <c r="BN898" s="76">
        <f>C898</f>
        <v>0</v>
      </c>
      <c r="BO898" s="76" t="str">
        <f>E898</f>
        <v>0.19* 850*790</v>
      </c>
      <c r="BP898" s="129">
        <f t="shared" ref="BP898:BP901" si="257">J898</f>
        <v>27</v>
      </c>
      <c r="BQ898" s="387">
        <f t="shared" ref="BQ898:BQ901" si="258">U898</f>
        <v>46184</v>
      </c>
    </row>
    <row r="899" s="419" customFormat="1" ht="14.45" customHeight="1" spans="1:69">
      <c r="A899" s="419" t="s">
        <v>590</v>
      </c>
      <c r="B899" s="79" t="s">
        <v>456</v>
      </c>
      <c r="C899" s="553"/>
      <c r="D899" s="419" t="s">
        <v>1112</v>
      </c>
      <c r="E899" s="419" t="s">
        <v>1116</v>
      </c>
      <c r="F899" s="419" t="s">
        <v>248</v>
      </c>
      <c r="G899" s="554"/>
      <c r="H899" s="419" t="s">
        <v>93</v>
      </c>
      <c r="I899" s="419" t="s">
        <v>251</v>
      </c>
      <c r="J899" s="555">
        <f>SUM(J898:J898)</f>
        <v>27</v>
      </c>
      <c r="K899" s="556"/>
      <c r="L899" s="555">
        <f>SUM(L898:L898)</f>
        <v>826200</v>
      </c>
      <c r="M899" s="556"/>
      <c r="N899" s="557"/>
      <c r="P899" s="175"/>
      <c r="Q899" s="175"/>
      <c r="T899" s="553"/>
      <c r="U899" s="553"/>
      <c r="V899" s="553"/>
      <c r="X899" s="558"/>
      <c r="Y899" s="555">
        <f>SUM(Y898:Y898)</f>
        <v>27</v>
      </c>
      <c r="Z899" s="556"/>
      <c r="AA899" s="555">
        <f>SUM(AA898:AA898)</f>
        <v>920871.72</v>
      </c>
      <c r="AB899" s="559"/>
      <c r="AC899" s="559"/>
      <c r="AD899" s="560"/>
      <c r="AE899" s="559"/>
      <c r="AF899" s="559"/>
      <c r="AG899" s="559"/>
      <c r="AH899" s="561"/>
      <c r="AI899" s="91"/>
      <c r="AJ899" s="562"/>
      <c r="AK899" s="563"/>
      <c r="AM899" s="559"/>
      <c r="AN899" s="559"/>
      <c r="AO899" s="564"/>
      <c r="AP899" s="91"/>
      <c r="AQ899" s="553"/>
      <c r="AR899" s="565"/>
      <c r="AS899" s="565"/>
      <c r="AT899" s="565"/>
      <c r="AU899" s="563"/>
      <c r="AV899" s="563"/>
      <c r="AW899" s="565"/>
      <c r="AX899" s="566"/>
      <c r="AY899" s="559"/>
      <c r="AZ899" s="567" t="e">
        <f>AZ898+#REF!</f>
        <v>#REF!</v>
      </c>
      <c r="BA899" s="567"/>
      <c r="BB899" s="567" t="e">
        <f>#REF!</f>
        <v>#REF!</v>
      </c>
      <c r="BC899" s="568" t="e">
        <f>BB899-AZ899</f>
        <v>#REF!</v>
      </c>
      <c r="BI899" s="151"/>
      <c r="BJ899" s="175"/>
    </row>
    <row r="900" s="76" customFormat="1" customHeight="1" spans="1:69">
      <c r="A900" s="76" t="s">
        <v>71</v>
      </c>
      <c r="C900" s="387"/>
      <c r="D900" s="76" t="s">
        <v>1117</v>
      </c>
      <c r="E900" s="76" t="s">
        <v>471</v>
      </c>
      <c r="G900" s="479"/>
      <c r="J900" s="264">
        <f>1960400*2</f>
        <v>3920800</v>
      </c>
      <c r="K900" s="129">
        <v>0.123</v>
      </c>
      <c r="L900" s="129">
        <f t="shared" si="251"/>
        <v>482258.4</v>
      </c>
      <c r="M900" s="129"/>
      <c r="O900" s="76">
        <f>L900-N900</f>
        <v>482258.4</v>
      </c>
      <c r="P900" s="91"/>
      <c r="Q900" s="91"/>
      <c r="R900" s="76" t="s">
        <v>88</v>
      </c>
      <c r="T900" s="387"/>
      <c r="U900" s="387">
        <v>46170</v>
      </c>
      <c r="V900" s="387"/>
      <c r="X900" s="133"/>
      <c r="Z900" s="114"/>
      <c r="AA900" s="114"/>
      <c r="AB900" s="114"/>
      <c r="AC900" s="114"/>
      <c r="AD900" s="140"/>
      <c r="AE900" s="114"/>
      <c r="AF900" s="114"/>
      <c r="AG900" s="114"/>
      <c r="AH900" s="114"/>
      <c r="AM900" s="114"/>
      <c r="AN900" s="114"/>
      <c r="AQ900" s="746"/>
      <c r="AR900" s="387">
        <f t="shared" si="254"/>
        <v>-30</v>
      </c>
      <c r="AS900" s="387"/>
      <c r="AT900" s="387"/>
      <c r="AW900" s="387"/>
      <c r="AX900" s="129"/>
      <c r="AY900" s="114"/>
      <c r="AZ900" s="127"/>
      <c r="BA900" s="127"/>
      <c r="BB900" s="127"/>
      <c r="BC900" s="127"/>
      <c r="BI900" s="75"/>
      <c r="BJ900" s="91"/>
      <c r="BL900" s="76" t="str">
        <f t="shared" si="255"/>
        <v>INTW-24</v>
      </c>
      <c r="BM900" s="76" t="str">
        <f t="shared" si="256"/>
        <v>INDEX</v>
      </c>
      <c r="BN900" s="387">
        <f>C900</f>
        <v>0</v>
      </c>
      <c r="BO900" s="76" t="str">
        <f>E900</f>
        <v>72.9mm #300</v>
      </c>
      <c r="BP900" s="264">
        <f t="shared" si="257"/>
        <v>3920800</v>
      </c>
      <c r="BQ900" s="387">
        <f t="shared" si="258"/>
        <v>46170</v>
      </c>
    </row>
    <row r="901" s="79" customFormat="1" customHeight="1" spans="1:69">
      <c r="A901" s="79" t="s">
        <v>71</v>
      </c>
      <c r="C901" s="463"/>
      <c r="D901" s="79" t="s">
        <v>1117</v>
      </c>
      <c r="G901" s="486"/>
      <c r="H901" s="79" t="s">
        <v>71</v>
      </c>
      <c r="J901" s="579">
        <f t="shared" ref="J901:N901" si="259">SUM(J900)</f>
        <v>3920800</v>
      </c>
      <c r="K901" s="194"/>
      <c r="L901" s="748">
        <f t="shared" si="259"/>
        <v>482258.4</v>
      </c>
      <c r="M901" s="194"/>
      <c r="N901" s="79">
        <f t="shared" si="259"/>
        <v>0</v>
      </c>
      <c r="R901" s="463" t="s">
        <v>88</v>
      </c>
      <c r="T901" s="463"/>
      <c r="U901" s="463"/>
      <c r="V901" s="463"/>
      <c r="X901" s="193"/>
      <c r="Y901" s="79">
        <f>SUM(Y900)</f>
        <v>0</v>
      </c>
      <c r="Z901" s="192"/>
      <c r="AA901" s="79">
        <f>SUM(AA900)</f>
        <v>0</v>
      </c>
      <c r="AB901" s="192"/>
      <c r="AC901" s="192"/>
      <c r="AD901" s="196"/>
      <c r="AE901" s="192"/>
      <c r="AF901" s="192"/>
      <c r="AG901" s="192"/>
      <c r="AH901" s="192"/>
      <c r="AM901" s="192"/>
      <c r="AN901" s="192"/>
      <c r="AQ901" s="463"/>
      <c r="AR901" s="463"/>
      <c r="AS901" s="463"/>
      <c r="AT901" s="463"/>
      <c r="AW901" s="463"/>
      <c r="AX901" s="194"/>
      <c r="AY901" s="192"/>
      <c r="AZ901" s="150"/>
      <c r="BA901" s="150"/>
      <c r="BB901" s="150"/>
      <c r="BC901" s="150"/>
      <c r="BI901" s="151"/>
      <c r="BL901" s="79" t="str">
        <f t="shared" si="255"/>
        <v>INTW-24</v>
      </c>
      <c r="BM901" s="79" t="str">
        <f t="shared" si="256"/>
        <v>INDEX</v>
      </c>
      <c r="BP901" s="79">
        <f t="shared" si="257"/>
        <v>3920800</v>
      </c>
      <c r="BQ901" s="79">
        <f t="shared" si="258"/>
        <v>0</v>
      </c>
    </row>
    <row r="902" s="76" customFormat="1" customHeight="1" spans="1:69">
      <c r="A902" s="76" t="s">
        <v>975</v>
      </c>
      <c r="C902" s="387" t="s">
        <v>1118</v>
      </c>
      <c r="D902" s="76" t="s">
        <v>1119</v>
      </c>
      <c r="E902" s="76" t="s">
        <v>1120</v>
      </c>
      <c r="G902" s="479"/>
      <c r="H902" s="76" t="s">
        <v>93</v>
      </c>
      <c r="J902" s="264">
        <v>696000</v>
      </c>
      <c r="K902" s="373">
        <v>0.224</v>
      </c>
      <c r="L902" s="129">
        <f t="shared" ref="L902:L905" si="260">J902*K902</f>
        <v>155904</v>
      </c>
      <c r="M902" s="129"/>
      <c r="N902" s="76">
        <v>155904</v>
      </c>
      <c r="P902" s="91"/>
      <c r="Q902" s="91"/>
      <c r="R902" s="76" t="s">
        <v>88</v>
      </c>
      <c r="S902" s="76" t="s">
        <v>1121</v>
      </c>
      <c r="T902" s="387">
        <v>46155</v>
      </c>
      <c r="U902" s="387">
        <v>46162</v>
      </c>
      <c r="V902" s="387">
        <v>46162</v>
      </c>
      <c r="W902" s="76">
        <f t="shared" ref="W902:W907" si="261">V902-U902</f>
        <v>0</v>
      </c>
      <c r="X902" s="133"/>
      <c r="Y902" s="76">
        <v>696000</v>
      </c>
      <c r="Z902" s="140">
        <v>0.245</v>
      </c>
      <c r="AA902" s="114">
        <f t="shared" si="253"/>
        <v>170520</v>
      </c>
      <c r="AB902" s="114"/>
      <c r="AC902" s="114"/>
      <c r="AD902" s="140"/>
      <c r="AE902" s="114"/>
      <c r="AF902" s="114"/>
      <c r="AG902" s="114"/>
      <c r="AH902" s="114"/>
      <c r="AM902" s="114"/>
      <c r="AN902" s="76">
        <v>155904</v>
      </c>
      <c r="AQ902" s="387"/>
      <c r="AR902" s="387">
        <f t="shared" si="254"/>
        <v>46132</v>
      </c>
      <c r="AS902" s="387"/>
      <c r="AT902" s="387"/>
      <c r="AW902" s="387"/>
      <c r="AX902" s="129"/>
      <c r="AY902" s="114"/>
      <c r="AZ902" s="127"/>
      <c r="BA902" s="127"/>
      <c r="BB902" s="127"/>
      <c r="BC902" s="127"/>
      <c r="BI902" s="75"/>
      <c r="BJ902" s="91"/>
    </row>
    <row r="903" s="76" customFormat="1" customHeight="1" spans="1:69">
      <c r="A903" s="76" t="s">
        <v>975</v>
      </c>
      <c r="C903" s="387" t="s">
        <v>1118</v>
      </c>
      <c r="D903" s="76" t="s">
        <v>1119</v>
      </c>
      <c r="E903" s="76" t="s">
        <v>1122</v>
      </c>
      <c r="G903" s="479"/>
      <c r="H903" s="76" t="s">
        <v>93</v>
      </c>
      <c r="J903" s="264">
        <v>601920</v>
      </c>
      <c r="K903" s="373">
        <v>0.1695</v>
      </c>
      <c r="L903" s="129">
        <f t="shared" si="260"/>
        <v>102025.44</v>
      </c>
      <c r="M903" s="129"/>
      <c r="N903" s="76">
        <v>102025.44</v>
      </c>
      <c r="P903" s="91"/>
      <c r="Q903" s="91"/>
      <c r="R903" s="76" t="s">
        <v>88</v>
      </c>
      <c r="S903" s="76" t="s">
        <v>1121</v>
      </c>
      <c r="T903" s="387">
        <v>46155</v>
      </c>
      <c r="U903" s="387"/>
      <c r="V903" s="387"/>
      <c r="W903" s="76">
        <f t="shared" si="261"/>
        <v>0</v>
      </c>
      <c r="X903" s="133"/>
      <c r="Y903" s="76">
        <v>601920</v>
      </c>
      <c r="Z903" s="140">
        <v>0.185</v>
      </c>
      <c r="AA903" s="114">
        <f t="shared" si="253"/>
        <v>111355.2</v>
      </c>
      <c r="AB903" s="114"/>
      <c r="AC903" s="114"/>
      <c r="AD903" s="140"/>
      <c r="AE903" s="114"/>
      <c r="AF903" s="114"/>
      <c r="AG903" s="114"/>
      <c r="AH903" s="114"/>
      <c r="AM903" s="114"/>
      <c r="AN903" s="76">
        <v>102025.44</v>
      </c>
      <c r="AQ903" s="387"/>
      <c r="AR903" s="387">
        <f t="shared" si="254"/>
        <v>-30</v>
      </c>
      <c r="AS903" s="387"/>
      <c r="AT903" s="387"/>
      <c r="AW903" s="387"/>
      <c r="AX903" s="129"/>
      <c r="AY903" s="114"/>
      <c r="AZ903" s="127"/>
      <c r="BA903" s="127"/>
      <c r="BB903" s="127"/>
      <c r="BC903" s="127"/>
      <c r="BI903" s="75"/>
      <c r="BJ903" s="91"/>
    </row>
    <row r="904" s="79" customFormat="1" customHeight="1" spans="1:69">
      <c r="A904" s="79" t="s">
        <v>975</v>
      </c>
      <c r="C904" s="463" t="s">
        <v>1118</v>
      </c>
      <c r="D904" s="79" t="s">
        <v>1119</v>
      </c>
      <c r="G904" s="486"/>
      <c r="H904" s="419" t="s">
        <v>93</v>
      </c>
      <c r="J904" s="579">
        <f t="shared" ref="J904:N904" si="262">SUM(J902:J903)</f>
        <v>1297920</v>
      </c>
      <c r="K904" s="194"/>
      <c r="L904" s="748">
        <f t="shared" si="262"/>
        <v>257929.44</v>
      </c>
      <c r="M904" s="194"/>
      <c r="N904" s="79">
        <f t="shared" si="262"/>
        <v>257929.44</v>
      </c>
      <c r="R904" s="463" t="s">
        <v>88</v>
      </c>
      <c r="T904" s="463"/>
      <c r="U904" s="463"/>
      <c r="V904" s="463"/>
      <c r="X904" s="193"/>
      <c r="Y904" s="79">
        <f>SUM(Y902:Y903)</f>
        <v>1297920</v>
      </c>
      <c r="Z904" s="192"/>
      <c r="AA904" s="79">
        <f>SUM(AA902:AA903)</f>
        <v>281875.2</v>
      </c>
      <c r="AB904" s="192"/>
      <c r="AC904" s="192"/>
      <c r="AD904" s="196"/>
      <c r="AE904" s="192"/>
      <c r="AF904" s="192"/>
      <c r="AG904" s="192"/>
      <c r="AH904" s="192"/>
      <c r="AM904" s="192"/>
      <c r="AN904" s="192"/>
      <c r="AQ904" s="463"/>
      <c r="AR904" s="463"/>
      <c r="AS904" s="463"/>
      <c r="AT904" s="463"/>
      <c r="AW904" s="463"/>
      <c r="AX904" s="194"/>
      <c r="AY904" s="192"/>
      <c r="AZ904" s="150"/>
      <c r="BA904" s="150"/>
      <c r="BB904" s="150"/>
      <c r="BC904" s="150"/>
      <c r="BI904" s="151"/>
      <c r="BL904" s="79" t="str">
        <f t="shared" ref="BL904:BL909" si="263">D904</f>
        <v>TJTW-132</v>
      </c>
      <c r="BM904" s="79" t="str">
        <f t="shared" ref="BM904:BM909" si="264">A904</f>
        <v>TIN SERVIS</v>
      </c>
      <c r="BP904" s="79">
        <f t="shared" ref="BP904:BP909" si="265">J904</f>
        <v>1297920</v>
      </c>
      <c r="BQ904" s="79">
        <f t="shared" ref="BQ904:BQ909" si="266">U904</f>
        <v>0</v>
      </c>
    </row>
    <row r="905" s="76" customFormat="1" customHeight="1" spans="1:69">
      <c r="A905" s="76" t="s">
        <v>1123</v>
      </c>
      <c r="C905" s="387"/>
      <c r="D905" s="76" t="s">
        <v>1124</v>
      </c>
      <c r="E905" s="76" t="s">
        <v>1125</v>
      </c>
      <c r="G905" s="479"/>
      <c r="H905" s="76" t="s">
        <v>93</v>
      </c>
      <c r="J905" s="264">
        <v>1160000</v>
      </c>
      <c r="K905" s="373">
        <v>0.2329</v>
      </c>
      <c r="L905" s="129">
        <f t="shared" si="260"/>
        <v>270164</v>
      </c>
      <c r="M905" s="129"/>
      <c r="N905" s="76">
        <v>270164</v>
      </c>
      <c r="O905" s="76">
        <f t="shared" ref="O905:O907" si="267">L905-N905</f>
        <v>0</v>
      </c>
      <c r="P905" s="91"/>
      <c r="Q905" s="91"/>
      <c r="R905" s="76" t="s">
        <v>88</v>
      </c>
      <c r="S905" s="76" t="s">
        <v>1126</v>
      </c>
      <c r="T905" s="387">
        <v>46132</v>
      </c>
      <c r="U905" s="387">
        <v>46160</v>
      </c>
      <c r="V905" s="387">
        <v>46160</v>
      </c>
      <c r="W905" s="76">
        <f t="shared" si="261"/>
        <v>0</v>
      </c>
      <c r="X905" s="133" t="s">
        <v>355</v>
      </c>
      <c r="Y905" s="76">
        <v>1160000</v>
      </c>
      <c r="Z905" s="114">
        <v>0.25</v>
      </c>
      <c r="AA905" s="114">
        <f>Y905*Z905</f>
        <v>290000</v>
      </c>
      <c r="AB905" s="114"/>
      <c r="AC905" s="114"/>
      <c r="AD905" s="140"/>
      <c r="AE905" s="114"/>
      <c r="AF905" s="114"/>
      <c r="AG905" s="114"/>
      <c r="AH905" s="114"/>
      <c r="AM905" s="114"/>
      <c r="AN905" s="114">
        <v>270164</v>
      </c>
      <c r="AQ905" s="746"/>
      <c r="AR905" s="387">
        <f>V905-30</f>
        <v>46130</v>
      </c>
      <c r="AS905" s="387"/>
      <c r="AT905" s="387"/>
      <c r="AW905" s="387"/>
      <c r="AX905" s="129"/>
      <c r="AY905" s="114"/>
      <c r="AZ905" s="127"/>
      <c r="BA905" s="127"/>
      <c r="BB905" s="127"/>
      <c r="BC905" s="127"/>
      <c r="BI905" s="75"/>
      <c r="BJ905" s="91"/>
      <c r="BL905" s="76" t="str">
        <f t="shared" si="263"/>
        <v>TJTW-133</v>
      </c>
      <c r="BM905" s="76" t="str">
        <f t="shared" si="264"/>
        <v>MB</v>
      </c>
      <c r="BN905" s="387">
        <f>C905</f>
        <v>0</v>
      </c>
      <c r="BO905" s="76" t="str">
        <f t="shared" ref="BO905:BO909" si="268">E905</f>
        <v>EOE #401, 98.9 mm, 0.21, T4, ETP, Ad-99 Gold/White  BPA-NI 3N2144-655W</v>
      </c>
      <c r="BP905" s="264">
        <f t="shared" si="265"/>
        <v>1160000</v>
      </c>
      <c r="BQ905" s="387">
        <f t="shared" si="266"/>
        <v>46160</v>
      </c>
    </row>
    <row r="906" s="79" customFormat="1" customHeight="1" spans="1:69">
      <c r="A906" s="79" t="s">
        <v>1123</v>
      </c>
      <c r="C906" s="463"/>
      <c r="D906" s="79" t="s">
        <v>1124</v>
      </c>
      <c r="G906" s="486"/>
      <c r="H906" s="419" t="s">
        <v>93</v>
      </c>
      <c r="J906" s="579">
        <f t="shared" ref="J906:N906" si="269">SUM(J905)</f>
        <v>1160000</v>
      </c>
      <c r="K906" s="194"/>
      <c r="L906" s="748">
        <f t="shared" si="269"/>
        <v>270164</v>
      </c>
      <c r="M906" s="194"/>
      <c r="N906" s="79">
        <f t="shared" si="269"/>
        <v>270164</v>
      </c>
      <c r="R906" s="463" t="s">
        <v>88</v>
      </c>
      <c r="T906" s="463"/>
      <c r="U906" s="463"/>
      <c r="V906" s="463"/>
      <c r="X906" s="193"/>
      <c r="Y906" s="79">
        <f>SUM(Y905)</f>
        <v>1160000</v>
      </c>
      <c r="Z906" s="192"/>
      <c r="AA906" s="79">
        <f>SUM(AA905)</f>
        <v>290000</v>
      </c>
      <c r="AB906" s="192"/>
      <c r="AC906" s="192"/>
      <c r="AD906" s="196"/>
      <c r="AE906" s="192"/>
      <c r="AF906" s="192"/>
      <c r="AG906" s="192"/>
      <c r="AH906" s="192"/>
      <c r="AM906" s="192"/>
      <c r="AN906" s="192"/>
      <c r="AQ906" s="463"/>
      <c r="AR906" s="463"/>
      <c r="AS906" s="463"/>
      <c r="AT906" s="463"/>
      <c r="AW906" s="463"/>
      <c r="AX906" s="194"/>
      <c r="AY906" s="192"/>
      <c r="AZ906" s="150"/>
      <c r="BA906" s="150"/>
      <c r="BB906" s="150"/>
      <c r="BC906" s="150"/>
      <c r="BI906" s="151"/>
      <c r="BL906" s="79" t="str">
        <f t="shared" si="263"/>
        <v>TJTW-133</v>
      </c>
      <c r="BM906" s="79" t="str">
        <f t="shared" si="264"/>
        <v>MB</v>
      </c>
      <c r="BP906" s="79">
        <f t="shared" si="265"/>
        <v>1160000</v>
      </c>
      <c r="BQ906" s="79">
        <f t="shared" si="266"/>
        <v>0</v>
      </c>
    </row>
    <row r="907" s="76" customFormat="1" customHeight="1" spans="1:69">
      <c r="A907" s="76" t="s">
        <v>71</v>
      </c>
      <c r="C907" s="387"/>
      <c r="D907" s="76" t="s">
        <v>1127</v>
      </c>
      <c r="E907" s="76" t="s">
        <v>1128</v>
      </c>
      <c r="G907" s="479"/>
      <c r="H907" s="76" t="s">
        <v>71</v>
      </c>
      <c r="J907" s="264">
        <f>1160000*10</f>
        <v>11600000</v>
      </c>
      <c r="K907" s="373">
        <v>0.2224</v>
      </c>
      <c r="L907" s="129">
        <f t="shared" ref="L907:L913" si="270">J907*K907</f>
        <v>2579840</v>
      </c>
      <c r="M907" s="129"/>
      <c r="N907" s="76">
        <v>1029934.4</v>
      </c>
      <c r="O907" s="76">
        <f t="shared" si="267"/>
        <v>1549905.6</v>
      </c>
      <c r="P907" s="91"/>
      <c r="Q907" s="91"/>
      <c r="R907" s="76" t="s">
        <v>88</v>
      </c>
      <c r="S907" s="76" t="s">
        <v>1129</v>
      </c>
      <c r="T907" s="387">
        <v>46140</v>
      </c>
      <c r="U907" s="387">
        <v>46155</v>
      </c>
      <c r="V907" s="746">
        <v>46242</v>
      </c>
      <c r="W907" s="76">
        <f t="shared" si="261"/>
        <v>87</v>
      </c>
      <c r="X907" s="133"/>
      <c r="Y907" s="76">
        <v>11600000</v>
      </c>
      <c r="Z907" s="114">
        <v>0.24</v>
      </c>
      <c r="AA907" s="114">
        <f t="shared" ref="AA907:AA910" si="271">Y907*Z907</f>
        <v>2784000</v>
      </c>
      <c r="AB907" s="114"/>
      <c r="AC907" s="114"/>
      <c r="AD907" s="140"/>
      <c r="AE907" s="114"/>
      <c r="AF907" s="114"/>
      <c r="AG907" s="114"/>
      <c r="AH907" s="114"/>
      <c r="AM907" s="114"/>
      <c r="AN907" s="114">
        <v>1029934.4</v>
      </c>
      <c r="AQ907" s="746"/>
      <c r="AR907" s="387">
        <f t="shared" ref="AR907:AR912" si="272">V907-30</f>
        <v>46212</v>
      </c>
      <c r="AS907" s="387"/>
      <c r="AT907" s="387"/>
      <c r="AW907" s="387"/>
      <c r="AX907" s="129"/>
      <c r="AY907" s="114"/>
      <c r="AZ907" s="127"/>
      <c r="BA907" s="127"/>
      <c r="BB907" s="127"/>
      <c r="BC907" s="127"/>
      <c r="BI907" s="75"/>
      <c r="BJ907" s="91"/>
      <c r="BL907" s="76" t="str">
        <f t="shared" si="263"/>
        <v>INTW-25</v>
      </c>
      <c r="BM907" s="76" t="str">
        <f t="shared" si="264"/>
        <v>INDEX</v>
      </c>
      <c r="BN907" s="387">
        <f>C907</f>
        <v>0</v>
      </c>
      <c r="BO907" s="76" t="str">
        <f t="shared" si="268"/>
        <v>EOE 99mm ETP T5 Gold/Alum+Gold 0.21</v>
      </c>
      <c r="BP907" s="264">
        <f t="shared" si="265"/>
        <v>11600000</v>
      </c>
      <c r="BQ907" s="387">
        <f t="shared" si="266"/>
        <v>46155</v>
      </c>
    </row>
    <row r="908" s="79" customFormat="1" customHeight="1" spans="1:69">
      <c r="A908" s="79" t="s">
        <v>71</v>
      </c>
      <c r="C908" s="463"/>
      <c r="D908" s="79" t="s">
        <v>1127</v>
      </c>
      <c r="G908" s="486"/>
      <c r="H908" s="79" t="s">
        <v>71</v>
      </c>
      <c r="J908" s="579">
        <f t="shared" ref="J908:N908" si="273">SUM(J907)</f>
        <v>11600000</v>
      </c>
      <c r="K908" s="194"/>
      <c r="L908" s="748">
        <f t="shared" si="273"/>
        <v>2579840</v>
      </c>
      <c r="M908" s="194"/>
      <c r="N908" s="79">
        <f t="shared" si="273"/>
        <v>1029934.4</v>
      </c>
      <c r="R908" s="463" t="s">
        <v>88</v>
      </c>
      <c r="T908" s="463"/>
      <c r="U908" s="463"/>
      <c r="V908" s="463"/>
      <c r="X908" s="193"/>
      <c r="Y908" s="79">
        <f>SUM(Y907)</f>
        <v>11600000</v>
      </c>
      <c r="Z908" s="192"/>
      <c r="AA908" s="79">
        <f>SUM(AA907)</f>
        <v>2784000</v>
      </c>
      <c r="AB908" s="192"/>
      <c r="AC908" s="192"/>
      <c r="AD908" s="196"/>
      <c r="AE908" s="192"/>
      <c r="AF908" s="192"/>
      <c r="AG908" s="192"/>
      <c r="AH908" s="192"/>
      <c r="AM908" s="192"/>
      <c r="AN908" s="192"/>
      <c r="AQ908" s="463"/>
      <c r="AR908" s="463"/>
      <c r="AS908" s="463"/>
      <c r="AT908" s="463"/>
      <c r="AW908" s="463"/>
      <c r="AX908" s="194"/>
      <c r="AY908" s="192"/>
      <c r="AZ908" s="150"/>
      <c r="BA908" s="150"/>
      <c r="BB908" s="150"/>
      <c r="BC908" s="150"/>
      <c r="BI908" s="151"/>
      <c r="BL908" s="79" t="str">
        <f t="shared" si="263"/>
        <v>INTW-25</v>
      </c>
      <c r="BM908" s="79" t="str">
        <f t="shared" si="264"/>
        <v>INDEX</v>
      </c>
      <c r="BP908" s="79">
        <f t="shared" si="265"/>
        <v>11600000</v>
      </c>
      <c r="BQ908" s="79">
        <f t="shared" si="266"/>
        <v>0</v>
      </c>
    </row>
    <row r="909" s="76" customFormat="1" ht="14.4" spans="1:69">
      <c r="A909" s="76" t="s">
        <v>797</v>
      </c>
      <c r="B909" s="76" t="s">
        <v>578</v>
      </c>
      <c r="C909" s="387" t="s">
        <v>1130</v>
      </c>
      <c r="D909" s="76" t="s">
        <v>1131</v>
      </c>
      <c r="E909" s="76" t="s">
        <v>699</v>
      </c>
      <c r="G909" s="479"/>
      <c r="H909" s="76" t="s">
        <v>93</v>
      </c>
      <c r="J909" s="129">
        <v>15</v>
      </c>
      <c r="K909" s="129">
        <f t="shared" ref="K909:K913" si="274">Z909+340</f>
        <v>5665</v>
      </c>
      <c r="L909" s="129">
        <f t="shared" si="270"/>
        <v>84975</v>
      </c>
      <c r="M909" s="129"/>
      <c r="N909" s="114">
        <v>100000</v>
      </c>
      <c r="O909" s="199">
        <f t="shared" ref="O909:O913" si="275">L909-N909</f>
        <v>-15025</v>
      </c>
      <c r="P909" s="91"/>
      <c r="Q909" s="91"/>
      <c r="R909" s="76" t="s">
        <v>66</v>
      </c>
      <c r="S909" s="76" t="s">
        <v>1132</v>
      </c>
      <c r="T909" s="387">
        <v>46142</v>
      </c>
      <c r="U909" s="387">
        <f t="shared" ref="U909:U913" si="276">T909+45</f>
        <v>46187</v>
      </c>
      <c r="V909" s="387">
        <f t="shared" ref="V909:V910" si="277">U909+8</f>
        <v>46195</v>
      </c>
      <c r="W909" s="76">
        <f>V909-U909</f>
        <v>8</v>
      </c>
      <c r="X909" s="133"/>
      <c r="Y909" s="750">
        <v>10.139</v>
      </c>
      <c r="Z909" s="114">
        <v>5325</v>
      </c>
      <c r="AA909" s="114">
        <f t="shared" si="271"/>
        <v>53990.175</v>
      </c>
      <c r="AB909" s="114">
        <v>13312.5</v>
      </c>
      <c r="AC909" s="114">
        <f t="shared" ref="AC909:AC914" si="278">AA909-AB909</f>
        <v>40677.675</v>
      </c>
      <c r="AD909" s="140"/>
      <c r="AE909" s="114"/>
      <c r="AF909" s="114"/>
      <c r="AG909" s="114"/>
      <c r="AH909" s="114"/>
      <c r="AI909" s="91"/>
      <c r="AM909" s="114"/>
      <c r="AN909" s="114">
        <v>100000</v>
      </c>
      <c r="AP909" s="91"/>
      <c r="AQ909" s="746">
        <f>V909</f>
        <v>46195</v>
      </c>
      <c r="AR909" s="387">
        <f t="shared" si="272"/>
        <v>46165</v>
      </c>
      <c r="AS909" s="387"/>
      <c r="AT909" s="387"/>
      <c r="AW909" s="387"/>
      <c r="AX909" s="129"/>
      <c r="AY909" s="114"/>
      <c r="AZ909" s="127"/>
      <c r="BA909" s="127"/>
      <c r="BB909" s="127"/>
      <c r="BC909" s="127"/>
      <c r="BI909" s="75"/>
      <c r="BJ909" s="91"/>
      <c r="BL909" s="76" t="str">
        <f t="shared" si="263"/>
        <v>TJTW-134</v>
      </c>
      <c r="BM909" s="76" t="str">
        <f t="shared" si="264"/>
        <v>INTEX</v>
      </c>
      <c r="BO909" s="76" t="str">
        <f t="shared" si="268"/>
        <v>0.30*790*855 2.0/2.0 T3 BA</v>
      </c>
      <c r="BP909" s="129">
        <f t="shared" si="265"/>
        <v>15</v>
      </c>
      <c r="BQ909" s="387">
        <f t="shared" si="266"/>
        <v>46187</v>
      </c>
    </row>
    <row r="910" s="76" customFormat="1" ht="14.4" spans="1:69">
      <c r="A910" s="76" t="s">
        <v>797</v>
      </c>
      <c r="B910" s="76" t="s">
        <v>578</v>
      </c>
      <c r="C910" s="387" t="s">
        <v>1130</v>
      </c>
      <c r="D910" s="76" t="s">
        <v>1131</v>
      </c>
      <c r="E910" s="76" t="s">
        <v>705</v>
      </c>
      <c r="G910" s="479"/>
      <c r="H910" s="76" t="s">
        <v>93</v>
      </c>
      <c r="J910" s="129">
        <v>10</v>
      </c>
      <c r="K910" s="129">
        <f t="shared" si="274"/>
        <v>5665</v>
      </c>
      <c r="L910" s="129">
        <f t="shared" si="270"/>
        <v>56650</v>
      </c>
      <c r="M910" s="129"/>
      <c r="O910" s="199">
        <f t="shared" si="275"/>
        <v>56650</v>
      </c>
      <c r="P910" s="91"/>
      <c r="Q910" s="91"/>
      <c r="R910" s="76" t="s">
        <v>66</v>
      </c>
      <c r="S910" s="76" t="s">
        <v>1132</v>
      </c>
      <c r="T910" s="387">
        <v>46142</v>
      </c>
      <c r="U910" s="387">
        <f t="shared" si="276"/>
        <v>46187</v>
      </c>
      <c r="V910" s="387">
        <v>46176</v>
      </c>
      <c r="W910" s="76">
        <f>V910-U910</f>
        <v>-11</v>
      </c>
      <c r="X910" s="133"/>
      <c r="Y910" s="750">
        <v>16.997</v>
      </c>
      <c r="Z910" s="114">
        <v>5325</v>
      </c>
      <c r="AA910" s="114">
        <f t="shared" si="271"/>
        <v>90509.025</v>
      </c>
      <c r="AB910" s="114"/>
      <c r="AC910" s="114">
        <f t="shared" si="278"/>
        <v>90509.025</v>
      </c>
      <c r="AD910" s="140"/>
      <c r="AE910" s="114"/>
      <c r="AF910" s="114"/>
      <c r="AG910" s="114"/>
      <c r="AH910" s="114"/>
      <c r="AI910" s="91"/>
      <c r="AM910" s="114"/>
      <c r="AN910" s="114"/>
      <c r="AP910" s="91"/>
      <c r="AQ910" s="746"/>
      <c r="AR910" s="387"/>
      <c r="AS910" s="387"/>
      <c r="AT910" s="387"/>
      <c r="AW910" s="387"/>
      <c r="AX910" s="129"/>
      <c r="AY910" s="114"/>
      <c r="AZ910" s="127"/>
      <c r="BA910" s="127"/>
      <c r="BB910" s="127"/>
      <c r="BC910" s="127"/>
      <c r="BI910" s="75"/>
      <c r="BJ910" s="91"/>
      <c r="BP910" s="129"/>
      <c r="BQ910" s="387"/>
    </row>
    <row r="911" s="79" customFormat="1" ht="14.4" spans="1:69">
      <c r="A911" s="79" t="s">
        <v>797</v>
      </c>
      <c r="B911" s="79" t="s">
        <v>578</v>
      </c>
      <c r="C911" s="517" t="s">
        <v>1130</v>
      </c>
      <c r="D911" s="79" t="s">
        <v>1131</v>
      </c>
      <c r="G911" s="486"/>
      <c r="H911" s="79" t="s">
        <v>93</v>
      </c>
      <c r="J911" s="194">
        <f>SUM(J909:J910)</f>
        <v>25</v>
      </c>
      <c r="K911" s="194"/>
      <c r="L911" s="194">
        <f>SUM(L909:L910)</f>
        <v>141625</v>
      </c>
      <c r="M911" s="194">
        <f>SUM(M909:M909)</f>
        <v>0</v>
      </c>
      <c r="N911" s="194">
        <f>SUM(N909:N910)</f>
        <v>100000</v>
      </c>
      <c r="O911" s="194">
        <f>SUM(O909:O910)</f>
        <v>41625</v>
      </c>
      <c r="R911" s="79" t="s">
        <v>66</v>
      </c>
      <c r="T911" s="463"/>
      <c r="U911" s="463"/>
      <c r="V911" s="463"/>
      <c r="X911" s="193"/>
      <c r="Y911" s="194">
        <f>SUM(Y909:Y910)</f>
        <v>27.136</v>
      </c>
      <c r="Z911" s="194"/>
      <c r="AA911" s="194">
        <f>SUM(AA909:AA910)</f>
        <v>144499.2</v>
      </c>
      <c r="AB911" s="194">
        <f t="shared" ref="AB911:AC911" si="279">SUM(AB909:AB909)</f>
        <v>13312.5</v>
      </c>
      <c r="AC911" s="194">
        <f>SUM(AC909:AC910)</f>
        <v>131186.7</v>
      </c>
      <c r="AD911" s="196"/>
      <c r="AE911" s="192"/>
      <c r="AF911" s="192"/>
      <c r="AG911" s="192"/>
      <c r="AH911" s="192"/>
      <c r="AK911" s="194">
        <f>SUM(AK909:AK909)</f>
        <v>0</v>
      </c>
      <c r="AM911" s="192"/>
      <c r="AN911" s="192"/>
      <c r="AQ911" s="463"/>
      <c r="AR911" s="463"/>
      <c r="AS911" s="463"/>
      <c r="AT911" s="463"/>
      <c r="AW911" s="463"/>
      <c r="AX911" s="194"/>
      <c r="AY911" s="192"/>
      <c r="AZ911" s="150"/>
      <c r="BA911" s="150"/>
      <c r="BB911" s="150"/>
      <c r="BC911" s="150"/>
      <c r="BI911" s="151"/>
    </row>
    <row r="912" s="76" customFormat="1" ht="14.4" spans="1:69">
      <c r="A912" s="76" t="s">
        <v>797</v>
      </c>
      <c r="C912" s="387" t="s">
        <v>1133</v>
      </c>
      <c r="D912" s="76" t="s">
        <v>1134</v>
      </c>
      <c r="E912" s="76" t="s">
        <v>705</v>
      </c>
      <c r="G912" s="479"/>
      <c r="H912" s="76" t="s">
        <v>93</v>
      </c>
      <c r="J912" s="129">
        <v>20</v>
      </c>
      <c r="K912" s="129">
        <f t="shared" si="274"/>
        <v>5740</v>
      </c>
      <c r="L912" s="129">
        <f t="shared" si="270"/>
        <v>114800</v>
      </c>
      <c r="M912" s="129"/>
      <c r="N912" s="76">
        <v>154980</v>
      </c>
      <c r="O912" s="199">
        <f t="shared" si="275"/>
        <v>-40180</v>
      </c>
      <c r="P912" s="91"/>
      <c r="Q912" s="91"/>
      <c r="R912" s="76" t="s">
        <v>66</v>
      </c>
      <c r="S912" s="76" t="s">
        <v>1135</v>
      </c>
      <c r="T912" s="387">
        <v>46153</v>
      </c>
      <c r="U912" s="387">
        <f t="shared" si="276"/>
        <v>46198</v>
      </c>
      <c r="V912" s="387">
        <f>U912+5</f>
        <v>46203</v>
      </c>
      <c r="W912" s="76">
        <f>V912-U912</f>
        <v>5</v>
      </c>
      <c r="X912" s="133"/>
      <c r="Y912" s="750">
        <v>16.945</v>
      </c>
      <c r="Z912" s="114">
        <v>5400</v>
      </c>
      <c r="AA912" s="114">
        <f t="shared" ref="AA912:AA919" si="280">Y912*Z912</f>
        <v>91503</v>
      </c>
      <c r="AB912" s="114">
        <v>16200</v>
      </c>
      <c r="AC912" s="114">
        <f t="shared" si="278"/>
        <v>75303</v>
      </c>
      <c r="AD912" s="140"/>
      <c r="AE912" s="114"/>
      <c r="AF912" s="114"/>
      <c r="AG912" s="114"/>
      <c r="AH912" s="114"/>
      <c r="AI912" s="91"/>
      <c r="AM912" s="114"/>
      <c r="AN912" s="76">
        <v>154980</v>
      </c>
      <c r="AP912" s="91"/>
      <c r="AQ912" s="746">
        <f t="shared" ref="AQ912:AQ919" si="281">V912</f>
        <v>46203</v>
      </c>
      <c r="AR912" s="387">
        <f t="shared" si="272"/>
        <v>46173</v>
      </c>
      <c r="AS912" s="387"/>
      <c r="AT912" s="387"/>
      <c r="AW912" s="387"/>
      <c r="AX912" s="129"/>
      <c r="AY912" s="114"/>
      <c r="AZ912" s="127"/>
      <c r="BA912" s="127"/>
      <c r="BB912" s="127"/>
      <c r="BC912" s="127"/>
      <c r="BI912" s="75"/>
      <c r="BJ912" s="91"/>
      <c r="BL912" s="76" t="str">
        <f>D912</f>
        <v>TJTW-135</v>
      </c>
      <c r="BM912" s="76" t="str">
        <f>A912</f>
        <v>INTEX</v>
      </c>
      <c r="BO912" s="76" t="str">
        <f>E912</f>
        <v>0.30*960*640 2.0/2.0 T3 BA</v>
      </c>
      <c r="BP912" s="129">
        <f>J912</f>
        <v>20</v>
      </c>
      <c r="BQ912" s="387">
        <f>U912</f>
        <v>46198</v>
      </c>
    </row>
    <row r="913" s="76" customFormat="1" ht="14.4" spans="1:69 16378:16379">
      <c r="A913" s="76" t="s">
        <v>797</v>
      </c>
      <c r="C913" s="387" t="s">
        <v>1133</v>
      </c>
      <c r="D913" s="76" t="s">
        <v>1134</v>
      </c>
      <c r="E913" s="76" t="s">
        <v>1136</v>
      </c>
      <c r="G913" s="479"/>
      <c r="H913" s="76" t="s">
        <v>93</v>
      </c>
      <c r="J913" s="129">
        <v>10</v>
      </c>
      <c r="K913" s="129">
        <f t="shared" si="274"/>
        <v>5740</v>
      </c>
      <c r="L913" s="129">
        <f t="shared" si="270"/>
        <v>57400</v>
      </c>
      <c r="M913" s="129"/>
      <c r="O913" s="199">
        <f t="shared" si="275"/>
        <v>57400</v>
      </c>
      <c r="P913" s="91"/>
      <c r="Q913" s="91"/>
      <c r="R913" s="76" t="s">
        <v>66</v>
      </c>
      <c r="S913" s="76" t="s">
        <v>1135</v>
      </c>
      <c r="T913" s="387">
        <v>46153</v>
      </c>
      <c r="U913" s="387">
        <f t="shared" si="276"/>
        <v>46198</v>
      </c>
      <c r="V913" s="387">
        <f>U913+5</f>
        <v>46203</v>
      </c>
      <c r="W913" s="76">
        <f>V913-U913</f>
        <v>5</v>
      </c>
      <c r="X913" s="133"/>
      <c r="Y913" s="750">
        <v>16.234</v>
      </c>
      <c r="Z913" s="114">
        <v>5400</v>
      </c>
      <c r="AA913" s="114">
        <f t="shared" si="280"/>
        <v>87663.6</v>
      </c>
      <c r="AB913" s="114"/>
      <c r="AC913" s="114">
        <f t="shared" si="278"/>
        <v>87663.6</v>
      </c>
      <c r="AD913" s="140"/>
      <c r="AE913" s="114"/>
      <c r="AF913" s="114"/>
      <c r="AG913" s="114"/>
      <c r="AH913" s="114"/>
      <c r="AI913" s="91"/>
      <c r="AM913" s="114"/>
      <c r="AN913" s="114"/>
      <c r="AP913" s="91"/>
      <c r="AQ913" s="746"/>
      <c r="AR913" s="387"/>
      <c r="AS913" s="387"/>
      <c r="AT913" s="387"/>
      <c r="AW913" s="387"/>
      <c r="AX913" s="129"/>
      <c r="AY913" s="114"/>
      <c r="AZ913" s="127"/>
      <c r="BA913" s="127"/>
      <c r="BB913" s="127"/>
      <c r="BC913" s="127"/>
      <c r="BI913" s="75"/>
      <c r="BJ913" s="91"/>
      <c r="BP913" s="129"/>
      <c r="BQ913" s="387"/>
    </row>
    <row r="914" s="79" customFormat="1" ht="14.4" spans="1:69 16378:16379">
      <c r="A914" s="79" t="s">
        <v>797</v>
      </c>
      <c r="C914" s="517" t="s">
        <v>1133</v>
      </c>
      <c r="D914" s="79" t="s">
        <v>1134</v>
      </c>
      <c r="G914" s="486"/>
      <c r="H914" s="79" t="s">
        <v>93</v>
      </c>
      <c r="J914" s="194">
        <f t="shared" ref="J914:O914" si="282">SUM(J912:J913)</f>
        <v>30</v>
      </c>
      <c r="K914" s="194"/>
      <c r="L914" s="194">
        <f t="shared" si="282"/>
        <v>172200</v>
      </c>
      <c r="M914" s="194">
        <f>SUM(M912:M912)</f>
        <v>0</v>
      </c>
      <c r="N914" s="194">
        <f t="shared" si="282"/>
        <v>154980</v>
      </c>
      <c r="O914" s="194">
        <f t="shared" si="282"/>
        <v>17220</v>
      </c>
      <c r="R914" s="79" t="s">
        <v>66</v>
      </c>
      <c r="T914" s="463"/>
      <c r="U914" s="463"/>
      <c r="V914" s="463"/>
      <c r="X914" s="193"/>
      <c r="Y914" s="194">
        <f>SUM(Y912:Y913)</f>
        <v>33.179</v>
      </c>
      <c r="Z914" s="194"/>
      <c r="AA914" s="194">
        <f>SUM(AA912:AA913)</f>
        <v>179166.6</v>
      </c>
      <c r="AB914" s="194">
        <f>SUM(AB912:AB912)</f>
        <v>16200</v>
      </c>
      <c r="AC914" s="194">
        <f t="shared" si="278"/>
        <v>162966.6</v>
      </c>
      <c r="AD914" s="196"/>
      <c r="AE914" s="192"/>
      <c r="AF914" s="192"/>
      <c r="AG914" s="192"/>
      <c r="AH914" s="192"/>
      <c r="AK914" s="194">
        <f>SUM(AK912:AK912)</f>
        <v>0</v>
      </c>
      <c r="AM914" s="192"/>
      <c r="AN914" s="192"/>
      <c r="AQ914" s="463"/>
      <c r="AR914" s="463"/>
      <c r="AS914" s="463"/>
      <c r="AT914" s="463"/>
      <c r="AW914" s="463"/>
      <c r="AX914" s="194"/>
      <c r="AY914" s="192"/>
      <c r="AZ914" s="150"/>
      <c r="BA914" s="150"/>
      <c r="BB914" s="150"/>
      <c r="BC914" s="150"/>
      <c r="BI914" s="151"/>
    </row>
    <row r="915" s="76" customFormat="1" customHeight="1" spans="1:69 16378:16379">
      <c r="A915" s="76" t="s">
        <v>744</v>
      </c>
      <c r="B915" s="76" t="s">
        <v>440</v>
      </c>
      <c r="C915" s="387" t="s">
        <v>1137</v>
      </c>
      <c r="D915" s="76" t="s">
        <v>1138</v>
      </c>
      <c r="E915" s="76" t="s">
        <v>1139</v>
      </c>
      <c r="G915" s="479"/>
      <c r="H915" s="76" t="s">
        <v>93</v>
      </c>
      <c r="J915" s="129">
        <v>54</v>
      </c>
      <c r="K915" s="129">
        <f t="shared" ref="K915:K919" si="283">Z915+340</f>
        <v>6275</v>
      </c>
      <c r="L915" s="129">
        <f>J915*K915</f>
        <v>338850</v>
      </c>
      <c r="M915" s="129"/>
      <c r="N915" s="76">
        <v>834904.12</v>
      </c>
      <c r="P915" s="91"/>
      <c r="Q915" s="91"/>
      <c r="R915" s="76" t="s">
        <v>1140</v>
      </c>
      <c r="S915" s="76" t="s">
        <v>1141</v>
      </c>
      <c r="T915" s="387">
        <v>46169</v>
      </c>
      <c r="U915" s="387">
        <f t="shared" ref="U915:U919" si="284">T915+40</f>
        <v>46209</v>
      </c>
      <c r="V915" s="746">
        <v>46244</v>
      </c>
      <c r="W915" s="76">
        <f t="shared" ref="W915:W919" si="285">V915-U915</f>
        <v>35</v>
      </c>
      <c r="X915" s="133" t="s">
        <v>436</v>
      </c>
      <c r="Y915" s="129">
        <v>50.852</v>
      </c>
      <c r="Z915" s="114">
        <v>5935</v>
      </c>
      <c r="AA915" s="114">
        <f t="shared" si="280"/>
        <v>301806.62</v>
      </c>
      <c r="AB915" s="114">
        <v>188109</v>
      </c>
      <c r="AC915" s="114">
        <f t="shared" ref="AC914:AC919" si="286">AA915-AB915</f>
        <v>113697.62</v>
      </c>
      <c r="AD915" s="140"/>
      <c r="AE915" s="114"/>
      <c r="AF915" s="114"/>
      <c r="AG915" s="114"/>
      <c r="AH915" s="114"/>
      <c r="AM915" s="114"/>
      <c r="AN915" s="114">
        <v>834904.12</v>
      </c>
      <c r="AQ915" s="746">
        <f t="shared" si="281"/>
        <v>46244</v>
      </c>
      <c r="AR915" s="387">
        <f t="shared" ref="AR915:AR919" si="287">V915-30</f>
        <v>46214</v>
      </c>
      <c r="AS915" s="387"/>
      <c r="AT915" s="387"/>
      <c r="AW915" s="387"/>
      <c r="AX915" s="129"/>
      <c r="AY915" s="114"/>
      <c r="AZ915" s="127"/>
      <c r="BA915" s="127"/>
      <c r="BB915" s="127"/>
      <c r="BC915" s="127"/>
      <c r="BI915" s="75"/>
      <c r="BJ915" s="91"/>
      <c r="BL915" s="76" t="str">
        <f>D915</f>
        <v>TJTW-136</v>
      </c>
      <c r="BM915" s="76" t="s">
        <v>744</v>
      </c>
      <c r="BO915" s="76" t="e">
        <v>#REF!</v>
      </c>
      <c r="BP915" s="129" t="e">
        <v>#REF!</v>
      </c>
      <c r="BQ915" s="387">
        <v>46186</v>
      </c>
    </row>
    <row r="916" s="76" customFormat="1" customHeight="1" spans="1:69 16378:16379">
      <c r="A916" s="76" t="s">
        <v>744</v>
      </c>
      <c r="B916" s="76" t="s">
        <v>440</v>
      </c>
      <c r="C916" s="387" t="s">
        <v>1137</v>
      </c>
      <c r="D916" s="76" t="s">
        <v>1138</v>
      </c>
      <c r="E916" s="76" t="s">
        <v>1142</v>
      </c>
      <c r="G916" s="479">
        <v>10</v>
      </c>
      <c r="H916" s="76" t="s">
        <v>93</v>
      </c>
      <c r="J916" s="129">
        <v>54</v>
      </c>
      <c r="K916" s="129">
        <f t="shared" si="283"/>
        <v>6190</v>
      </c>
      <c r="L916" s="129">
        <f t="shared" ref="L916:L929" si="288">J916*K916</f>
        <v>334260</v>
      </c>
      <c r="M916" s="129"/>
      <c r="N916" s="114">
        <v>482007.68</v>
      </c>
      <c r="P916" s="91"/>
      <c r="Q916" s="91"/>
      <c r="R916" s="76" t="s">
        <v>1140</v>
      </c>
      <c r="S916" s="76" t="s">
        <v>1141</v>
      </c>
      <c r="T916" s="387">
        <v>46169</v>
      </c>
      <c r="U916" s="387">
        <f t="shared" si="284"/>
        <v>46209</v>
      </c>
      <c r="V916" s="746">
        <v>46244</v>
      </c>
      <c r="W916" s="76">
        <f t="shared" si="285"/>
        <v>35</v>
      </c>
      <c r="X916" s="133" t="s">
        <v>436</v>
      </c>
      <c r="Y916" s="129">
        <v>49.142</v>
      </c>
      <c r="Z916" s="114">
        <v>5850</v>
      </c>
      <c r="AA916" s="114">
        <f t="shared" si="280"/>
        <v>287480.7</v>
      </c>
      <c r="AB916" s="114"/>
      <c r="AC916" s="114">
        <f t="shared" si="286"/>
        <v>287480.7</v>
      </c>
      <c r="AD916" s="140"/>
      <c r="AE916" s="114"/>
      <c r="AF916" s="114"/>
      <c r="AG916" s="114"/>
      <c r="AH916" s="114"/>
      <c r="AM916" s="114"/>
      <c r="AN916" s="114">
        <v>482007.68</v>
      </c>
      <c r="AQ916" s="746">
        <f t="shared" si="281"/>
        <v>46244</v>
      </c>
      <c r="AR916" s="387">
        <f t="shared" si="287"/>
        <v>46214</v>
      </c>
      <c r="AS916" s="387"/>
      <c r="AT916" s="387"/>
      <c r="AW916" s="387"/>
      <c r="AX916" s="129"/>
      <c r="AY916" s="114"/>
      <c r="AZ916" s="127"/>
      <c r="BA916" s="127"/>
      <c r="BB916" s="127"/>
      <c r="BC916" s="127"/>
      <c r="BI916" s="75"/>
      <c r="BJ916" s="91"/>
      <c r="BL916" s="76" t="str">
        <f>D916</f>
        <v>TJTW-136</v>
      </c>
      <c r="BM916" s="76" t="s">
        <v>744</v>
      </c>
      <c r="BO916" s="76" t="e">
        <v>#REF!</v>
      </c>
      <c r="BP916" s="129">
        <v>54</v>
      </c>
      <c r="BQ916" s="387">
        <v>46186</v>
      </c>
    </row>
    <row r="917" s="76" customFormat="1" customHeight="1" spans="1:69 16378:16379">
      <c r="A917" s="76" t="s">
        <v>744</v>
      </c>
      <c r="B917" s="76" t="s">
        <v>440</v>
      </c>
      <c r="C917" s="387" t="s">
        <v>1137</v>
      </c>
      <c r="D917" s="76" t="s">
        <v>1138</v>
      </c>
      <c r="E917" s="76" t="s">
        <v>1143</v>
      </c>
      <c r="G917" s="479">
        <v>11</v>
      </c>
      <c r="H917" s="76" t="s">
        <v>93</v>
      </c>
      <c r="J917" s="129">
        <v>81</v>
      </c>
      <c r="K917" s="129">
        <f t="shared" si="283"/>
        <v>6190</v>
      </c>
      <c r="L917" s="129">
        <f t="shared" si="288"/>
        <v>501390</v>
      </c>
      <c r="M917" s="129"/>
      <c r="N917" s="114">
        <v>617279.97</v>
      </c>
      <c r="P917" s="91"/>
      <c r="Q917" s="91"/>
      <c r="R917" s="76" t="s">
        <v>1140</v>
      </c>
      <c r="S917" s="76" t="s">
        <v>1141</v>
      </c>
      <c r="T917" s="387">
        <v>46169</v>
      </c>
      <c r="U917" s="387">
        <f t="shared" si="284"/>
        <v>46209</v>
      </c>
      <c r="V917" s="746">
        <v>46248</v>
      </c>
      <c r="W917" s="76">
        <f t="shared" si="285"/>
        <v>39</v>
      </c>
      <c r="X917" s="133" t="s">
        <v>436</v>
      </c>
      <c r="Y917" s="129">
        <v>79.928</v>
      </c>
      <c r="Z917" s="114">
        <v>5850</v>
      </c>
      <c r="AA917" s="114">
        <f t="shared" si="280"/>
        <v>467578.8</v>
      </c>
      <c r="AB917" s="114"/>
      <c r="AC917" s="114">
        <f t="shared" si="286"/>
        <v>467578.8</v>
      </c>
      <c r="AD917" s="140"/>
      <c r="AE917" s="114"/>
      <c r="AF917" s="114"/>
      <c r="AG917" s="114"/>
      <c r="AH917" s="114"/>
      <c r="AI917" s="91"/>
      <c r="AM917" s="114"/>
      <c r="AN917" s="114">
        <v>617279.97</v>
      </c>
      <c r="AP917" s="91"/>
      <c r="AQ917" s="746">
        <f t="shared" si="281"/>
        <v>46248</v>
      </c>
      <c r="AR917" s="387">
        <f t="shared" si="287"/>
        <v>46218</v>
      </c>
      <c r="AS917" s="387"/>
      <c r="AT917" s="387"/>
      <c r="AW917" s="387"/>
      <c r="AX917" s="129"/>
      <c r="AY917" s="114"/>
      <c r="AZ917" s="127"/>
      <c r="BA917" s="127"/>
      <c r="BB917" s="127"/>
      <c r="BC917" s="127"/>
      <c r="BI917" s="75"/>
      <c r="BJ917" s="91"/>
      <c r="BL917" s="76" t="str">
        <f>D917</f>
        <v>TJTW-136</v>
      </c>
      <c r="BM917" s="76" t="s">
        <v>744</v>
      </c>
      <c r="BO917" s="76" t="s">
        <v>1071</v>
      </c>
      <c r="BP917" s="129">
        <v>54</v>
      </c>
      <c r="BQ917" s="387">
        <v>46186</v>
      </c>
    </row>
    <row r="918" s="76" customFormat="1" customHeight="1" spans="1:69 16378:16379">
      <c r="A918" s="76" t="s">
        <v>744</v>
      </c>
      <c r="B918" s="76" t="s">
        <v>440</v>
      </c>
      <c r="C918" s="387" t="s">
        <v>1137</v>
      </c>
      <c r="D918" s="76" t="s">
        <v>1138</v>
      </c>
      <c r="E918" s="76" t="s">
        <v>1144</v>
      </c>
      <c r="G918" s="479">
        <v>12</v>
      </c>
      <c r="H918" s="76" t="s">
        <v>93</v>
      </c>
      <c r="J918" s="129">
        <v>27</v>
      </c>
      <c r="K918" s="129">
        <f t="shared" si="283"/>
        <v>6190</v>
      </c>
      <c r="L918" s="129">
        <f t="shared" si="288"/>
        <v>167130</v>
      </c>
      <c r="M918" s="129"/>
      <c r="P918" s="91"/>
      <c r="Q918" s="91"/>
      <c r="R918" s="76" t="s">
        <v>1140</v>
      </c>
      <c r="S918" s="76" t="s">
        <v>1141</v>
      </c>
      <c r="T918" s="387">
        <v>46169</v>
      </c>
      <c r="U918" s="387">
        <f t="shared" si="284"/>
        <v>46209</v>
      </c>
      <c r="V918" s="746">
        <v>46244</v>
      </c>
      <c r="W918" s="76">
        <f t="shared" si="285"/>
        <v>35</v>
      </c>
      <c r="X918" s="133" t="s">
        <v>436</v>
      </c>
      <c r="Y918" s="129">
        <v>32.131</v>
      </c>
      <c r="Z918" s="114">
        <v>5850</v>
      </c>
      <c r="AA918" s="114">
        <f t="shared" si="280"/>
        <v>187966.35</v>
      </c>
      <c r="AB918" s="114"/>
      <c r="AC918" s="114">
        <f t="shared" si="286"/>
        <v>187966.35</v>
      </c>
      <c r="AD918" s="140"/>
      <c r="AE918" s="114"/>
      <c r="AF918" s="114"/>
      <c r="AG918" s="114"/>
      <c r="AH918" s="114"/>
      <c r="AM918" s="114"/>
      <c r="AN918" s="114"/>
      <c r="AQ918" s="746">
        <f t="shared" si="281"/>
        <v>46244</v>
      </c>
      <c r="AR918" s="387">
        <f t="shared" si="287"/>
        <v>46214</v>
      </c>
      <c r="AS918" s="387"/>
      <c r="AT918" s="387"/>
      <c r="AW918" s="387"/>
      <c r="AX918" s="129"/>
      <c r="AY918" s="114"/>
      <c r="AZ918" s="127"/>
      <c r="BA918" s="127"/>
      <c r="BB918" s="127"/>
      <c r="BC918" s="127"/>
      <c r="BI918" s="75"/>
      <c r="BJ918" s="91"/>
      <c r="BL918" s="76" t="str">
        <f>D918</f>
        <v>TJTW-136</v>
      </c>
      <c r="BM918" s="76" t="s">
        <v>744</v>
      </c>
      <c r="BO918" s="76" t="s">
        <v>1073</v>
      </c>
      <c r="BP918" s="129">
        <v>54</v>
      </c>
      <c r="BQ918" s="387">
        <v>46186</v>
      </c>
    </row>
    <row r="919" s="76" customFormat="1" customHeight="1" spans="1:69 16378:16379">
      <c r="A919" s="76" t="s">
        <v>744</v>
      </c>
      <c r="B919" s="76" t="s">
        <v>440</v>
      </c>
      <c r="C919" s="387" t="s">
        <v>1137</v>
      </c>
      <c r="D919" s="76" t="s">
        <v>1138</v>
      </c>
      <c r="E919" s="76" t="s">
        <v>1145</v>
      </c>
      <c r="G919" s="479">
        <v>8</v>
      </c>
      <c r="H919" s="76" t="s">
        <v>93</v>
      </c>
      <c r="J919" s="405">
        <v>108</v>
      </c>
      <c r="K919" s="129">
        <f t="shared" si="283"/>
        <v>6015</v>
      </c>
      <c r="L919" s="129">
        <f t="shared" si="288"/>
        <v>649620</v>
      </c>
      <c r="M919" s="129"/>
      <c r="P919" s="91"/>
      <c r="Q919" s="91"/>
      <c r="R919" s="76" t="s">
        <v>1140</v>
      </c>
      <c r="S919" s="76" t="s">
        <v>1141</v>
      </c>
      <c r="T919" s="387">
        <v>46169</v>
      </c>
      <c r="U919" s="387">
        <f t="shared" si="284"/>
        <v>46209</v>
      </c>
      <c r="V919" s="746">
        <v>46244</v>
      </c>
      <c r="W919" s="76">
        <f t="shared" si="285"/>
        <v>35</v>
      </c>
      <c r="X919" s="133" t="s">
        <v>436</v>
      </c>
      <c r="Y919" s="405">
        <v>101.436</v>
      </c>
      <c r="Z919" s="114">
        <v>5675</v>
      </c>
      <c r="AA919" s="114">
        <f t="shared" si="280"/>
        <v>575649.3</v>
      </c>
      <c r="AB919" s="114"/>
      <c r="AC919" s="114">
        <f t="shared" si="286"/>
        <v>575649.3</v>
      </c>
      <c r="AD919" s="140"/>
      <c r="AE919" s="114"/>
      <c r="AF919" s="114"/>
      <c r="AG919" s="114"/>
      <c r="AH919" s="114"/>
      <c r="AM919" s="114"/>
      <c r="AN919" s="114"/>
      <c r="AQ919" s="746">
        <f t="shared" si="281"/>
        <v>46244</v>
      </c>
      <c r="AR919" s="387">
        <f t="shared" si="287"/>
        <v>46214</v>
      </c>
      <c r="AS919" s="387"/>
      <c r="AT919" s="387"/>
      <c r="AW919" s="387"/>
      <c r="AX919" s="129"/>
      <c r="AY919" s="114"/>
      <c r="AZ919" s="127"/>
      <c r="BA919" s="127"/>
      <c r="BB919" s="127"/>
      <c r="BC919" s="127"/>
      <c r="BI919" s="75"/>
      <c r="BJ919" s="91"/>
      <c r="BL919" s="76" t="str">
        <f>D919</f>
        <v>TJTW-136</v>
      </c>
      <c r="BP919" s="129"/>
      <c r="BQ919" s="387"/>
    </row>
    <row r="920" s="79" customFormat="1" customHeight="1" spans="1:69 16378:16379">
      <c r="A920" s="79" t="s">
        <v>744</v>
      </c>
      <c r="C920" s="463" t="s">
        <v>1137</v>
      </c>
      <c r="D920" s="79" t="s">
        <v>1138</v>
      </c>
      <c r="F920" s="192"/>
      <c r="G920" s="486"/>
      <c r="H920" s="79" t="s">
        <v>93</v>
      </c>
      <c r="I920" s="194"/>
      <c r="J920" s="226">
        <f>SUM(J915:J919)</f>
        <v>324</v>
      </c>
      <c r="K920" s="194"/>
      <c r="L920" s="226">
        <f>SUM(L915:L919)</f>
        <v>1991250</v>
      </c>
      <c r="R920" s="79" t="s">
        <v>1140</v>
      </c>
      <c r="S920" s="463"/>
      <c r="T920" s="463"/>
      <c r="U920" s="193"/>
      <c r="X920" s="192"/>
      <c r="Y920" s="226">
        <f t="shared" ref="Y920:AC920" si="289">SUM(Y915:Y919)</f>
        <v>313.489</v>
      </c>
      <c r="Z920" s="192"/>
      <c r="AA920" s="226">
        <f t="shared" si="289"/>
        <v>1820481.77</v>
      </c>
      <c r="AB920" s="226">
        <f t="shared" si="289"/>
        <v>188109</v>
      </c>
      <c r="AC920" s="226">
        <f t="shared" si="289"/>
        <v>1632372.77</v>
      </c>
      <c r="AE920" s="192"/>
      <c r="AF920" s="192">
        <v>360243.23</v>
      </c>
      <c r="AI920" s="463"/>
      <c r="AJ920" s="463"/>
      <c r="AK920" s="463"/>
      <c r="AL920" s="463"/>
      <c r="AO920" s="463"/>
      <c r="AP920" s="194"/>
      <c r="AQ920" s="192"/>
      <c r="AR920" s="150"/>
      <c r="AS920" s="150"/>
      <c r="AT920" s="150"/>
      <c r="AU920" s="150"/>
      <c r="BA920" s="151"/>
      <c r="XEX920" s="76"/>
      <c r="XEY920" s="76"/>
    </row>
    <row r="921" s="76" customFormat="1" customHeight="1" spans="1:69 16378:16379">
      <c r="A921" s="76" t="s">
        <v>414</v>
      </c>
      <c r="B921" s="76" t="s">
        <v>578</v>
      </c>
      <c r="C921" s="387"/>
      <c r="D921" s="190" t="s">
        <v>1146</v>
      </c>
      <c r="E921" s="190" t="s">
        <v>1147</v>
      </c>
      <c r="G921" s="479"/>
      <c r="H921" s="76" t="s">
        <v>75</v>
      </c>
      <c r="J921" s="190">
        <v>40</v>
      </c>
      <c r="K921" s="190">
        <v>5704</v>
      </c>
      <c r="L921" s="114">
        <f t="shared" si="288"/>
        <v>228160</v>
      </c>
      <c r="M921" s="127"/>
      <c r="N921" s="76">
        <v>144704.56</v>
      </c>
      <c r="P921" s="91"/>
      <c r="Q921" s="91"/>
      <c r="R921" s="76" t="s">
        <v>88</v>
      </c>
      <c r="S921" s="76" t="s">
        <v>1148</v>
      </c>
      <c r="T921" s="387">
        <v>46169</v>
      </c>
      <c r="U921" s="387">
        <v>46229</v>
      </c>
      <c r="V921" s="387">
        <v>46221</v>
      </c>
      <c r="W921" s="76">
        <f t="shared" ref="W921:W929" si="290">V921-U921</f>
        <v>-8</v>
      </c>
      <c r="X921" s="133" t="s">
        <v>436</v>
      </c>
      <c r="Y921" s="190">
        <v>40</v>
      </c>
      <c r="Z921" s="114">
        <v>5460</v>
      </c>
      <c r="AA921" s="114">
        <f t="shared" ref="AA921:AA929" si="291">Y921*Z921</f>
        <v>218400</v>
      </c>
      <c r="AB921" s="114"/>
      <c r="AC921" s="114"/>
      <c r="AD921" s="140"/>
      <c r="AE921" s="114"/>
      <c r="AF921" s="114"/>
      <c r="AG921" s="114"/>
      <c r="AH921" s="114"/>
      <c r="AM921" s="114"/>
      <c r="AN921" s="76">
        <v>144704.56</v>
      </c>
      <c r="AQ921" s="746">
        <f>V921</f>
        <v>46221</v>
      </c>
      <c r="AR921" s="387">
        <f>V921-30</f>
        <v>46191</v>
      </c>
      <c r="AS921" s="387"/>
      <c r="AT921" s="387"/>
      <c r="AW921" s="387"/>
      <c r="AX921" s="129"/>
      <c r="AY921" s="114"/>
      <c r="AZ921" s="127"/>
      <c r="BA921" s="127"/>
      <c r="BB921" s="127"/>
      <c r="BC921" s="127"/>
      <c r="BI921" s="75"/>
      <c r="BJ921" s="91"/>
      <c r="BL921" s="76" t="str">
        <f>D921</f>
        <v>NBE-14</v>
      </c>
      <c r="BM921" s="76" t="str">
        <f>A921</f>
        <v>ICE</v>
      </c>
      <c r="BN921" s="76">
        <f>C921</f>
        <v>0</v>
      </c>
      <c r="BO921" s="76" t="str">
        <f>E921</f>
        <v>0.24*914*758 1.5/1.5 T2.5 plain</v>
      </c>
      <c r="BP921" s="129">
        <f>J921</f>
        <v>40</v>
      </c>
      <c r="BQ921" s="387">
        <f>U921</f>
        <v>46229</v>
      </c>
    </row>
    <row r="922" s="77" customFormat="1" customHeight="1" spans="1:69 16378:16379">
      <c r="A922" s="76" t="s">
        <v>414</v>
      </c>
      <c r="B922" s="76" t="s">
        <v>578</v>
      </c>
      <c r="C922" s="569"/>
      <c r="D922" s="190" t="s">
        <v>1146</v>
      </c>
      <c r="E922" s="269" t="s">
        <v>1149</v>
      </c>
      <c r="G922" s="570"/>
      <c r="H922" s="76" t="s">
        <v>75</v>
      </c>
      <c r="J922" s="269">
        <v>60</v>
      </c>
      <c r="K922" s="269">
        <v>5753</v>
      </c>
      <c r="L922" s="114">
        <f t="shared" si="288"/>
        <v>345180</v>
      </c>
      <c r="M922" s="168"/>
      <c r="N922" s="155">
        <v>113915.087</v>
      </c>
      <c r="P922" s="160"/>
      <c r="Q922" s="160"/>
      <c r="R922" s="76" t="s">
        <v>88</v>
      </c>
      <c r="S922" s="76" t="s">
        <v>1148</v>
      </c>
      <c r="T922" s="387">
        <v>46169</v>
      </c>
      <c r="U922" s="387">
        <f t="shared" ref="U921:U929" si="292">T922+60</f>
        <v>46229</v>
      </c>
      <c r="V922" s="387">
        <v>46232</v>
      </c>
      <c r="W922" s="76">
        <f t="shared" si="290"/>
        <v>3</v>
      </c>
      <c r="X922" s="133" t="s">
        <v>436</v>
      </c>
      <c r="Y922" s="269">
        <v>60</v>
      </c>
      <c r="Z922" s="155">
        <v>5500</v>
      </c>
      <c r="AA922" s="114">
        <f t="shared" si="291"/>
        <v>330000</v>
      </c>
      <c r="AB922" s="155"/>
      <c r="AC922" s="155"/>
      <c r="AD922" s="163"/>
      <c r="AE922" s="155"/>
      <c r="AF922" s="155"/>
      <c r="AG922" s="155"/>
      <c r="AH922" s="155"/>
      <c r="AM922" s="155"/>
      <c r="AN922" s="155">
        <v>113915.087</v>
      </c>
      <c r="AQ922" s="760"/>
      <c r="AR922" s="569"/>
      <c r="AS922" s="569"/>
      <c r="AT922" s="569"/>
      <c r="AW922" s="569"/>
      <c r="AX922" s="157"/>
      <c r="AY922" s="155"/>
      <c r="AZ922" s="168"/>
      <c r="BA922" s="168"/>
      <c r="BB922" s="168"/>
      <c r="BC922" s="168"/>
      <c r="BI922" s="169"/>
      <c r="BJ922" s="160"/>
      <c r="BP922" s="157"/>
      <c r="BQ922" s="569"/>
    </row>
    <row r="923" s="77" customFormat="1" customHeight="1" spans="1:69 16378:16379">
      <c r="A923" s="76" t="s">
        <v>414</v>
      </c>
      <c r="B923" s="76" t="s">
        <v>578</v>
      </c>
      <c r="C923" s="569"/>
      <c r="D923" s="190" t="s">
        <v>1146</v>
      </c>
      <c r="E923" s="269" t="s">
        <v>1150</v>
      </c>
      <c r="G923" s="570"/>
      <c r="H923" s="76" t="s">
        <v>75</v>
      </c>
      <c r="J923" s="269">
        <v>20</v>
      </c>
      <c r="K923" s="269">
        <v>5782</v>
      </c>
      <c r="L923" s="114">
        <f t="shared" si="288"/>
        <v>115640</v>
      </c>
      <c r="M923" s="168"/>
      <c r="P923" s="160"/>
      <c r="Q923" s="160"/>
      <c r="R923" s="76" t="s">
        <v>88</v>
      </c>
      <c r="S923" s="76" t="s">
        <v>1148</v>
      </c>
      <c r="T923" s="387">
        <v>46169</v>
      </c>
      <c r="U923" s="387">
        <f t="shared" si="292"/>
        <v>46229</v>
      </c>
      <c r="V923" s="387">
        <v>46228</v>
      </c>
      <c r="W923" s="76">
        <f t="shared" si="290"/>
        <v>-1</v>
      </c>
      <c r="X923" s="133" t="s">
        <v>436</v>
      </c>
      <c r="Y923" s="269">
        <v>20</v>
      </c>
      <c r="Z923" s="155">
        <v>5530</v>
      </c>
      <c r="AA923" s="114">
        <f t="shared" si="291"/>
        <v>110600</v>
      </c>
      <c r="AB923" s="155"/>
      <c r="AC923" s="155"/>
      <c r="AD923" s="163"/>
      <c r="AE923" s="155"/>
      <c r="AF923" s="155"/>
      <c r="AG923" s="155"/>
      <c r="AH923" s="155"/>
      <c r="AM923" s="155"/>
      <c r="AN923" s="155"/>
      <c r="AQ923" s="760"/>
      <c r="AR923" s="569"/>
      <c r="AS923" s="569"/>
      <c r="AT923" s="569"/>
      <c r="AW923" s="569"/>
      <c r="AX923" s="157"/>
      <c r="AY923" s="155"/>
      <c r="AZ923" s="168"/>
      <c r="BA923" s="168"/>
      <c r="BB923" s="168"/>
      <c r="BC923" s="168"/>
      <c r="BI923" s="169"/>
      <c r="BJ923" s="160"/>
      <c r="BP923" s="157"/>
      <c r="BQ923" s="569"/>
    </row>
    <row r="924" s="77" customFormat="1" customHeight="1" spans="1:69 16378:16379">
      <c r="A924" s="76" t="s">
        <v>414</v>
      </c>
      <c r="B924" s="76" t="s">
        <v>578</v>
      </c>
      <c r="C924" s="569"/>
      <c r="D924" s="190" t="s">
        <v>1146</v>
      </c>
      <c r="E924" s="269" t="s">
        <v>1151</v>
      </c>
      <c r="G924" s="570"/>
      <c r="H924" s="76" t="s">
        <v>75</v>
      </c>
      <c r="J924" s="269">
        <v>50</v>
      </c>
      <c r="K924" s="269">
        <v>5782</v>
      </c>
      <c r="L924" s="114">
        <f t="shared" si="288"/>
        <v>289100</v>
      </c>
      <c r="M924" s="168"/>
      <c r="P924" s="160"/>
      <c r="Q924" s="160"/>
      <c r="R924" s="76" t="s">
        <v>88</v>
      </c>
      <c r="S924" s="76" t="s">
        <v>1148</v>
      </c>
      <c r="T924" s="387">
        <v>46169</v>
      </c>
      <c r="U924" s="387">
        <f t="shared" si="292"/>
        <v>46229</v>
      </c>
      <c r="V924" s="387">
        <v>46234</v>
      </c>
      <c r="W924" s="76">
        <f t="shared" si="290"/>
        <v>5</v>
      </c>
      <c r="X924" s="133" t="s">
        <v>436</v>
      </c>
      <c r="Y924" s="269">
        <v>50</v>
      </c>
      <c r="Z924" s="155">
        <v>5530</v>
      </c>
      <c r="AA924" s="114">
        <f t="shared" si="291"/>
        <v>276500</v>
      </c>
      <c r="AB924" s="155"/>
      <c r="AC924" s="155"/>
      <c r="AD924" s="163"/>
      <c r="AE924" s="155"/>
      <c r="AF924" s="155"/>
      <c r="AG924" s="155"/>
      <c r="AH924" s="155"/>
      <c r="AM924" s="155"/>
      <c r="AN924" s="155"/>
      <c r="AQ924" s="760"/>
      <c r="AR924" s="569"/>
      <c r="AS924" s="569"/>
      <c r="AT924" s="569"/>
      <c r="AW924" s="569"/>
      <c r="AX924" s="157"/>
      <c r="AY924" s="155"/>
      <c r="AZ924" s="168"/>
      <c r="BA924" s="168"/>
      <c r="BB924" s="168"/>
      <c r="BC924" s="168"/>
      <c r="BI924" s="169"/>
      <c r="BJ924" s="160"/>
      <c r="BP924" s="157"/>
      <c r="BQ924" s="569"/>
    </row>
    <row r="925" s="77" customFormat="1" customHeight="1" spans="1:69 16378:16379">
      <c r="A925" s="76" t="s">
        <v>414</v>
      </c>
      <c r="B925" s="76" t="s">
        <v>578</v>
      </c>
      <c r="C925" s="569"/>
      <c r="D925" s="190" t="s">
        <v>1146</v>
      </c>
      <c r="E925" s="269" t="s">
        <v>1152</v>
      </c>
      <c r="G925" s="570"/>
      <c r="H925" s="76" t="s">
        <v>75</v>
      </c>
      <c r="J925" s="269">
        <v>20</v>
      </c>
      <c r="K925" s="269">
        <v>5753</v>
      </c>
      <c r="L925" s="114">
        <f t="shared" si="288"/>
        <v>115060</v>
      </c>
      <c r="M925" s="168"/>
      <c r="P925" s="160"/>
      <c r="Q925" s="160"/>
      <c r="R925" s="76" t="s">
        <v>88</v>
      </c>
      <c r="S925" s="76" t="s">
        <v>1148</v>
      </c>
      <c r="T925" s="387">
        <v>46169</v>
      </c>
      <c r="U925" s="387">
        <f t="shared" si="292"/>
        <v>46229</v>
      </c>
      <c r="V925" s="387">
        <v>46221</v>
      </c>
      <c r="W925" s="76">
        <f t="shared" si="290"/>
        <v>-8</v>
      </c>
      <c r="X925" s="133" t="s">
        <v>436</v>
      </c>
      <c r="Y925" s="269">
        <v>20</v>
      </c>
      <c r="Z925" s="155">
        <v>5500</v>
      </c>
      <c r="AA925" s="114">
        <f t="shared" si="291"/>
        <v>110000</v>
      </c>
      <c r="AB925" s="155"/>
      <c r="AC925" s="155"/>
      <c r="AD925" s="163"/>
      <c r="AE925" s="155"/>
      <c r="AF925" s="155"/>
      <c r="AG925" s="155"/>
      <c r="AH925" s="155"/>
      <c r="AM925" s="155"/>
      <c r="AN925" s="155"/>
      <c r="AQ925" s="760"/>
      <c r="AR925" s="569"/>
      <c r="AS925" s="569"/>
      <c r="AT925" s="569"/>
      <c r="AW925" s="569"/>
      <c r="AX925" s="157"/>
      <c r="AY925" s="155"/>
      <c r="AZ925" s="168"/>
      <c r="BA925" s="168"/>
      <c r="BB925" s="168"/>
      <c r="BC925" s="168"/>
      <c r="BI925" s="169"/>
      <c r="BJ925" s="160"/>
      <c r="BP925" s="157"/>
      <c r="BQ925" s="569"/>
    </row>
    <row r="926" s="77" customFormat="1" customHeight="1" spans="1:69 16378:16379">
      <c r="A926" s="76" t="s">
        <v>414</v>
      </c>
      <c r="B926" s="76" t="s">
        <v>578</v>
      </c>
      <c r="C926" s="569"/>
      <c r="D926" s="190" t="s">
        <v>1146</v>
      </c>
      <c r="E926" s="269" t="s">
        <v>1153</v>
      </c>
      <c r="G926" s="570"/>
      <c r="H926" s="76" t="s">
        <v>75</v>
      </c>
      <c r="J926" s="269">
        <v>40</v>
      </c>
      <c r="K926" s="269">
        <v>5586</v>
      </c>
      <c r="L926" s="114">
        <f t="shared" si="288"/>
        <v>223440</v>
      </c>
      <c r="M926" s="168"/>
      <c r="P926" s="160"/>
      <c r="Q926" s="160"/>
      <c r="R926" s="76" t="s">
        <v>88</v>
      </c>
      <c r="S926" s="76" t="s">
        <v>1148</v>
      </c>
      <c r="T926" s="387">
        <v>46169</v>
      </c>
      <c r="U926" s="387">
        <f t="shared" si="292"/>
        <v>46229</v>
      </c>
      <c r="V926" s="387">
        <v>46216</v>
      </c>
      <c r="W926" s="76">
        <f t="shared" si="290"/>
        <v>-13</v>
      </c>
      <c r="X926" s="133" t="s">
        <v>436</v>
      </c>
      <c r="Y926" s="269">
        <v>40</v>
      </c>
      <c r="Z926" s="155">
        <v>5340</v>
      </c>
      <c r="AA926" s="114">
        <f t="shared" si="291"/>
        <v>213600</v>
      </c>
      <c r="AB926" s="155"/>
      <c r="AC926" s="155"/>
      <c r="AD926" s="163"/>
      <c r="AE926" s="155"/>
      <c r="AF926" s="155"/>
      <c r="AG926" s="155"/>
      <c r="AH926" s="155"/>
      <c r="AM926" s="155"/>
      <c r="AN926" s="155"/>
      <c r="AQ926" s="760"/>
      <c r="AR926" s="569"/>
      <c r="AS926" s="569"/>
      <c r="AT926" s="569"/>
      <c r="AW926" s="569"/>
      <c r="AX926" s="157"/>
      <c r="AY926" s="155"/>
      <c r="AZ926" s="168"/>
      <c r="BA926" s="168"/>
      <c r="BB926" s="168"/>
      <c r="BC926" s="168"/>
      <c r="BI926" s="169"/>
      <c r="BJ926" s="160"/>
      <c r="BP926" s="157"/>
      <c r="BQ926" s="569"/>
    </row>
    <row r="927" s="77" customFormat="1" customHeight="1" spans="1:69 16378:16379">
      <c r="A927" s="76" t="s">
        <v>414</v>
      </c>
      <c r="B927" s="76" t="s">
        <v>578</v>
      </c>
      <c r="C927" s="569"/>
      <c r="D927" s="190" t="s">
        <v>1146</v>
      </c>
      <c r="E927" s="269" t="s">
        <v>1154</v>
      </c>
      <c r="G927" s="570"/>
      <c r="H927" s="76" t="s">
        <v>75</v>
      </c>
      <c r="J927" s="269">
        <v>10</v>
      </c>
      <c r="K927" s="269">
        <v>6712</v>
      </c>
      <c r="L927" s="114">
        <f t="shared" si="288"/>
        <v>67120</v>
      </c>
      <c r="M927" s="168"/>
      <c r="P927" s="160"/>
      <c r="Q927" s="160"/>
      <c r="R927" s="76" t="s">
        <v>88</v>
      </c>
      <c r="S927" s="76" t="s">
        <v>1155</v>
      </c>
      <c r="T927" s="387">
        <v>46169</v>
      </c>
      <c r="U927" s="387">
        <f t="shared" si="292"/>
        <v>46229</v>
      </c>
      <c r="V927" s="387">
        <v>46234</v>
      </c>
      <c r="W927" s="76">
        <f t="shared" si="290"/>
        <v>5</v>
      </c>
      <c r="X927" s="133" t="s">
        <v>436</v>
      </c>
      <c r="Y927" s="269">
        <v>10</v>
      </c>
      <c r="Z927" s="155">
        <v>5530</v>
      </c>
      <c r="AA927" s="114">
        <f t="shared" si="291"/>
        <v>55300</v>
      </c>
      <c r="AB927" s="155"/>
      <c r="AC927" s="155"/>
      <c r="AD927" s="163"/>
      <c r="AE927" s="155"/>
      <c r="AF927" s="155"/>
      <c r="AG927" s="155"/>
      <c r="AH927" s="155"/>
      <c r="AM927" s="155"/>
      <c r="AN927" s="155"/>
      <c r="AQ927" s="760"/>
      <c r="AR927" s="569"/>
      <c r="AS927" s="569"/>
      <c r="AT927" s="569"/>
      <c r="AW927" s="569"/>
      <c r="AX927" s="157"/>
      <c r="AY927" s="155"/>
      <c r="AZ927" s="168"/>
      <c r="BA927" s="168"/>
      <c r="BB927" s="168"/>
      <c r="BC927" s="168"/>
      <c r="BI927" s="169"/>
      <c r="BJ927" s="160"/>
      <c r="BP927" s="157"/>
      <c r="BQ927" s="569"/>
    </row>
    <row r="928" s="77" customFormat="1" customHeight="1" spans="1:69 16378:16379">
      <c r="A928" s="76" t="s">
        <v>414</v>
      </c>
      <c r="B928" s="76" t="s">
        <v>578</v>
      </c>
      <c r="C928" s="569"/>
      <c r="D928" s="190" t="s">
        <v>1146</v>
      </c>
      <c r="E928" s="269" t="s">
        <v>1156</v>
      </c>
      <c r="G928" s="570"/>
      <c r="H928" s="76" t="s">
        <v>75</v>
      </c>
      <c r="J928" s="269">
        <v>20</v>
      </c>
      <c r="K928" s="269">
        <v>6712</v>
      </c>
      <c r="L928" s="114">
        <f t="shared" si="288"/>
        <v>134240</v>
      </c>
      <c r="M928" s="168"/>
      <c r="P928" s="160"/>
      <c r="Q928" s="160"/>
      <c r="R928" s="76" t="s">
        <v>88</v>
      </c>
      <c r="S928" s="76" t="s">
        <v>1155</v>
      </c>
      <c r="T928" s="387">
        <v>46169</v>
      </c>
      <c r="U928" s="387">
        <f t="shared" si="292"/>
        <v>46229</v>
      </c>
      <c r="V928" s="387">
        <v>46234</v>
      </c>
      <c r="W928" s="76">
        <f t="shared" si="290"/>
        <v>5</v>
      </c>
      <c r="X928" s="133" t="s">
        <v>436</v>
      </c>
      <c r="Y928" s="269">
        <v>20</v>
      </c>
      <c r="Z928" s="155">
        <v>5530</v>
      </c>
      <c r="AA928" s="114">
        <f t="shared" si="291"/>
        <v>110600</v>
      </c>
      <c r="AB928" s="155"/>
      <c r="AC928" s="155"/>
      <c r="AD928" s="163"/>
      <c r="AE928" s="155"/>
      <c r="AF928" s="155"/>
      <c r="AG928" s="155"/>
      <c r="AH928" s="155"/>
      <c r="AM928" s="155"/>
      <c r="AN928" s="155"/>
      <c r="AQ928" s="760"/>
      <c r="AR928" s="569"/>
      <c r="AS928" s="569"/>
      <c r="AT928" s="569"/>
      <c r="AW928" s="569"/>
      <c r="AX928" s="157"/>
      <c r="AY928" s="155"/>
      <c r="AZ928" s="168"/>
      <c r="BA928" s="168"/>
      <c r="BB928" s="168"/>
      <c r="BC928" s="168"/>
      <c r="BI928" s="169"/>
      <c r="BJ928" s="160"/>
      <c r="BP928" s="157"/>
      <c r="BQ928" s="569"/>
    </row>
    <row r="929" s="77" customFormat="1" customHeight="1" spans="1:69 16378:16379">
      <c r="A929" s="76" t="s">
        <v>414</v>
      </c>
      <c r="B929" s="76" t="s">
        <v>578</v>
      </c>
      <c r="C929" s="569"/>
      <c r="D929" s="190" t="s">
        <v>1146</v>
      </c>
      <c r="E929" s="269" t="s">
        <v>1157</v>
      </c>
      <c r="G929" s="570"/>
      <c r="H929" s="76" t="s">
        <v>75</v>
      </c>
      <c r="J929" s="269">
        <v>60</v>
      </c>
      <c r="K929" s="269">
        <v>6773</v>
      </c>
      <c r="L929" s="114">
        <f t="shared" si="288"/>
        <v>406380</v>
      </c>
      <c r="M929" s="168"/>
      <c r="P929" s="160"/>
      <c r="Q929" s="160"/>
      <c r="R929" s="76" t="s">
        <v>88</v>
      </c>
      <c r="S929" s="76" t="s">
        <v>1155</v>
      </c>
      <c r="T929" s="387">
        <v>46169</v>
      </c>
      <c r="U929" s="387">
        <f t="shared" si="292"/>
        <v>46229</v>
      </c>
      <c r="V929" s="387">
        <v>46234</v>
      </c>
      <c r="W929" s="76">
        <f t="shared" si="290"/>
        <v>5</v>
      </c>
      <c r="X929" s="133" t="s">
        <v>436</v>
      </c>
      <c r="Y929" s="269">
        <v>60</v>
      </c>
      <c r="Z929" s="155">
        <v>5500</v>
      </c>
      <c r="AA929" s="114">
        <f t="shared" si="291"/>
        <v>330000</v>
      </c>
      <c r="AB929" s="155"/>
      <c r="AC929" s="155"/>
      <c r="AD929" s="163"/>
      <c r="AE929" s="155"/>
      <c r="AF929" s="155"/>
      <c r="AG929" s="155"/>
      <c r="AH929" s="155"/>
      <c r="AM929" s="155"/>
      <c r="AN929" s="155"/>
      <c r="AQ929" s="760"/>
      <c r="AR929" s="569"/>
      <c r="AS929" s="569"/>
      <c r="AT929" s="569"/>
      <c r="AW929" s="569"/>
      <c r="AX929" s="157"/>
      <c r="AY929" s="155"/>
      <c r="AZ929" s="168"/>
      <c r="BA929" s="168"/>
      <c r="BB929" s="168"/>
      <c r="BC929" s="168"/>
      <c r="BI929" s="169"/>
      <c r="BJ929" s="160"/>
      <c r="BP929" s="157"/>
      <c r="BQ929" s="569"/>
    </row>
    <row r="930" s="422" customFormat="1" ht="14.4" spans="1:69 16378:16379">
      <c r="A930" s="422" t="s">
        <v>414</v>
      </c>
      <c r="C930" s="619"/>
      <c r="D930" s="422" t="s">
        <v>1146</v>
      </c>
      <c r="G930" s="686"/>
      <c r="H930" s="422" t="s">
        <v>75</v>
      </c>
      <c r="J930" s="687">
        <f t="shared" ref="J930:O930" si="293">SUM(J921:J929)</f>
        <v>320</v>
      </c>
      <c r="K930" s="687"/>
      <c r="L930" s="687">
        <f>SUM(L921:L929)</f>
        <v>1924320</v>
      </c>
      <c r="M930" s="693">
        <f t="shared" si="293"/>
        <v>0</v>
      </c>
      <c r="N930" s="693">
        <f t="shared" si="293"/>
        <v>258619.647</v>
      </c>
      <c r="O930" s="693">
        <f t="shared" si="293"/>
        <v>0</v>
      </c>
      <c r="R930" s="79" t="s">
        <v>88</v>
      </c>
      <c r="T930" s="688"/>
      <c r="U930" s="688"/>
      <c r="V930" s="688"/>
      <c r="X930" s="689"/>
      <c r="Y930" s="687">
        <f>SUM(Y921:Y929)</f>
        <v>320</v>
      </c>
      <c r="Z930" s="690"/>
      <c r="AA930" s="687">
        <f>SUM(AA921:AA926)</f>
        <v>1259100</v>
      </c>
      <c r="AB930" s="690"/>
      <c r="AC930" s="690"/>
      <c r="AD930" s="692"/>
      <c r="AE930" s="690"/>
      <c r="AF930" s="690"/>
      <c r="AG930" s="690"/>
      <c r="AH930" s="690"/>
      <c r="AM930" s="690"/>
      <c r="AN930" s="690"/>
      <c r="AQ930" s="619"/>
      <c r="AR930" s="619"/>
      <c r="AS930" s="688"/>
      <c r="AT930" s="688"/>
      <c r="AW930" s="688"/>
      <c r="AX930" s="687"/>
      <c r="AY930" s="690"/>
      <c r="AZ930" s="693"/>
      <c r="BA930" s="693"/>
      <c r="BB930" s="693"/>
      <c r="BC930" s="693"/>
      <c r="BI930" s="743"/>
    </row>
    <row r="931" s="76" customFormat="1" customHeight="1" spans="1:69 16378:16379">
      <c r="A931" s="76" t="s">
        <v>744</v>
      </c>
      <c r="B931" s="76" t="s">
        <v>440</v>
      </c>
      <c r="C931" s="387" t="s">
        <v>1158</v>
      </c>
      <c r="D931" s="76" t="s">
        <v>1159</v>
      </c>
      <c r="E931" s="76" t="s">
        <v>1139</v>
      </c>
      <c r="G931" s="479"/>
      <c r="H931" s="76" t="s">
        <v>93</v>
      </c>
      <c r="J931" s="129">
        <v>27</v>
      </c>
      <c r="K931" s="129">
        <f>Z931+230</f>
        <v>6085</v>
      </c>
      <c r="L931" s="129">
        <f t="shared" ref="L931:L935" si="294">J931*K931</f>
        <v>164295</v>
      </c>
      <c r="M931" s="129"/>
      <c r="N931" s="76">
        <v>1736556.64</v>
      </c>
      <c r="P931" s="91"/>
      <c r="Q931" s="91"/>
      <c r="R931" s="76" t="s">
        <v>1140</v>
      </c>
      <c r="S931" s="76" t="s">
        <v>1160</v>
      </c>
      <c r="T931" s="387">
        <v>46190</v>
      </c>
      <c r="U931" s="387">
        <f t="shared" ref="U931:U937" si="295">T931+45</f>
        <v>46235</v>
      </c>
      <c r="V931" s="746">
        <v>46249</v>
      </c>
      <c r="W931" s="76">
        <f t="shared" ref="W931:W935" si="296">V931-U931</f>
        <v>14</v>
      </c>
      <c r="X931" s="133" t="s">
        <v>436</v>
      </c>
      <c r="Y931" s="129">
        <v>27.036</v>
      </c>
      <c r="Z931" s="114">
        <v>5855</v>
      </c>
      <c r="AA931" s="114">
        <f t="shared" ref="AA931:AA935" si="297">Y931*Z931</f>
        <v>158295.78</v>
      </c>
      <c r="AB931" s="114">
        <v>230539.5</v>
      </c>
      <c r="AC931" s="114">
        <f t="shared" ref="AC931:AC937" si="298">AA931-AB931</f>
        <v>-72243.72</v>
      </c>
      <c r="AD931" s="140"/>
      <c r="AE931" s="114"/>
      <c r="AF931" s="114"/>
      <c r="AG931" s="114"/>
      <c r="AH931" s="114"/>
      <c r="AM931" s="114"/>
      <c r="AN931" s="114">
        <v>1736556.64</v>
      </c>
      <c r="AQ931" s="746">
        <f t="shared" ref="AQ931:AQ935" si="299">V931</f>
        <v>46249</v>
      </c>
      <c r="AR931" s="387">
        <f t="shared" ref="AR931:AR935" si="300">V931-30</f>
        <v>46219</v>
      </c>
      <c r="AS931" s="387"/>
      <c r="AT931" s="387"/>
      <c r="AW931" s="387"/>
      <c r="AX931" s="129"/>
      <c r="AY931" s="114"/>
      <c r="AZ931" s="127"/>
      <c r="BA931" s="127"/>
      <c r="BB931" s="127"/>
      <c r="BC931" s="127"/>
      <c r="BI931" s="75"/>
      <c r="BJ931" s="91"/>
      <c r="BL931" s="76" t="s">
        <v>1159</v>
      </c>
      <c r="BM931" s="76" t="s">
        <v>744</v>
      </c>
      <c r="BO931" s="76" t="str">
        <f t="shared" ref="BO931:BO937" si="301">E931</f>
        <v>0.17*944*795 Sheets Т4 2.8/2.8 Stone, BA</v>
      </c>
      <c r="BP931" s="129">
        <f t="shared" ref="BP931:BP937" si="302">J931</f>
        <v>27</v>
      </c>
      <c r="BQ931" s="387">
        <f t="shared" ref="BQ931:BQ937" si="303">U931</f>
        <v>46235</v>
      </c>
    </row>
    <row r="932" s="76" customFormat="1" customHeight="1" spans="1:69 16378:16379">
      <c r="A932" s="76" t="s">
        <v>744</v>
      </c>
      <c r="B932" s="76" t="s">
        <v>440</v>
      </c>
      <c r="C932" s="387" t="s">
        <v>1158</v>
      </c>
      <c r="D932" s="76" t="s">
        <v>1159</v>
      </c>
      <c r="E932" s="76" t="s">
        <v>1161</v>
      </c>
      <c r="G932" s="479">
        <v>13</v>
      </c>
      <c r="H932" s="76" t="s">
        <v>93</v>
      </c>
      <c r="J932" s="129">
        <v>54</v>
      </c>
      <c r="K932" s="129">
        <f t="shared" ref="K931:K937" si="304">Z932+230</f>
        <v>6000</v>
      </c>
      <c r="L932" s="129">
        <f t="shared" si="294"/>
        <v>324000</v>
      </c>
      <c r="M932" s="129"/>
      <c r="P932" s="91"/>
      <c r="Q932" s="91"/>
      <c r="R932" s="76" t="s">
        <v>1140</v>
      </c>
      <c r="S932" s="76" t="s">
        <v>1160</v>
      </c>
      <c r="T932" s="387">
        <v>46190</v>
      </c>
      <c r="U932" s="387">
        <f t="shared" si="295"/>
        <v>46235</v>
      </c>
      <c r="V932" s="746">
        <v>46248</v>
      </c>
      <c r="W932" s="76">
        <f t="shared" si="296"/>
        <v>13</v>
      </c>
      <c r="X932" s="133" t="s">
        <v>436</v>
      </c>
      <c r="Y932" s="129">
        <v>54.18</v>
      </c>
      <c r="Z932" s="114">
        <v>5770</v>
      </c>
      <c r="AA932" s="114">
        <f t="shared" si="297"/>
        <v>312618.6</v>
      </c>
      <c r="AB932" s="114"/>
      <c r="AC932" s="114">
        <f t="shared" si="298"/>
        <v>312618.6</v>
      </c>
      <c r="AD932" s="140"/>
      <c r="AE932" s="114"/>
      <c r="AF932" s="114"/>
      <c r="AG932" s="114"/>
      <c r="AH932" s="114"/>
      <c r="AM932" s="114"/>
      <c r="AN932" s="114"/>
      <c r="AQ932" s="746">
        <f t="shared" si="299"/>
        <v>46248</v>
      </c>
      <c r="AR932" s="387">
        <f t="shared" si="300"/>
        <v>46218</v>
      </c>
      <c r="AS932" s="387"/>
      <c r="AT932" s="387"/>
      <c r="AW932" s="387"/>
      <c r="AX932" s="129"/>
      <c r="AY932" s="114"/>
      <c r="AZ932" s="127"/>
      <c r="BA932" s="127"/>
      <c r="BB932" s="127"/>
      <c r="BC932" s="127"/>
      <c r="BI932" s="75"/>
      <c r="BJ932" s="91"/>
      <c r="BL932" s="76" t="s">
        <v>1159</v>
      </c>
      <c r="BM932" s="76" t="s">
        <v>744</v>
      </c>
      <c r="BO932" s="76" t="str">
        <f t="shared" si="301"/>
        <v>0.18*862*782 Scroll Sheets Т5 2.8/2.8 Stone, BA</v>
      </c>
      <c r="BP932" s="129">
        <f t="shared" si="302"/>
        <v>54</v>
      </c>
      <c r="BQ932" s="387">
        <f t="shared" si="303"/>
        <v>46235</v>
      </c>
    </row>
    <row r="933" s="76" customFormat="1" customHeight="1" spans="1:69 16378:16379">
      <c r="A933" s="76" t="s">
        <v>744</v>
      </c>
      <c r="B933" s="76" t="s">
        <v>440</v>
      </c>
      <c r="C933" s="387" t="s">
        <v>1158</v>
      </c>
      <c r="D933" s="76" t="s">
        <v>1159</v>
      </c>
      <c r="E933" s="76" t="s">
        <v>1142</v>
      </c>
      <c r="G933" s="479">
        <v>10</v>
      </c>
      <c r="H933" s="76" t="s">
        <v>93</v>
      </c>
      <c r="J933" s="129">
        <v>27</v>
      </c>
      <c r="K933" s="129">
        <f t="shared" si="304"/>
        <v>6000</v>
      </c>
      <c r="L933" s="129">
        <f t="shared" si="294"/>
        <v>162000</v>
      </c>
      <c r="M933" s="129"/>
      <c r="P933" s="91"/>
      <c r="Q933" s="91"/>
      <c r="R933" s="76" t="s">
        <v>1140</v>
      </c>
      <c r="S933" s="76" t="s">
        <v>1160</v>
      </c>
      <c r="T933" s="387">
        <v>46190</v>
      </c>
      <c r="U933" s="387">
        <f t="shared" si="295"/>
        <v>46235</v>
      </c>
      <c r="V933" s="746">
        <v>46253</v>
      </c>
      <c r="W933" s="76">
        <f t="shared" si="296"/>
        <v>18</v>
      </c>
      <c r="X933" s="133" t="s">
        <v>436</v>
      </c>
      <c r="Y933" s="129">
        <v>24.876</v>
      </c>
      <c r="Z933" s="114">
        <v>5770</v>
      </c>
      <c r="AA933" s="114">
        <f t="shared" si="297"/>
        <v>143534.52</v>
      </c>
      <c r="AB933" s="114"/>
      <c r="AC933" s="114">
        <f t="shared" si="298"/>
        <v>143534.52</v>
      </c>
      <c r="AD933" s="140"/>
      <c r="AE933" s="114"/>
      <c r="AF933" s="114"/>
      <c r="AG933" s="114"/>
      <c r="AH933" s="114"/>
      <c r="AI933" s="91"/>
      <c r="AM933" s="114"/>
      <c r="AN933" s="114"/>
      <c r="AP933" s="91"/>
      <c r="AQ933" s="746">
        <f t="shared" si="299"/>
        <v>46253</v>
      </c>
      <c r="AR933" s="387">
        <f t="shared" si="300"/>
        <v>46223</v>
      </c>
      <c r="AS933" s="387"/>
      <c r="AT933" s="387"/>
      <c r="AW933" s="387"/>
      <c r="AX933" s="129"/>
      <c r="AY933" s="114"/>
      <c r="AZ933" s="127"/>
      <c r="BA933" s="127"/>
      <c r="BB933" s="127"/>
      <c r="BC933" s="127"/>
      <c r="BI933" s="75"/>
      <c r="BJ933" s="91"/>
      <c r="BL933" s="76" t="s">
        <v>1159</v>
      </c>
      <c r="BM933" s="76" t="s">
        <v>744</v>
      </c>
      <c r="BO933" s="76" t="str">
        <f t="shared" si="301"/>
        <v>0.18*890*807.3 Scroll Sheets Т5 2.8/2.8 Stone, BA</v>
      </c>
      <c r="BP933" s="129">
        <f t="shared" si="302"/>
        <v>27</v>
      </c>
      <c r="BQ933" s="387">
        <f t="shared" si="303"/>
        <v>46235</v>
      </c>
    </row>
    <row r="934" s="76" customFormat="1" customHeight="1" spans="1:69 16378:16379">
      <c r="A934" s="76" t="s">
        <v>744</v>
      </c>
      <c r="B934" s="76" t="s">
        <v>440</v>
      </c>
      <c r="C934" s="387" t="s">
        <v>1158</v>
      </c>
      <c r="D934" s="76" t="s">
        <v>1159</v>
      </c>
      <c r="E934" s="76" t="s">
        <v>1144</v>
      </c>
      <c r="G934" s="479">
        <v>12</v>
      </c>
      <c r="H934" s="76" t="s">
        <v>93</v>
      </c>
      <c r="J934" s="129">
        <v>54</v>
      </c>
      <c r="K934" s="129">
        <f t="shared" si="304"/>
        <v>6000</v>
      </c>
      <c r="L934" s="129">
        <f t="shared" si="294"/>
        <v>324000</v>
      </c>
      <c r="M934" s="129"/>
      <c r="P934" s="91"/>
      <c r="Q934" s="91"/>
      <c r="R934" s="76" t="s">
        <v>1140</v>
      </c>
      <c r="S934" s="76" t="s">
        <v>1160</v>
      </c>
      <c r="T934" s="387">
        <v>46190</v>
      </c>
      <c r="U934" s="387">
        <f t="shared" si="295"/>
        <v>46235</v>
      </c>
      <c r="V934" s="746">
        <v>46252</v>
      </c>
      <c r="W934" s="76">
        <f t="shared" si="296"/>
        <v>17</v>
      </c>
      <c r="X934" s="133" t="s">
        <v>436</v>
      </c>
      <c r="Y934" s="129">
        <v>50.16</v>
      </c>
      <c r="Z934" s="114">
        <v>5770</v>
      </c>
      <c r="AA934" s="114">
        <f t="shared" si="297"/>
        <v>289423.2</v>
      </c>
      <c r="AB934" s="114"/>
      <c r="AC934" s="114">
        <f t="shared" si="298"/>
        <v>289423.2</v>
      </c>
      <c r="AD934" s="140"/>
      <c r="AE934" s="114"/>
      <c r="AF934" s="114"/>
      <c r="AG934" s="114"/>
      <c r="AH934" s="114"/>
      <c r="AI934" s="91"/>
      <c r="AM934" s="114"/>
      <c r="AN934" s="114"/>
      <c r="AP934" s="91"/>
      <c r="AQ934" s="746">
        <f t="shared" si="299"/>
        <v>46252</v>
      </c>
      <c r="AR934" s="387">
        <f t="shared" si="300"/>
        <v>46222</v>
      </c>
      <c r="AS934" s="387"/>
      <c r="AT934" s="387"/>
      <c r="AW934" s="387"/>
      <c r="AX934" s="129"/>
      <c r="AY934" s="114"/>
      <c r="AZ934" s="127"/>
      <c r="BA934" s="127"/>
      <c r="BB934" s="127"/>
      <c r="BC934" s="127"/>
      <c r="BI934" s="75"/>
      <c r="BJ934" s="91"/>
      <c r="BL934" s="76" t="s">
        <v>1159</v>
      </c>
      <c r="BO934" s="76" t="str">
        <f t="shared" si="301"/>
        <v>0.18*928*934.7 Scroll Sheets Т5 2.8/2.8 Stone, BA</v>
      </c>
      <c r="BP934" s="129">
        <f t="shared" si="302"/>
        <v>54</v>
      </c>
      <c r="BQ934" s="387">
        <f t="shared" si="303"/>
        <v>46235</v>
      </c>
    </row>
    <row r="935" s="76" customFormat="1" customHeight="1" spans="1:69 16378:16379">
      <c r="A935" s="76" t="s">
        <v>744</v>
      </c>
      <c r="B935" s="76" t="s">
        <v>440</v>
      </c>
      <c r="C935" s="387" t="s">
        <v>1158</v>
      </c>
      <c r="D935" s="76" t="s">
        <v>1159</v>
      </c>
      <c r="E935" s="76" t="s">
        <v>1143</v>
      </c>
      <c r="G935" s="479">
        <v>11</v>
      </c>
      <c r="H935" s="76" t="s">
        <v>93</v>
      </c>
      <c r="J935" s="129">
        <v>81</v>
      </c>
      <c r="K935" s="129">
        <f t="shared" si="304"/>
        <v>6000</v>
      </c>
      <c r="L935" s="129">
        <f t="shared" si="294"/>
        <v>486000</v>
      </c>
      <c r="M935" s="129"/>
      <c r="P935" s="91"/>
      <c r="Q935" s="91"/>
      <c r="R935" s="76" t="s">
        <v>1140</v>
      </c>
      <c r="S935" s="76" t="s">
        <v>1160</v>
      </c>
      <c r="T935" s="387">
        <v>46190</v>
      </c>
      <c r="U935" s="387">
        <f t="shared" si="295"/>
        <v>46235</v>
      </c>
      <c r="V935" s="746">
        <v>46264</v>
      </c>
      <c r="W935" s="76">
        <f t="shared" si="296"/>
        <v>29</v>
      </c>
      <c r="X935" s="133" t="s">
        <v>436</v>
      </c>
      <c r="Y935" s="129">
        <v>81.905</v>
      </c>
      <c r="Z935" s="114">
        <v>5770</v>
      </c>
      <c r="AA935" s="114">
        <f t="shared" si="297"/>
        <v>472591.85</v>
      </c>
      <c r="AB935" s="114"/>
      <c r="AC935" s="114">
        <f t="shared" si="298"/>
        <v>472591.85</v>
      </c>
      <c r="AD935" s="140"/>
      <c r="AE935" s="114"/>
      <c r="AF935" s="114"/>
      <c r="AG935" s="114"/>
      <c r="AH935" s="114"/>
      <c r="AI935" s="91"/>
      <c r="AM935" s="114"/>
      <c r="AN935" s="114"/>
      <c r="AP935" s="91"/>
      <c r="AQ935" s="746">
        <f t="shared" si="299"/>
        <v>46264</v>
      </c>
      <c r="AR935" s="387">
        <f t="shared" si="300"/>
        <v>46234</v>
      </c>
      <c r="AS935" s="387"/>
      <c r="AT935" s="387"/>
      <c r="AW935" s="387"/>
      <c r="AX935" s="129"/>
      <c r="AY935" s="114"/>
      <c r="AZ935" s="127"/>
      <c r="BA935" s="127"/>
      <c r="BB935" s="127"/>
      <c r="BC935" s="127"/>
      <c r="BI935" s="75"/>
      <c r="BJ935" s="91"/>
      <c r="BL935" s="76" t="s">
        <v>1159</v>
      </c>
      <c r="BO935" s="76" t="str">
        <f t="shared" si="301"/>
        <v>0.18*880*824 Scroll Sheets Т3 2.8/2.8 Stone, BA</v>
      </c>
      <c r="BP935" s="129">
        <f t="shared" si="302"/>
        <v>81</v>
      </c>
      <c r="BQ935" s="387">
        <f t="shared" si="303"/>
        <v>46235</v>
      </c>
    </row>
    <row r="936" s="76" customFormat="1" customHeight="1" spans="1:69 16378:16379">
      <c r="A936" s="76" t="s">
        <v>744</v>
      </c>
      <c r="B936" s="76" t="s">
        <v>440</v>
      </c>
      <c r="C936" s="387" t="s">
        <v>1158</v>
      </c>
      <c r="D936" s="76" t="s">
        <v>1159</v>
      </c>
      <c r="E936" s="76" t="s">
        <v>1162</v>
      </c>
      <c r="G936" s="479" t="s">
        <v>1163</v>
      </c>
      <c r="H936" s="76" t="s">
        <v>93</v>
      </c>
      <c r="J936" s="129">
        <v>27</v>
      </c>
      <c r="K936" s="129">
        <f t="shared" si="304"/>
        <v>6000</v>
      </c>
      <c r="L936" s="129">
        <f t="shared" ref="L936:L939" si="305">J936*K936</f>
        <v>162000</v>
      </c>
      <c r="M936" s="129"/>
      <c r="P936" s="91"/>
      <c r="Q936" s="91"/>
      <c r="R936" s="76" t="s">
        <v>1140</v>
      </c>
      <c r="S936" s="76" t="s">
        <v>1160</v>
      </c>
      <c r="T936" s="387">
        <v>46190</v>
      </c>
      <c r="U936" s="387">
        <f t="shared" si="295"/>
        <v>46235</v>
      </c>
      <c r="V936" s="745">
        <v>46280</v>
      </c>
      <c r="W936" s="76">
        <f t="shared" ref="W936:W939" si="306">V936-U936</f>
        <v>45</v>
      </c>
      <c r="X936" s="133"/>
      <c r="Y936" s="129">
        <v>27</v>
      </c>
      <c r="Z936" s="114">
        <v>5770</v>
      </c>
      <c r="AA936" s="114">
        <f t="shared" ref="AA936:AA939" si="307">Y936*Z936</f>
        <v>155790</v>
      </c>
      <c r="AB936" s="114"/>
      <c r="AC936" s="114">
        <f t="shared" si="298"/>
        <v>155790</v>
      </c>
      <c r="AD936" s="140"/>
      <c r="AE936" s="114"/>
      <c r="AF936" s="114"/>
      <c r="AG936" s="114"/>
      <c r="AH936" s="114"/>
      <c r="AM936" s="114"/>
      <c r="AN936" s="114"/>
      <c r="AQ936" s="746">
        <f t="shared" ref="AQ936:AQ939" si="308">V936</f>
        <v>46280</v>
      </c>
      <c r="AR936" s="387">
        <f t="shared" ref="AR936:AR939" si="309">V936-30</f>
        <v>46250</v>
      </c>
      <c r="AS936" s="387"/>
      <c r="AT936" s="387"/>
      <c r="AW936" s="387"/>
      <c r="AX936" s="129"/>
      <c r="AY936" s="114"/>
      <c r="AZ936" s="127"/>
      <c r="BA936" s="127"/>
      <c r="BB936" s="127"/>
      <c r="BC936" s="127"/>
      <c r="BI936" s="75"/>
      <c r="BJ936" s="91"/>
      <c r="BL936" s="76" t="s">
        <v>1159</v>
      </c>
      <c r="BM936" s="76" t="s">
        <v>744</v>
      </c>
      <c r="BO936" s="76" t="str">
        <f t="shared" si="301"/>
        <v>0.18*936*906.5 Scroll Sheets Т3 2.8/2.8 Stone, BA</v>
      </c>
      <c r="BP936" s="129">
        <f t="shared" si="302"/>
        <v>27</v>
      </c>
      <c r="BQ936" s="387">
        <f t="shared" si="303"/>
        <v>46235</v>
      </c>
    </row>
    <row r="937" s="76" customFormat="1" customHeight="1" spans="1:69 16378:16379">
      <c r="A937" s="76" t="s">
        <v>744</v>
      </c>
      <c r="B937" s="76" t="s">
        <v>440</v>
      </c>
      <c r="C937" s="387" t="s">
        <v>1158</v>
      </c>
      <c r="D937" s="76" t="s">
        <v>1159</v>
      </c>
      <c r="E937" s="76" t="s">
        <v>1145</v>
      </c>
      <c r="G937" s="479">
        <v>8</v>
      </c>
      <c r="H937" s="76" t="s">
        <v>93</v>
      </c>
      <c r="J937" s="405">
        <v>135</v>
      </c>
      <c r="K937" s="129">
        <f t="shared" si="304"/>
        <v>5750</v>
      </c>
      <c r="L937" s="129">
        <f t="shared" si="305"/>
        <v>776250</v>
      </c>
      <c r="M937" s="129"/>
      <c r="P937" s="91"/>
      <c r="Q937" s="91"/>
      <c r="R937" s="76" t="s">
        <v>1140</v>
      </c>
      <c r="S937" s="76" t="s">
        <v>1160</v>
      </c>
      <c r="T937" s="387">
        <v>46190</v>
      </c>
      <c r="U937" s="387">
        <f t="shared" si="295"/>
        <v>46235</v>
      </c>
      <c r="V937" s="746">
        <v>46264</v>
      </c>
      <c r="W937" s="76">
        <f t="shared" si="306"/>
        <v>29</v>
      </c>
      <c r="X937" s="133" t="s">
        <v>436</v>
      </c>
      <c r="Y937" s="405">
        <v>138.06</v>
      </c>
      <c r="Z937" s="114">
        <v>5520</v>
      </c>
      <c r="AA937" s="114">
        <f t="shared" si="307"/>
        <v>762091.2</v>
      </c>
      <c r="AB937" s="114"/>
      <c r="AC937" s="114">
        <f t="shared" si="298"/>
        <v>762091.2</v>
      </c>
      <c r="AD937" s="140"/>
      <c r="AE937" s="114"/>
      <c r="AF937" s="114"/>
      <c r="AG937" s="114"/>
      <c r="AH937" s="114"/>
      <c r="AM937" s="114"/>
      <c r="AN937" s="114"/>
      <c r="AQ937" s="746">
        <f t="shared" si="308"/>
        <v>46264</v>
      </c>
      <c r="AR937" s="387">
        <f t="shared" si="309"/>
        <v>46234</v>
      </c>
      <c r="AS937" s="387"/>
      <c r="AT937" s="387"/>
      <c r="AW937" s="387"/>
      <c r="AX937" s="129"/>
      <c r="AY937" s="114"/>
      <c r="AZ937" s="127"/>
      <c r="BA937" s="127"/>
      <c r="BB937" s="127"/>
      <c r="BC937" s="127"/>
      <c r="BI937" s="75"/>
      <c r="BJ937" s="91"/>
      <c r="BL937" s="76" t="s">
        <v>1159</v>
      </c>
      <c r="BO937" s="76" t="str">
        <f t="shared" si="301"/>
        <v>0.15*868*872.4 Scroll Sheets DR9 1,0/1,0 Stone, BA</v>
      </c>
      <c r="BP937" s="129">
        <f t="shared" si="302"/>
        <v>135</v>
      </c>
      <c r="BQ937" s="387">
        <f t="shared" si="303"/>
        <v>46235</v>
      </c>
    </row>
    <row r="938" s="79" customFormat="1" customHeight="1" spans="1:69 16378:16379">
      <c r="A938" s="79" t="s">
        <v>744</v>
      </c>
      <c r="C938" s="463" t="s">
        <v>1158</v>
      </c>
      <c r="D938" s="79" t="s">
        <v>1159</v>
      </c>
      <c r="F938" s="192"/>
      <c r="G938" s="486"/>
      <c r="H938" s="79" t="s">
        <v>93</v>
      </c>
      <c r="I938" s="194"/>
      <c r="J938" s="226">
        <f>SUM(J931:J937)</f>
        <v>405</v>
      </c>
      <c r="K938" s="194"/>
      <c r="L938" s="226">
        <f>SUM(L931:L937)</f>
        <v>2398545</v>
      </c>
      <c r="R938" s="79" t="s">
        <v>1140</v>
      </c>
      <c r="S938" s="463"/>
      <c r="T938" s="463"/>
      <c r="U938" s="193"/>
      <c r="X938" s="192"/>
      <c r="Y938" s="226">
        <f>SUM(Y931:Y937)</f>
        <v>403.217</v>
      </c>
      <c r="Z938" s="192"/>
      <c r="AA938" s="226">
        <f>SUM(AA931:AA937)</f>
        <v>2294345.15</v>
      </c>
      <c r="AB938" s="226">
        <f>SUM(AB931:AB937)</f>
        <v>230539.5</v>
      </c>
      <c r="AC938" s="226">
        <f>SUM(AC931:AC937)</f>
        <v>2063805.65</v>
      </c>
      <c r="AE938" s="192"/>
      <c r="AF938" s="192">
        <v>360243.23</v>
      </c>
      <c r="AI938" s="463"/>
      <c r="AJ938" s="463"/>
      <c r="AK938" s="463"/>
      <c r="AL938" s="463"/>
      <c r="AO938" s="463"/>
      <c r="AP938" s="194"/>
      <c r="AQ938" s="192"/>
      <c r="AR938" s="150"/>
      <c r="AS938" s="150"/>
      <c r="AT938" s="150"/>
      <c r="AU938" s="150"/>
      <c r="BA938" s="151"/>
      <c r="XEX938" s="76"/>
      <c r="XEY938" s="76"/>
    </row>
    <row r="939" s="76" customFormat="1" customHeight="1" spans="1:69 16378:16379">
      <c r="A939" s="76" t="s">
        <v>933</v>
      </c>
      <c r="B939" s="76" t="s">
        <v>456</v>
      </c>
      <c r="C939" s="387"/>
      <c r="D939" s="76" t="s">
        <v>1164</v>
      </c>
      <c r="E939" s="76" t="s">
        <v>1165</v>
      </c>
      <c r="G939" s="479"/>
      <c r="H939" s="76" t="s">
        <v>93</v>
      </c>
      <c r="J939" s="76">
        <v>5415000</v>
      </c>
      <c r="K939" s="143">
        <v>0.2052</v>
      </c>
      <c r="L939" s="114">
        <f t="shared" si="305"/>
        <v>1111158</v>
      </c>
      <c r="M939" s="129"/>
      <c r="N939" s="76">
        <v>610000</v>
      </c>
      <c r="P939" s="91"/>
      <c r="Q939" s="91"/>
      <c r="R939" s="76" t="s">
        <v>1166</v>
      </c>
      <c r="S939" s="76" t="s">
        <v>1167</v>
      </c>
      <c r="T939" s="387">
        <v>46183</v>
      </c>
      <c r="U939" s="387">
        <v>46266</v>
      </c>
      <c r="V939" s="387">
        <v>46266</v>
      </c>
      <c r="W939" s="76">
        <f t="shared" si="306"/>
        <v>0</v>
      </c>
      <c r="X939" s="133"/>
      <c r="Y939" s="76">
        <v>5415000</v>
      </c>
      <c r="Z939" s="114">
        <v>0.23</v>
      </c>
      <c r="AA939" s="114">
        <f t="shared" si="307"/>
        <v>1245450</v>
      </c>
      <c r="AB939" s="114">
        <f>AA939*0.3</f>
        <v>373635</v>
      </c>
      <c r="AC939" s="114">
        <f>AA939-AB939</f>
        <v>871815</v>
      </c>
      <c r="AD939" s="140"/>
      <c r="AE939" s="114"/>
      <c r="AF939" s="114"/>
      <c r="AG939" s="114"/>
      <c r="AH939" s="114"/>
      <c r="AM939" s="114"/>
      <c r="AN939" s="114">
        <v>610000</v>
      </c>
      <c r="AQ939" s="746">
        <f t="shared" si="308"/>
        <v>46266</v>
      </c>
      <c r="AR939" s="387">
        <f t="shared" si="309"/>
        <v>46236</v>
      </c>
      <c r="AS939" s="387"/>
      <c r="AT939" s="387"/>
      <c r="AW939" s="387"/>
      <c r="AX939" s="129"/>
      <c r="AY939" s="114"/>
      <c r="AZ939" s="127"/>
      <c r="BA939" s="127"/>
      <c r="BB939" s="127"/>
      <c r="BC939" s="127"/>
      <c r="BI939" s="75"/>
      <c r="BJ939" s="91"/>
      <c r="BL939" s="76" t="str">
        <f>D939</f>
        <v>TJTW-138</v>
      </c>
      <c r="BM939" s="76" t="str">
        <f>A939</f>
        <v>KALMETA</v>
      </c>
      <c r="BN939" s="76">
        <f>C939</f>
        <v>0</v>
      </c>
      <c r="BO939" s="76" t="str">
        <f>E939</f>
        <v>Easy open end diam.99.8mm 0.21 T5 CA #401</v>
      </c>
      <c r="BP939" s="129">
        <f>J939</f>
        <v>5415000</v>
      </c>
      <c r="BQ939" s="387">
        <f>U939</f>
        <v>46266</v>
      </c>
    </row>
    <row r="940" s="79" customFormat="1" customHeight="1" spans="1:69 16378:16379">
      <c r="A940" s="79" t="s">
        <v>933</v>
      </c>
      <c r="B940" s="79" t="s">
        <v>456</v>
      </c>
      <c r="C940" s="463"/>
      <c r="D940" s="79" t="s">
        <v>1164</v>
      </c>
      <c r="G940" s="486"/>
      <c r="J940" s="79">
        <f t="shared" ref="J940:N940" si="310">SUM(J939:J939)</f>
        <v>5415000</v>
      </c>
      <c r="K940" s="194"/>
      <c r="L940" s="79">
        <f t="shared" si="310"/>
        <v>1111158</v>
      </c>
      <c r="M940" s="194"/>
      <c r="N940" s="79">
        <f t="shared" si="310"/>
        <v>610000</v>
      </c>
      <c r="O940" s="79">
        <f>O939</f>
        <v>0</v>
      </c>
      <c r="R940" s="463" t="s">
        <v>1166</v>
      </c>
      <c r="T940" s="463"/>
      <c r="U940" s="463"/>
      <c r="V940" s="463"/>
      <c r="X940" s="193"/>
      <c r="Y940" s="79">
        <f>SUM(Y939:Y939)</f>
        <v>5415000</v>
      </c>
      <c r="Z940" s="192"/>
      <c r="AA940" s="79">
        <f>SUM(AA939:AA939)</f>
        <v>1245450</v>
      </c>
      <c r="AB940" s="192"/>
      <c r="AC940" s="192"/>
      <c r="AD940" s="196"/>
      <c r="AE940" s="192"/>
      <c r="AF940" s="192"/>
      <c r="AG940" s="192"/>
      <c r="AH940" s="192"/>
      <c r="AM940" s="192"/>
      <c r="AN940" s="192">
        <f>SUM(AN939:AN939)</f>
        <v>610000</v>
      </c>
      <c r="AQ940" s="463"/>
      <c r="AR940" s="463"/>
      <c r="AS940" s="463"/>
      <c r="AT940" s="463"/>
      <c r="AW940" s="463"/>
      <c r="AX940" s="194"/>
      <c r="AY940" s="192"/>
      <c r="AZ940" s="150"/>
      <c r="BA940" s="150"/>
      <c r="BB940" s="150"/>
      <c r="BC940" s="150"/>
      <c r="BI940" s="151"/>
    </row>
    <row r="941" s="76" customFormat="1" customHeight="1" spans="1:69 16378:16379">
      <c r="A941" s="76" t="s">
        <v>975</v>
      </c>
      <c r="B941" s="76" t="s">
        <v>572</v>
      </c>
      <c r="C941" s="387"/>
      <c r="D941" s="76" t="s">
        <v>1168</v>
      </c>
      <c r="E941" s="76" t="s">
        <v>1169</v>
      </c>
      <c r="G941" s="479"/>
      <c r="H941" s="76" t="s">
        <v>93</v>
      </c>
      <c r="J941" s="264">
        <v>1584000</v>
      </c>
      <c r="K941" s="373">
        <v>0.1162</v>
      </c>
      <c r="L941" s="114">
        <f t="shared" ref="L941:L947" si="311">J941*K941</f>
        <v>184060.8</v>
      </c>
      <c r="M941" s="129"/>
      <c r="N941" s="253">
        <v>183433.32</v>
      </c>
      <c r="P941" s="91"/>
      <c r="Q941" s="91"/>
      <c r="R941" s="76" t="s">
        <v>88</v>
      </c>
      <c r="S941" s="76" t="s">
        <v>1170</v>
      </c>
      <c r="T941" s="387">
        <v>46188</v>
      </c>
      <c r="U941" s="387">
        <f>T941+15</f>
        <v>46203</v>
      </c>
      <c r="V941" s="387">
        <v>46204</v>
      </c>
      <c r="W941" s="76">
        <f>V941-U941</f>
        <v>1</v>
      </c>
      <c r="X941" s="133" t="s">
        <v>90</v>
      </c>
      <c r="Y941" s="76">
        <v>1584000</v>
      </c>
      <c r="Z941" s="140">
        <v>0.125</v>
      </c>
      <c r="AA941" s="114">
        <f t="shared" ref="AA941:AA947" si="312">Y941*Z941</f>
        <v>198000</v>
      </c>
      <c r="AB941" s="114"/>
      <c r="AC941" s="114"/>
      <c r="AD941" s="140"/>
      <c r="AE941" s="114"/>
      <c r="AF941" s="114"/>
      <c r="AG941" s="114"/>
      <c r="AH941" s="114"/>
      <c r="AM941" s="114"/>
      <c r="AN941" s="253">
        <v>183433.32</v>
      </c>
      <c r="AQ941" s="746">
        <f t="shared" ref="AQ941:AQ947" si="313">V941</f>
        <v>46204</v>
      </c>
      <c r="AR941" s="387">
        <f t="shared" ref="AR941:AR947" si="314">V941-30</f>
        <v>46174</v>
      </c>
      <c r="AS941" s="387"/>
      <c r="AT941" s="387"/>
      <c r="AW941" s="387"/>
      <c r="AX941" s="129"/>
      <c r="AY941" s="114"/>
      <c r="AZ941" s="127"/>
      <c r="BA941" s="127"/>
      <c r="BB941" s="127"/>
      <c r="BC941" s="127"/>
      <c r="BI941" s="75"/>
      <c r="BJ941" s="91"/>
      <c r="BL941" s="76" t="str">
        <f t="shared" ref="BL941:BL950" si="315">D941</f>
        <v>TJTW-139</v>
      </c>
      <c r="BM941" s="76" t="str">
        <f t="shared" ref="BM941:BM950" si="316">A941</f>
        <v>TIN SERVIS</v>
      </c>
      <c r="BN941" s="76">
        <f>C941</f>
        <v>0</v>
      </c>
      <c r="BO941" s="76" t="str">
        <f>E941</f>
        <v>SE ETP diam.83.4mm 0.19 2.8/2.8 T5</v>
      </c>
      <c r="BP941" s="129">
        <f>J941</f>
        <v>1584000</v>
      </c>
      <c r="BQ941" s="387">
        <f>U941</f>
        <v>46203</v>
      </c>
    </row>
    <row r="942" s="79" customFormat="1" customHeight="1" spans="1:69 16378:16379">
      <c r="A942" s="79" t="s">
        <v>975</v>
      </c>
      <c r="B942" s="79" t="s">
        <v>572</v>
      </c>
      <c r="C942" s="463"/>
      <c r="D942" s="79" t="s">
        <v>1168</v>
      </c>
      <c r="E942" s="79" t="s">
        <v>1169</v>
      </c>
      <c r="G942" s="486"/>
      <c r="H942" s="79" t="s">
        <v>93</v>
      </c>
      <c r="J942" s="579">
        <f>SUM(J941)</f>
        <v>1584000</v>
      </c>
      <c r="K942" s="194"/>
      <c r="L942" s="194">
        <f>L941</f>
        <v>184060.8</v>
      </c>
      <c r="M942" s="194"/>
      <c r="N942" s="79">
        <f>SUM(N941)</f>
        <v>183433.32</v>
      </c>
      <c r="R942" s="79" t="s">
        <v>88</v>
      </c>
      <c r="T942" s="463"/>
      <c r="U942" s="463"/>
      <c r="V942" s="463"/>
      <c r="X942" s="193"/>
      <c r="Y942" s="579">
        <f>SUM(Y941)</f>
        <v>1584000</v>
      </c>
      <c r="Z942" s="192"/>
      <c r="AA942" s="194">
        <f>AA941</f>
        <v>198000</v>
      </c>
      <c r="AB942" s="192"/>
      <c r="AC942" s="192"/>
      <c r="AD942" s="196"/>
      <c r="AE942" s="192"/>
      <c r="AF942" s="192"/>
      <c r="AG942" s="192"/>
      <c r="AH942" s="192"/>
      <c r="AM942" s="192"/>
      <c r="AN942" s="192"/>
      <c r="AQ942" s="463">
        <f t="shared" si="313"/>
        <v>0</v>
      </c>
      <c r="AR942" s="463"/>
      <c r="AS942" s="463"/>
      <c r="AT942" s="463"/>
      <c r="AW942" s="463"/>
      <c r="AX942" s="194"/>
      <c r="AY942" s="192"/>
      <c r="AZ942" s="150"/>
      <c r="BA942" s="150"/>
      <c r="BB942" s="150"/>
      <c r="BC942" s="150"/>
      <c r="BI942" s="151"/>
    </row>
    <row r="943" s="76" customFormat="1" customHeight="1" spans="1:69 16378:16379">
      <c r="A943" s="76" t="s">
        <v>933</v>
      </c>
      <c r="B943" s="76" t="s">
        <v>456</v>
      </c>
      <c r="C943" s="387"/>
      <c r="D943" s="76" t="s">
        <v>1171</v>
      </c>
      <c r="E943" s="76" t="s">
        <v>1078</v>
      </c>
      <c r="G943" s="479"/>
      <c r="H943" s="76" t="s">
        <v>93</v>
      </c>
      <c r="J943" s="129">
        <v>108</v>
      </c>
      <c r="K943" s="129">
        <f t="shared" ref="K943:K947" si="317">Z943+250</f>
        <v>6650</v>
      </c>
      <c r="L943" s="129">
        <f t="shared" si="311"/>
        <v>718200</v>
      </c>
      <c r="M943" s="129"/>
      <c r="N943" s="76">
        <v>1704839.91</v>
      </c>
      <c r="P943" s="91"/>
      <c r="Q943" s="91"/>
      <c r="R943" s="76" t="s">
        <v>88</v>
      </c>
      <c r="S943" s="76" t="s">
        <v>1172</v>
      </c>
      <c r="T943" s="387">
        <v>46203</v>
      </c>
      <c r="U943" s="387">
        <f t="shared" ref="U943:U947" si="318">T943+60</f>
        <v>46263</v>
      </c>
      <c r="V943" s="387">
        <v>46263</v>
      </c>
      <c r="W943" s="76">
        <f>V943-U943</f>
        <v>0</v>
      </c>
      <c r="X943" s="133"/>
      <c r="Y943" s="129">
        <v>108</v>
      </c>
      <c r="Z943" s="114">
        <v>6400</v>
      </c>
      <c r="AA943" s="114">
        <f t="shared" si="312"/>
        <v>691200</v>
      </c>
      <c r="AB943" s="114"/>
      <c r="AC943" s="114"/>
      <c r="AD943" s="140"/>
      <c r="AE943" s="114"/>
      <c r="AF943" s="114"/>
      <c r="AG943" s="114"/>
      <c r="AH943" s="114"/>
      <c r="AM943" s="114"/>
      <c r="AN943" s="76">
        <v>1704839.91</v>
      </c>
      <c r="AQ943" s="746">
        <f t="shared" si="313"/>
        <v>46263</v>
      </c>
      <c r="AR943" s="387">
        <f t="shared" si="314"/>
        <v>46233</v>
      </c>
      <c r="AS943" s="387"/>
      <c r="AT943" s="387"/>
      <c r="AW943" s="387"/>
      <c r="AX943" s="129"/>
      <c r="AY943" s="114"/>
      <c r="AZ943" s="127"/>
      <c r="BA943" s="127"/>
      <c r="BB943" s="127"/>
      <c r="BC943" s="127"/>
      <c r="BI943" s="75"/>
      <c r="BJ943" s="91"/>
      <c r="BL943" s="76" t="str">
        <f t="shared" si="315"/>
        <v>TJTW-140</v>
      </c>
      <c r="BM943" s="76" t="str">
        <f t="shared" si="316"/>
        <v>KALMETA</v>
      </c>
      <c r="BO943" s="76" t="str">
        <f>E943</f>
        <v>0.17*818*913 T4 2.8/2.8   VARNISHED</v>
      </c>
      <c r="BP943" s="129">
        <f>J943</f>
        <v>108</v>
      </c>
      <c r="BQ943" s="387">
        <f>U943</f>
        <v>46263</v>
      </c>
    </row>
    <row r="944" s="76" customFormat="1" customHeight="1" spans="1:69 16378:16379">
      <c r="A944" s="76" t="s">
        <v>933</v>
      </c>
      <c r="B944" s="76" t="s">
        <v>456</v>
      </c>
      <c r="C944" s="387"/>
      <c r="D944" s="76" t="s">
        <v>1171</v>
      </c>
      <c r="E944" s="76" t="s">
        <v>1080</v>
      </c>
      <c r="G944" s="479"/>
      <c r="H944" s="76" t="s">
        <v>93</v>
      </c>
      <c r="J944" s="129">
        <v>80</v>
      </c>
      <c r="K944" s="129">
        <f t="shared" si="317"/>
        <v>6450</v>
      </c>
      <c r="L944" s="129">
        <f t="shared" si="311"/>
        <v>516000</v>
      </c>
      <c r="M944" s="129"/>
      <c r="N944" s="76">
        <v>550000</v>
      </c>
      <c r="P944" s="91"/>
      <c r="Q944" s="91"/>
      <c r="R944" s="76" t="s">
        <v>88</v>
      </c>
      <c r="S944" s="76" t="s">
        <v>1172</v>
      </c>
      <c r="T944" s="387">
        <v>46203</v>
      </c>
      <c r="U944" s="387">
        <f t="shared" si="318"/>
        <v>46263</v>
      </c>
      <c r="V944" s="387">
        <v>46263</v>
      </c>
      <c r="W944" s="76">
        <f t="shared" ref="W944:W949" si="319">V944-U944</f>
        <v>0</v>
      </c>
      <c r="X944" s="133"/>
      <c r="Y944" s="129">
        <v>80</v>
      </c>
      <c r="Z944" s="114">
        <v>6200</v>
      </c>
      <c r="AA944" s="114">
        <f t="shared" si="312"/>
        <v>496000</v>
      </c>
      <c r="AB944" s="114"/>
      <c r="AC944" s="114"/>
      <c r="AD944" s="140"/>
      <c r="AE944" s="114"/>
      <c r="AF944" s="114"/>
      <c r="AG944" s="114"/>
      <c r="AH944" s="114"/>
      <c r="AM944" s="114"/>
      <c r="AN944" s="76">
        <v>550000</v>
      </c>
      <c r="AQ944" s="746">
        <f t="shared" si="313"/>
        <v>46263</v>
      </c>
      <c r="AR944" s="387">
        <f t="shared" si="314"/>
        <v>46233</v>
      </c>
      <c r="AS944" s="387"/>
      <c r="AT944" s="387"/>
      <c r="AW944" s="387"/>
      <c r="AX944" s="129"/>
      <c r="AY944" s="114"/>
      <c r="AZ944" s="127"/>
      <c r="BA944" s="127"/>
      <c r="BB944" s="127"/>
      <c r="BC944" s="127"/>
      <c r="BI944" s="75"/>
      <c r="BJ944" s="91"/>
      <c r="BL944" s="76" t="str">
        <f t="shared" si="315"/>
        <v>TJTW-140</v>
      </c>
      <c r="BM944" s="76" t="str">
        <f t="shared" si="316"/>
        <v>KALMETA</v>
      </c>
      <c r="BO944" s="76" t="str">
        <f t="shared" ref="BO944:BO950" si="320">E944</f>
        <v>0.18*900*712 T3 2.8/2.8    VARNISHED</v>
      </c>
      <c r="BP944" s="129">
        <f t="shared" ref="BP944:BP950" si="321">J944</f>
        <v>80</v>
      </c>
      <c r="BQ944" s="387">
        <f t="shared" ref="BQ944:BQ950" si="322">U944</f>
        <v>46263</v>
      </c>
    </row>
    <row r="945" s="76" customFormat="1" customHeight="1" spans="1:69">
      <c r="A945" s="76" t="s">
        <v>933</v>
      </c>
      <c r="B945" s="76" t="s">
        <v>456</v>
      </c>
      <c r="C945" s="387"/>
      <c r="D945" s="76" t="s">
        <v>1171</v>
      </c>
      <c r="E945" s="76" t="s">
        <v>1081</v>
      </c>
      <c r="G945" s="479"/>
      <c r="H945" s="76" t="s">
        <v>93</v>
      </c>
      <c r="J945" s="129">
        <v>210</v>
      </c>
      <c r="K945" s="129">
        <f t="shared" si="317"/>
        <v>6650</v>
      </c>
      <c r="L945" s="129">
        <f t="shared" si="311"/>
        <v>1396500</v>
      </c>
      <c r="M945" s="129"/>
      <c r="P945" s="91"/>
      <c r="Q945" s="91"/>
      <c r="R945" s="76" t="s">
        <v>88</v>
      </c>
      <c r="S945" s="76" t="s">
        <v>1172</v>
      </c>
      <c r="T945" s="387">
        <v>46203</v>
      </c>
      <c r="U945" s="387">
        <f t="shared" si="318"/>
        <v>46263</v>
      </c>
      <c r="V945" s="387">
        <v>46263</v>
      </c>
      <c r="W945" s="76">
        <f t="shared" si="319"/>
        <v>0</v>
      </c>
      <c r="X945" s="133"/>
      <c r="Y945" s="129">
        <v>210</v>
      </c>
      <c r="Z945" s="114">
        <v>6400</v>
      </c>
      <c r="AA945" s="114">
        <f t="shared" si="312"/>
        <v>1344000</v>
      </c>
      <c r="AB945" s="114"/>
      <c r="AC945" s="114"/>
      <c r="AD945" s="140"/>
      <c r="AE945" s="114"/>
      <c r="AF945" s="114"/>
      <c r="AG945" s="114"/>
      <c r="AH945" s="114"/>
      <c r="AM945" s="114"/>
      <c r="AN945" s="114"/>
      <c r="AQ945" s="746">
        <f t="shared" si="313"/>
        <v>46263</v>
      </c>
      <c r="AR945" s="387">
        <f t="shared" si="314"/>
        <v>46233</v>
      </c>
      <c r="AS945" s="387"/>
      <c r="AT945" s="387"/>
      <c r="AW945" s="387"/>
      <c r="AX945" s="129"/>
      <c r="AY945" s="114"/>
      <c r="AZ945" s="127"/>
      <c r="BA945" s="127"/>
      <c r="BB945" s="127"/>
      <c r="BC945" s="127"/>
      <c r="BI945" s="75"/>
      <c r="BJ945" s="91"/>
      <c r="BL945" s="76" t="str">
        <f t="shared" si="315"/>
        <v>TJTW-140</v>
      </c>
      <c r="BM945" s="76" t="str">
        <f t="shared" si="316"/>
        <v>KALMETA</v>
      </c>
      <c r="BO945" s="76" t="str">
        <f t="shared" si="320"/>
        <v>0.17*905*836.5 T4 2.8/2.8   VARNISHED</v>
      </c>
      <c r="BP945" s="129">
        <f t="shared" si="321"/>
        <v>210</v>
      </c>
      <c r="BQ945" s="387">
        <f t="shared" si="322"/>
        <v>46263</v>
      </c>
    </row>
    <row r="946" s="76" customFormat="1" customHeight="1" spans="1:69">
      <c r="A946" s="76" t="s">
        <v>933</v>
      </c>
      <c r="B946" s="76" t="s">
        <v>456</v>
      </c>
      <c r="C946" s="387"/>
      <c r="D946" s="76" t="s">
        <v>1171</v>
      </c>
      <c r="E946" s="76" t="s">
        <v>1173</v>
      </c>
      <c r="G946" s="479"/>
      <c r="H946" s="76" t="s">
        <v>93</v>
      </c>
      <c r="J946" s="129">
        <v>90</v>
      </c>
      <c r="K946" s="129">
        <f t="shared" si="317"/>
        <v>6450</v>
      </c>
      <c r="L946" s="129">
        <f t="shared" si="311"/>
        <v>580500</v>
      </c>
      <c r="M946" s="129"/>
      <c r="P946" s="91"/>
      <c r="Q946" s="91"/>
      <c r="R946" s="76" t="s">
        <v>88</v>
      </c>
      <c r="S946" s="76" t="s">
        <v>1172</v>
      </c>
      <c r="T946" s="387">
        <v>46203</v>
      </c>
      <c r="U946" s="387">
        <f t="shared" si="318"/>
        <v>46263</v>
      </c>
      <c r="V946" s="387">
        <v>46263</v>
      </c>
      <c r="W946" s="76">
        <f t="shared" si="319"/>
        <v>0</v>
      </c>
      <c r="X946" s="133"/>
      <c r="Y946" s="129">
        <v>90</v>
      </c>
      <c r="Z946" s="114">
        <v>6200</v>
      </c>
      <c r="AA946" s="114">
        <f t="shared" si="312"/>
        <v>558000</v>
      </c>
      <c r="AB946" s="114"/>
      <c r="AC946" s="114"/>
      <c r="AD946" s="140"/>
      <c r="AE946" s="114"/>
      <c r="AF946" s="114"/>
      <c r="AG946" s="114"/>
      <c r="AH946" s="114"/>
      <c r="AM946" s="114"/>
      <c r="AN946" s="114"/>
      <c r="AQ946" s="746">
        <f t="shared" si="313"/>
        <v>46263</v>
      </c>
      <c r="AR946" s="387">
        <f t="shared" si="314"/>
        <v>46233</v>
      </c>
      <c r="AS946" s="387"/>
      <c r="AT946" s="387"/>
      <c r="AW946" s="387"/>
      <c r="AX946" s="129"/>
      <c r="AY946" s="114"/>
      <c r="AZ946" s="127"/>
      <c r="BA946" s="127"/>
      <c r="BB946" s="127"/>
      <c r="BC946" s="127"/>
      <c r="BI946" s="75"/>
      <c r="BJ946" s="91"/>
      <c r="BL946" s="76" t="str">
        <f t="shared" si="315"/>
        <v>TJTW-140</v>
      </c>
      <c r="BM946" s="76" t="str">
        <f t="shared" si="316"/>
        <v>KALMETA</v>
      </c>
      <c r="BP946" s="129"/>
      <c r="BQ946" s="387"/>
    </row>
    <row r="947" s="76" customFormat="1" customHeight="1" spans="1:69">
      <c r="A947" s="76" t="s">
        <v>933</v>
      </c>
      <c r="B947" s="76" t="s">
        <v>456</v>
      </c>
      <c r="C947" s="387"/>
      <c r="D947" s="76" t="s">
        <v>1171</v>
      </c>
      <c r="E947" s="76" t="s">
        <v>1174</v>
      </c>
      <c r="G947" s="479"/>
      <c r="H947" s="76" t="s">
        <v>93</v>
      </c>
      <c r="J947" s="129">
        <v>100</v>
      </c>
      <c r="K947" s="129">
        <f t="shared" si="317"/>
        <v>6650</v>
      </c>
      <c r="L947" s="129">
        <f t="shared" si="311"/>
        <v>665000</v>
      </c>
      <c r="M947" s="129"/>
      <c r="P947" s="91"/>
      <c r="Q947" s="91"/>
      <c r="R947" s="76" t="s">
        <v>88</v>
      </c>
      <c r="S947" s="76" t="s">
        <v>1172</v>
      </c>
      <c r="T947" s="387">
        <v>46203</v>
      </c>
      <c r="U947" s="387">
        <f t="shared" si="318"/>
        <v>46263</v>
      </c>
      <c r="V947" s="387">
        <v>46263</v>
      </c>
      <c r="W947" s="76">
        <f t="shared" si="319"/>
        <v>0</v>
      </c>
      <c r="X947" s="133"/>
      <c r="Y947" s="129">
        <v>100</v>
      </c>
      <c r="Z947" s="114">
        <v>6400</v>
      </c>
      <c r="AA947" s="114">
        <f t="shared" si="312"/>
        <v>640000</v>
      </c>
      <c r="AB947" s="114"/>
      <c r="AC947" s="114"/>
      <c r="AD947" s="140"/>
      <c r="AE947" s="114"/>
      <c r="AF947" s="114"/>
      <c r="AG947" s="114"/>
      <c r="AH947" s="114"/>
      <c r="AM947" s="114"/>
      <c r="AN947" s="114"/>
      <c r="AQ947" s="746">
        <f t="shared" si="313"/>
        <v>46263</v>
      </c>
      <c r="AR947" s="387">
        <f t="shared" si="314"/>
        <v>46233</v>
      </c>
      <c r="AS947" s="387"/>
      <c r="AT947" s="387"/>
      <c r="AW947" s="387"/>
      <c r="AX947" s="129"/>
      <c r="AY947" s="114"/>
      <c r="AZ947" s="127"/>
      <c r="BA947" s="127"/>
      <c r="BB947" s="127"/>
      <c r="BC947" s="127"/>
      <c r="BI947" s="75"/>
      <c r="BJ947" s="91"/>
      <c r="BL947" s="76" t="str">
        <f t="shared" si="315"/>
        <v>TJTW-140</v>
      </c>
      <c r="BM947" s="76" t="str">
        <f t="shared" si="316"/>
        <v>KALMETA</v>
      </c>
      <c r="BP947" s="129"/>
      <c r="BQ947" s="387"/>
    </row>
    <row r="948" s="79" customFormat="1" customHeight="1" spans="1:69">
      <c r="A948" s="79" t="s">
        <v>933</v>
      </c>
      <c r="C948" s="463"/>
      <c r="D948" s="79" t="s">
        <v>1171</v>
      </c>
      <c r="G948" s="486"/>
      <c r="J948" s="194">
        <f>SUM(J943:J947)</f>
        <v>588</v>
      </c>
      <c r="K948" s="194"/>
      <c r="L948" s="748">
        <f>SUM(L943:L947)</f>
        <v>3876200</v>
      </c>
      <c r="M948" s="194"/>
      <c r="R948" s="79" t="s">
        <v>88</v>
      </c>
      <c r="T948" s="463"/>
      <c r="U948" s="463"/>
      <c r="V948" s="463"/>
      <c r="X948" s="193"/>
      <c r="Y948" s="194">
        <f>SUM(Y943:Y947)</f>
        <v>588</v>
      </c>
      <c r="Z948" s="192"/>
      <c r="AA948" s="192">
        <f>SUM(AA943:AA947)</f>
        <v>3729200</v>
      </c>
      <c r="AB948" s="192"/>
      <c r="AC948" s="192"/>
      <c r="AD948" s="196"/>
      <c r="AE948" s="192"/>
      <c r="AF948" s="192"/>
      <c r="AG948" s="192"/>
      <c r="AH948" s="192"/>
      <c r="AM948" s="192"/>
      <c r="AN948" s="192"/>
      <c r="AQ948" s="463"/>
      <c r="AR948" s="463"/>
      <c r="AS948" s="463"/>
      <c r="AT948" s="463"/>
      <c r="AW948" s="463"/>
      <c r="AX948" s="194"/>
      <c r="AY948" s="192"/>
      <c r="AZ948" s="150"/>
      <c r="BA948" s="150"/>
      <c r="BB948" s="150"/>
      <c r="BC948" s="150"/>
      <c r="BI948" s="151"/>
      <c r="BL948" s="79" t="str">
        <f t="shared" si="315"/>
        <v>TJTW-140</v>
      </c>
      <c r="BM948" s="79" t="str">
        <f t="shared" si="316"/>
        <v>KALMETA</v>
      </c>
      <c r="BO948" s="79">
        <f t="shared" si="320"/>
        <v>0</v>
      </c>
      <c r="BP948" s="194">
        <f t="shared" si="321"/>
        <v>588</v>
      </c>
      <c r="BQ948" s="463">
        <f t="shared" si="322"/>
        <v>0</v>
      </c>
    </row>
    <row r="949" s="76" customFormat="1" customHeight="1" spans="1:69">
      <c r="A949" s="76" t="s">
        <v>984</v>
      </c>
      <c r="B949" s="76" t="s">
        <v>456</v>
      </c>
      <c r="C949" s="387"/>
      <c r="D949" s="76" t="s">
        <v>1175</v>
      </c>
      <c r="E949" s="76" t="s">
        <v>986</v>
      </c>
      <c r="G949" s="479"/>
      <c r="J949" s="129">
        <v>200</v>
      </c>
      <c r="K949" s="129">
        <v>8287</v>
      </c>
      <c r="L949" s="129">
        <f t="shared" ref="L949:L954" si="323">J949*K949</f>
        <v>1657400</v>
      </c>
      <c r="M949" s="129"/>
      <c r="P949" s="91"/>
      <c r="Q949" s="91"/>
      <c r="R949" s="76" t="s">
        <v>1140</v>
      </c>
      <c r="S949" s="76" t="s">
        <v>1176</v>
      </c>
      <c r="T949" s="387">
        <v>46220</v>
      </c>
      <c r="U949" s="387">
        <f>T949+45</f>
        <v>46265</v>
      </c>
      <c r="V949" s="387">
        <v>46265</v>
      </c>
      <c r="W949" s="76">
        <f t="shared" si="319"/>
        <v>0</v>
      </c>
      <c r="X949" s="133"/>
      <c r="Y949" s="76">
        <v>200</v>
      </c>
      <c r="Z949" s="114">
        <v>6040</v>
      </c>
      <c r="AA949" s="114">
        <f t="shared" ref="AA949:AA954" si="324">Y949*Z949</f>
        <v>1208000</v>
      </c>
      <c r="AB949" s="114">
        <v>120800</v>
      </c>
      <c r="AC949" s="114">
        <f>AA949-AB949</f>
        <v>1087200</v>
      </c>
      <c r="AD949" s="140"/>
      <c r="AE949" s="114"/>
      <c r="AF949" s="114"/>
      <c r="AG949" s="114"/>
      <c r="AH949" s="114"/>
      <c r="AM949" s="114"/>
      <c r="AN949" s="114"/>
      <c r="AQ949" s="746">
        <f>V949</f>
        <v>46265</v>
      </c>
      <c r="AR949" s="387">
        <f>V949-30</f>
        <v>46235</v>
      </c>
      <c r="AS949" s="747"/>
      <c r="AT949" s="387"/>
      <c r="AV949" s="76">
        <v>2</v>
      </c>
      <c r="AW949" s="387"/>
      <c r="AX949" s="129"/>
      <c r="AY949" s="114"/>
      <c r="AZ949" s="127"/>
      <c r="BA949" s="127"/>
      <c r="BB949" s="127"/>
      <c r="BC949" s="127"/>
      <c r="BI949" s="75"/>
      <c r="BJ949" s="91"/>
      <c r="BL949" s="76" t="str">
        <f t="shared" si="315"/>
        <v>TJTW-141</v>
      </c>
      <c r="BM949" s="76" t="str">
        <f t="shared" si="316"/>
        <v>MAGOL</v>
      </c>
      <c r="BN949" s="76">
        <f>C949</f>
        <v>0</v>
      </c>
      <c r="BO949" s="76" t="str">
        <f t="shared" si="320"/>
        <v>0.16*960*930 DR9 2.0/2.0</v>
      </c>
      <c r="BP949" s="129">
        <f t="shared" si="321"/>
        <v>200</v>
      </c>
      <c r="BQ949" s="387">
        <f t="shared" si="322"/>
        <v>46265</v>
      </c>
    </row>
    <row r="950" s="79" customFormat="1" customHeight="1" spans="1:69">
      <c r="A950" s="79" t="s">
        <v>984</v>
      </c>
      <c r="C950" s="463"/>
      <c r="D950" s="79" t="s">
        <v>1175</v>
      </c>
      <c r="G950" s="486"/>
      <c r="J950" s="748">
        <f>SUM(J949)</f>
        <v>200</v>
      </c>
      <c r="K950" s="194"/>
      <c r="L950" s="748">
        <f>SUM(L949)</f>
        <v>1657400</v>
      </c>
      <c r="M950" s="194"/>
      <c r="N950" s="79">
        <f>SUM(N947:N949)</f>
        <v>0</v>
      </c>
      <c r="T950" s="463"/>
      <c r="U950" s="463"/>
      <c r="V950" s="463"/>
      <c r="X950" s="193"/>
      <c r="Y950" s="79">
        <f>SUM(Y949)</f>
        <v>200</v>
      </c>
      <c r="Z950" s="192"/>
      <c r="AA950" s="79">
        <f>SUM(AA949)</f>
        <v>1208000</v>
      </c>
      <c r="AB950" s="192"/>
      <c r="AC950" s="192"/>
      <c r="AD950" s="196"/>
      <c r="AE950" s="192"/>
      <c r="AF950" s="192"/>
      <c r="AG950" s="192"/>
      <c r="AH950" s="192"/>
      <c r="AM950" s="192"/>
      <c r="AN950" s="192"/>
      <c r="AQ950" s="463"/>
      <c r="AR950" s="463"/>
      <c r="AS950" s="463"/>
      <c r="AT950" s="463"/>
      <c r="AW950" s="463"/>
      <c r="AX950" s="194"/>
      <c r="AY950" s="192"/>
      <c r="AZ950" s="150"/>
      <c r="BA950" s="150"/>
      <c r="BB950" s="150"/>
      <c r="BC950" s="150"/>
      <c r="BI950" s="151"/>
      <c r="BL950" s="79" t="str">
        <f t="shared" si="315"/>
        <v>TJTW-141</v>
      </c>
      <c r="BM950" s="79" t="str">
        <f t="shared" si="316"/>
        <v>MAGOL</v>
      </c>
      <c r="BO950" s="79">
        <f t="shared" si="320"/>
        <v>0</v>
      </c>
      <c r="BP950" s="79">
        <f t="shared" si="321"/>
        <v>200</v>
      </c>
      <c r="BQ950" s="79">
        <f t="shared" si="322"/>
        <v>0</v>
      </c>
    </row>
    <row r="951" s="76" customFormat="1" customHeight="1" spans="1:69">
      <c r="A951" s="76" t="s">
        <v>1013</v>
      </c>
      <c r="B951" s="76" t="s">
        <v>572</v>
      </c>
      <c r="C951" s="387" t="s">
        <v>1177</v>
      </c>
      <c r="D951" s="76" t="s">
        <v>1178</v>
      </c>
      <c r="E951" s="76" t="s">
        <v>1179</v>
      </c>
      <c r="G951" s="479"/>
      <c r="H951" s="76" t="s">
        <v>93</v>
      </c>
      <c r="J951" s="129">
        <v>38</v>
      </c>
      <c r="K951" s="129">
        <f t="shared" ref="K951:K954" si="325">Z951+250</f>
        <v>6250</v>
      </c>
      <c r="L951" s="129">
        <f t="shared" si="323"/>
        <v>237500</v>
      </c>
      <c r="M951" s="129"/>
      <c r="N951" s="408">
        <v>237500</v>
      </c>
      <c r="P951" s="91"/>
      <c r="Q951" s="91"/>
      <c r="R951" s="76" t="s">
        <v>88</v>
      </c>
      <c r="S951" s="113" t="s">
        <v>1180</v>
      </c>
      <c r="T951" s="387">
        <v>46202</v>
      </c>
      <c r="U951" s="387">
        <f t="shared" ref="U951:U954" si="326">T951+60</f>
        <v>46262</v>
      </c>
      <c r="V951" s="387">
        <v>46262</v>
      </c>
      <c r="X951" s="133"/>
      <c r="Y951" s="76">
        <v>38</v>
      </c>
      <c r="Z951" s="114">
        <v>6000</v>
      </c>
      <c r="AA951" s="114">
        <f t="shared" si="324"/>
        <v>228000</v>
      </c>
      <c r="AB951" s="114"/>
      <c r="AC951" s="114"/>
      <c r="AD951" s="140"/>
      <c r="AE951" s="114"/>
      <c r="AF951" s="114"/>
      <c r="AG951" s="114"/>
      <c r="AH951" s="114"/>
      <c r="AM951" s="114"/>
      <c r="AN951" s="408">
        <v>237500</v>
      </c>
      <c r="AQ951" s="387"/>
      <c r="AR951" s="387"/>
      <c r="AS951" s="387"/>
      <c r="AT951" s="387"/>
      <c r="AW951" s="387"/>
      <c r="AX951" s="129"/>
      <c r="AY951" s="114"/>
      <c r="AZ951" s="127"/>
      <c r="BA951" s="127"/>
      <c r="BB951" s="127"/>
      <c r="BC951" s="127"/>
      <c r="BI951" s="75"/>
      <c r="BJ951" s="91"/>
    </row>
    <row r="952" s="76" customFormat="1" customHeight="1" spans="1:69">
      <c r="A952" s="76" t="s">
        <v>1013</v>
      </c>
      <c r="B952" s="76" t="s">
        <v>572</v>
      </c>
      <c r="C952" s="387" t="s">
        <v>1177</v>
      </c>
      <c r="D952" s="76" t="s">
        <v>1178</v>
      </c>
      <c r="E952" s="76" t="s">
        <v>1181</v>
      </c>
      <c r="G952" s="479"/>
      <c r="H952" s="76" t="s">
        <v>93</v>
      </c>
      <c r="J952" s="129">
        <v>50</v>
      </c>
      <c r="K952" s="129">
        <f t="shared" si="325"/>
        <v>6250</v>
      </c>
      <c r="L952" s="129">
        <f t="shared" si="323"/>
        <v>312500</v>
      </c>
      <c r="M952" s="129"/>
      <c r="N952" s="408">
        <v>312500</v>
      </c>
      <c r="P952" s="91"/>
      <c r="Q952" s="91"/>
      <c r="R952" s="76" t="s">
        <v>88</v>
      </c>
      <c r="S952" s="113" t="s">
        <v>1180</v>
      </c>
      <c r="T952" s="387">
        <v>46202</v>
      </c>
      <c r="U952" s="387">
        <f t="shared" si="326"/>
        <v>46262</v>
      </c>
      <c r="V952" s="387">
        <v>46262</v>
      </c>
      <c r="X952" s="133"/>
      <c r="Y952" s="76">
        <v>50</v>
      </c>
      <c r="Z952" s="114">
        <v>6000</v>
      </c>
      <c r="AA952" s="114">
        <f t="shared" si="324"/>
        <v>300000</v>
      </c>
      <c r="AB952" s="114"/>
      <c r="AC952" s="114"/>
      <c r="AD952" s="140"/>
      <c r="AE952" s="114"/>
      <c r="AF952" s="114"/>
      <c r="AG952" s="114"/>
      <c r="AH952" s="114"/>
      <c r="AM952" s="114"/>
      <c r="AN952" s="408">
        <v>312500</v>
      </c>
      <c r="AQ952" s="387"/>
      <c r="AR952" s="387"/>
      <c r="AS952" s="387"/>
      <c r="AT952" s="387"/>
      <c r="AW952" s="387"/>
      <c r="AX952" s="129"/>
      <c r="AY952" s="114"/>
      <c r="AZ952" s="127"/>
      <c r="BA952" s="127"/>
      <c r="BB952" s="127"/>
      <c r="BC952" s="127"/>
      <c r="BI952" s="75"/>
      <c r="BJ952" s="91"/>
    </row>
    <row r="953" s="76" customFormat="1" customHeight="1" spans="1:69">
      <c r="A953" s="76" t="s">
        <v>1013</v>
      </c>
      <c r="B953" s="76" t="s">
        <v>572</v>
      </c>
      <c r="C953" s="387" t="s">
        <v>1177</v>
      </c>
      <c r="D953" s="76" t="s">
        <v>1178</v>
      </c>
      <c r="E953" s="76" t="s">
        <v>1182</v>
      </c>
      <c r="G953" s="479"/>
      <c r="H953" s="76" t="s">
        <v>93</v>
      </c>
      <c r="J953" s="129">
        <v>36</v>
      </c>
      <c r="K953" s="129">
        <f t="shared" si="325"/>
        <v>6250</v>
      </c>
      <c r="L953" s="129">
        <f t="shared" si="323"/>
        <v>225000</v>
      </c>
      <c r="M953" s="129"/>
      <c r="N953" s="408">
        <v>131234.88</v>
      </c>
      <c r="P953" s="91"/>
      <c r="Q953" s="91"/>
      <c r="R953" s="76" t="s">
        <v>88</v>
      </c>
      <c r="S953" s="113" t="s">
        <v>1180</v>
      </c>
      <c r="T953" s="387">
        <v>46202</v>
      </c>
      <c r="U953" s="387">
        <f t="shared" si="326"/>
        <v>46262</v>
      </c>
      <c r="V953" s="387">
        <v>46262</v>
      </c>
      <c r="X953" s="133"/>
      <c r="Y953" s="76">
        <v>36</v>
      </c>
      <c r="Z953" s="114">
        <v>6000</v>
      </c>
      <c r="AA953" s="114">
        <f t="shared" si="324"/>
        <v>216000</v>
      </c>
      <c r="AB953" s="114"/>
      <c r="AC953" s="114"/>
      <c r="AD953" s="140"/>
      <c r="AE953" s="114"/>
      <c r="AF953" s="114"/>
      <c r="AG953" s="114"/>
      <c r="AH953" s="114"/>
      <c r="AM953" s="114"/>
      <c r="AN953" s="408">
        <v>131234.88</v>
      </c>
      <c r="AQ953" s="387"/>
      <c r="AR953" s="387"/>
      <c r="AS953" s="387"/>
      <c r="AT953" s="387"/>
      <c r="AW953" s="387"/>
      <c r="AX953" s="129"/>
      <c r="AY953" s="114"/>
      <c r="AZ953" s="127"/>
      <c r="BA953" s="127"/>
      <c r="BB953" s="127"/>
      <c r="BC953" s="127"/>
      <c r="BI953" s="75"/>
      <c r="BJ953" s="91"/>
    </row>
    <row r="954" s="76" customFormat="1" customHeight="1" spans="1:69">
      <c r="A954" s="76" t="s">
        <v>1013</v>
      </c>
      <c r="B954" s="76" t="s">
        <v>572</v>
      </c>
      <c r="C954" s="387" t="s">
        <v>1177</v>
      </c>
      <c r="D954" s="76" t="s">
        <v>1178</v>
      </c>
      <c r="E954" s="76" t="s">
        <v>1183</v>
      </c>
      <c r="G954" s="479"/>
      <c r="H954" s="76" t="s">
        <v>93</v>
      </c>
      <c r="J954" s="129">
        <v>4</v>
      </c>
      <c r="K954" s="129">
        <f t="shared" si="325"/>
        <v>6150</v>
      </c>
      <c r="L954" s="129">
        <f t="shared" si="323"/>
        <v>24600</v>
      </c>
      <c r="M954" s="129"/>
      <c r="P954" s="91"/>
      <c r="Q954" s="91"/>
      <c r="R954" s="76" t="s">
        <v>88</v>
      </c>
      <c r="S954" s="113" t="s">
        <v>1180</v>
      </c>
      <c r="T954" s="387">
        <v>46202</v>
      </c>
      <c r="U954" s="387">
        <f t="shared" si="326"/>
        <v>46262</v>
      </c>
      <c r="V954" s="387">
        <v>46262</v>
      </c>
      <c r="X954" s="133"/>
      <c r="Y954" s="76">
        <v>4</v>
      </c>
      <c r="Z954" s="114">
        <v>5900</v>
      </c>
      <c r="AA954" s="114">
        <f t="shared" si="324"/>
        <v>23600</v>
      </c>
      <c r="AB954" s="114"/>
      <c r="AC954" s="114"/>
      <c r="AD954" s="140"/>
      <c r="AE954" s="114"/>
      <c r="AF954" s="114"/>
      <c r="AG954" s="114"/>
      <c r="AH954" s="114"/>
      <c r="AM954" s="114"/>
      <c r="AN954" s="114"/>
      <c r="AQ954" s="387"/>
      <c r="AR954" s="387"/>
      <c r="AS954" s="387"/>
      <c r="AT954" s="387"/>
      <c r="AW954" s="387"/>
      <c r="AX954" s="129"/>
      <c r="AY954" s="114"/>
      <c r="AZ954" s="127"/>
      <c r="BA954" s="127"/>
      <c r="BB954" s="127"/>
      <c r="BC954" s="127"/>
      <c r="BI954" s="75"/>
      <c r="BJ954" s="91"/>
    </row>
    <row r="955" s="79" customFormat="1" customHeight="1" spans="1:69">
      <c r="A955" s="79" t="s">
        <v>1013</v>
      </c>
      <c r="C955" s="463" t="s">
        <v>1177</v>
      </c>
      <c r="D955" s="79" t="s">
        <v>1178</v>
      </c>
      <c r="G955" s="486"/>
      <c r="J955" s="748">
        <f t="shared" ref="J955:N955" si="327">SUM(J951:J954)</f>
        <v>128</v>
      </c>
      <c r="K955" s="194"/>
      <c r="L955" s="748">
        <f t="shared" si="327"/>
        <v>799600</v>
      </c>
      <c r="M955" s="194"/>
      <c r="N955" s="748">
        <f t="shared" si="327"/>
        <v>681234.88</v>
      </c>
      <c r="T955" s="463"/>
      <c r="U955" s="463"/>
      <c r="V955" s="463"/>
      <c r="X955" s="193"/>
      <c r="Y955" s="748">
        <f>SUM(Y951:Y954)</f>
        <v>128</v>
      </c>
      <c r="Z955" s="192"/>
      <c r="AA955" s="748">
        <f>SUM(AA951:AA954)</f>
        <v>767600</v>
      </c>
      <c r="AB955" s="192"/>
      <c r="AC955" s="192"/>
      <c r="AD955" s="196"/>
      <c r="AE955" s="192"/>
      <c r="AF955" s="192"/>
      <c r="AG955" s="192"/>
      <c r="AH955" s="192"/>
      <c r="AM955" s="192"/>
      <c r="AN955" s="192"/>
      <c r="AQ955" s="463"/>
      <c r="AR955" s="463"/>
      <c r="AS955" s="463"/>
      <c r="AT955" s="463"/>
      <c r="AW955" s="463"/>
      <c r="AX955" s="194"/>
      <c r="AY955" s="192"/>
      <c r="AZ955" s="150"/>
      <c r="BA955" s="150"/>
      <c r="BB955" s="150"/>
      <c r="BC955" s="150"/>
      <c r="BI955" s="151"/>
      <c r="BL955" s="79" t="str">
        <f t="shared" ref="BL955:BL966" si="328">D955</f>
        <v>TJTW-142</v>
      </c>
      <c r="BM955" s="79" t="str">
        <f t="shared" ref="BM955:BM958" si="329">A955</f>
        <v>ETALON</v>
      </c>
      <c r="BO955" s="79">
        <f t="shared" ref="BO955:BO966" si="330">E955</f>
        <v>0</v>
      </c>
      <c r="BP955" s="79">
        <f t="shared" ref="BP955:BP966" si="331">J955</f>
        <v>128</v>
      </c>
      <c r="BQ955" s="79">
        <f t="shared" ref="BQ955:BQ966" si="332">U955</f>
        <v>0</v>
      </c>
    </row>
    <row r="956" s="76" customFormat="1" customHeight="1" spans="1:69">
      <c r="A956" s="76" t="s">
        <v>1123</v>
      </c>
      <c r="B956" s="76" t="s">
        <v>572</v>
      </c>
      <c r="C956" s="387"/>
      <c r="D956" s="76" t="s">
        <v>1184</v>
      </c>
      <c r="E956" s="76" t="s">
        <v>1185</v>
      </c>
      <c r="G956" s="479"/>
      <c r="H956" s="76" t="s">
        <v>93</v>
      </c>
      <c r="J956" s="264">
        <v>1160000</v>
      </c>
      <c r="K956" s="373">
        <v>0.2329</v>
      </c>
      <c r="L956" s="129">
        <f t="shared" ref="L956:L966" si="333">J956*K956</f>
        <v>270164</v>
      </c>
      <c r="M956" s="129"/>
      <c r="N956" s="114">
        <v>270164</v>
      </c>
      <c r="O956" s="76">
        <f>L956-N956</f>
        <v>0</v>
      </c>
      <c r="P956" s="91"/>
      <c r="Q956" s="91"/>
      <c r="R956" s="76" t="s">
        <v>88</v>
      </c>
      <c r="S956" s="76" t="s">
        <v>1186</v>
      </c>
      <c r="T956" s="387">
        <v>46210</v>
      </c>
      <c r="U956" s="387">
        <f>T956+15</f>
        <v>46225</v>
      </c>
      <c r="V956" s="387">
        <f>U956</f>
        <v>46225</v>
      </c>
      <c r="W956" s="76">
        <f t="shared" ref="W956:W966" si="334">V956-U956</f>
        <v>0</v>
      </c>
      <c r="X956" s="133"/>
      <c r="Y956" s="76">
        <v>1160000</v>
      </c>
      <c r="Z956" s="140">
        <v>0.247</v>
      </c>
      <c r="AA956" s="114">
        <f t="shared" ref="AA956:AA966" si="335">Y956*Z956</f>
        <v>286520</v>
      </c>
      <c r="AB956" s="114"/>
      <c r="AC956" s="114"/>
      <c r="AD956" s="140"/>
      <c r="AE956" s="114"/>
      <c r="AF956" s="114"/>
      <c r="AG956" s="114"/>
      <c r="AH956" s="114"/>
      <c r="AM956" s="114"/>
      <c r="AN956" s="114">
        <v>270164</v>
      </c>
      <c r="AQ956" s="746"/>
      <c r="AR956" s="387">
        <f t="shared" ref="AR956:AR966" si="336">V956-30</f>
        <v>46195</v>
      </c>
      <c r="AS956" s="387"/>
      <c r="AT956" s="387"/>
      <c r="AW956" s="387"/>
      <c r="AX956" s="129"/>
      <c r="AY956" s="114"/>
      <c r="AZ956" s="127"/>
      <c r="BA956" s="127"/>
      <c r="BB956" s="127"/>
      <c r="BC956" s="127"/>
      <c r="BI956" s="75"/>
      <c r="BJ956" s="91"/>
      <c r="BL956" s="76" t="str">
        <f t="shared" si="328"/>
        <v>TJTW-143</v>
      </c>
      <c r="BM956" s="76" t="str">
        <f t="shared" si="329"/>
        <v>MB</v>
      </c>
      <c r="BN956" s="387">
        <f>C956</f>
        <v>0</v>
      </c>
      <c r="BO956" s="76" t="str">
        <f t="shared" si="330"/>
        <v>EOE #401, 99.8 mm, 0.21, T4, ETP, Ad-99 Gold/White  BPA-NI 3N2144-655W</v>
      </c>
      <c r="BP956" s="264">
        <f t="shared" si="331"/>
        <v>1160000</v>
      </c>
      <c r="BQ956" s="387">
        <f t="shared" si="332"/>
        <v>46225</v>
      </c>
    </row>
    <row r="957" s="79" customFormat="1" customHeight="1" spans="1:69">
      <c r="A957" s="79" t="s">
        <v>1123</v>
      </c>
      <c r="C957" s="463"/>
      <c r="D957" s="79" t="s">
        <v>1184</v>
      </c>
      <c r="G957" s="486"/>
      <c r="H957" s="419" t="s">
        <v>93</v>
      </c>
      <c r="J957" s="579">
        <f t="shared" ref="J957:N957" si="337">SUM(J956)</f>
        <v>1160000</v>
      </c>
      <c r="K957" s="194"/>
      <c r="L957" s="748">
        <f t="shared" si="337"/>
        <v>270164</v>
      </c>
      <c r="M957" s="194"/>
      <c r="N957" s="79">
        <f t="shared" si="337"/>
        <v>270164</v>
      </c>
      <c r="R957" s="463" t="s">
        <v>88</v>
      </c>
      <c r="T957" s="463"/>
      <c r="U957" s="463"/>
      <c r="V957" s="463"/>
      <c r="X957" s="193"/>
      <c r="Y957" s="79">
        <f>SUM(Y956)</f>
        <v>1160000</v>
      </c>
      <c r="Z957" s="192"/>
      <c r="AA957" s="79">
        <f>SUM(AA956)</f>
        <v>286520</v>
      </c>
      <c r="AB957" s="192"/>
      <c r="AC957" s="192"/>
      <c r="AD957" s="196"/>
      <c r="AE957" s="192"/>
      <c r="AF957" s="192"/>
      <c r="AG957" s="192"/>
      <c r="AH957" s="192"/>
      <c r="AM957" s="192"/>
      <c r="AN957" s="192"/>
      <c r="AQ957" s="463"/>
      <c r="AR957" s="463"/>
      <c r="AS957" s="463"/>
      <c r="AT957" s="463"/>
      <c r="AW957" s="463"/>
      <c r="AX957" s="194"/>
      <c r="AY957" s="192"/>
      <c r="AZ957" s="150"/>
      <c r="BA957" s="150"/>
      <c r="BB957" s="150"/>
      <c r="BC957" s="150"/>
      <c r="BI957" s="151"/>
      <c r="BL957" s="79" t="str">
        <f t="shared" si="328"/>
        <v>TJTW-143</v>
      </c>
      <c r="BM957" s="79" t="str">
        <f t="shared" si="329"/>
        <v>MB</v>
      </c>
      <c r="BP957" s="79">
        <f t="shared" si="331"/>
        <v>1160000</v>
      </c>
      <c r="BQ957" s="79">
        <f t="shared" si="332"/>
        <v>0</v>
      </c>
    </row>
    <row r="958" s="76" customFormat="1" customHeight="1" spans="1:69">
      <c r="A958" s="76" t="s">
        <v>744</v>
      </c>
      <c r="B958" s="76" t="s">
        <v>440</v>
      </c>
      <c r="C958" s="387" t="s">
        <v>1187</v>
      </c>
      <c r="D958" s="76" t="s">
        <v>1188</v>
      </c>
      <c r="E958" s="76" t="s">
        <v>1161</v>
      </c>
      <c r="F958" s="76">
        <v>27</v>
      </c>
      <c r="G958" s="479">
        <v>13</v>
      </c>
      <c r="H958" s="76" t="s">
        <v>93</v>
      </c>
      <c r="J958" s="129">
        <v>27</v>
      </c>
      <c r="K958" s="129">
        <f t="shared" ref="K958:K966" si="338">Z958+340</f>
        <v>6180</v>
      </c>
      <c r="L958" s="129">
        <f t="shared" si="333"/>
        <v>166860</v>
      </c>
      <c r="M958" s="129"/>
      <c r="N958" s="76">
        <v>1658356.74</v>
      </c>
      <c r="P958" s="91"/>
      <c r="Q958" s="91"/>
      <c r="R958" s="76" t="s">
        <v>1140</v>
      </c>
      <c r="S958" s="76" t="s">
        <v>1189</v>
      </c>
      <c r="T958" s="387">
        <v>46209</v>
      </c>
      <c r="U958" s="387">
        <f t="shared" ref="U958:U966" si="339">T958+45</f>
        <v>46254</v>
      </c>
      <c r="V958" s="746">
        <v>46254</v>
      </c>
      <c r="W958" s="76">
        <f t="shared" si="334"/>
        <v>0</v>
      </c>
      <c r="X958" s="133" t="s">
        <v>436</v>
      </c>
      <c r="Y958" s="129">
        <v>27.685</v>
      </c>
      <c r="Z958" s="114">
        <v>5840</v>
      </c>
      <c r="AA958" s="114">
        <f t="shared" si="335"/>
        <v>161680.4</v>
      </c>
      <c r="AB958" s="114">
        <v>15768</v>
      </c>
      <c r="AC958" s="114">
        <f t="shared" ref="AC958:AC966" si="340">AA958-AB958</f>
        <v>145912.4</v>
      </c>
      <c r="AD958" s="140"/>
      <c r="AE958" s="114"/>
      <c r="AF958" s="114"/>
      <c r="AG958" s="114"/>
      <c r="AH958" s="114"/>
      <c r="AK958" s="129"/>
      <c r="AM958" s="114"/>
      <c r="AN958" s="114">
        <v>1658356.74</v>
      </c>
      <c r="AQ958" s="746">
        <f t="shared" ref="AQ958:AQ966" si="341">V958</f>
        <v>46254</v>
      </c>
      <c r="AR958" s="387">
        <f t="shared" si="336"/>
        <v>46224</v>
      </c>
      <c r="AS958" s="387"/>
      <c r="AT958" s="387"/>
      <c r="AW958" s="387"/>
      <c r="AX958" s="129"/>
      <c r="AY958" s="114"/>
      <c r="AZ958" s="127"/>
      <c r="BA958" s="127"/>
      <c r="BB958" s="127"/>
      <c r="BC958" s="127"/>
      <c r="BI958" s="75"/>
      <c r="BJ958" s="91"/>
      <c r="BL958" s="76" t="str">
        <f t="shared" si="328"/>
        <v>TJTW-144</v>
      </c>
      <c r="BM958" s="76" t="str">
        <f t="shared" si="329"/>
        <v>SKARDA</v>
      </c>
      <c r="BO958" s="76" t="str">
        <f t="shared" si="330"/>
        <v>0.18*862*782 Scroll Sheets Т5 2.8/2.8 Stone, BA</v>
      </c>
      <c r="BP958" s="129">
        <f t="shared" si="331"/>
        <v>27</v>
      </c>
      <c r="BQ958" s="387">
        <f t="shared" si="332"/>
        <v>46254</v>
      </c>
    </row>
    <row r="959" s="76" customFormat="1" customHeight="1" spans="1:69">
      <c r="A959" s="76" t="s">
        <v>744</v>
      </c>
      <c r="B959" s="76" t="s">
        <v>440</v>
      </c>
      <c r="C959" s="387" t="s">
        <v>1187</v>
      </c>
      <c r="D959" s="76" t="s">
        <v>1188</v>
      </c>
      <c r="E959" s="76" t="s">
        <v>1142</v>
      </c>
      <c r="F959" s="76">
        <v>27</v>
      </c>
      <c r="G959" s="479">
        <v>10</v>
      </c>
      <c r="H959" s="76" t="s">
        <v>93</v>
      </c>
      <c r="J959" s="129">
        <v>27</v>
      </c>
      <c r="K959" s="129">
        <f t="shared" si="338"/>
        <v>6180</v>
      </c>
      <c r="L959" s="129">
        <f t="shared" si="333"/>
        <v>166860</v>
      </c>
      <c r="M959" s="129"/>
      <c r="N959" s="76">
        <v>95389.38</v>
      </c>
      <c r="P959" s="91"/>
      <c r="Q959" s="91"/>
      <c r="R959" s="76" t="s">
        <v>1140</v>
      </c>
      <c r="S959" s="76" t="s">
        <v>1189</v>
      </c>
      <c r="T959" s="387">
        <v>46209</v>
      </c>
      <c r="U959" s="387">
        <f t="shared" si="339"/>
        <v>46254</v>
      </c>
      <c r="V959" s="745">
        <v>46254</v>
      </c>
      <c r="W959" s="76">
        <f t="shared" si="334"/>
        <v>0</v>
      </c>
      <c r="X959" s="133"/>
      <c r="Y959" s="129">
        <v>27</v>
      </c>
      <c r="Z959" s="114">
        <v>5840</v>
      </c>
      <c r="AA959" s="114">
        <f t="shared" si="335"/>
        <v>157680</v>
      </c>
      <c r="AB959" s="114">
        <v>15768</v>
      </c>
      <c r="AC959" s="114">
        <f t="shared" si="340"/>
        <v>141912</v>
      </c>
      <c r="AD959" s="140"/>
      <c r="AE959" s="114"/>
      <c r="AF959" s="114"/>
      <c r="AG959" s="114"/>
      <c r="AH959" s="114"/>
      <c r="AK959" s="129"/>
      <c r="AM959" s="114"/>
      <c r="AN959" s="76">
        <v>95389.38</v>
      </c>
      <c r="AQ959" s="746">
        <f t="shared" si="341"/>
        <v>46254</v>
      </c>
      <c r="AR959" s="387">
        <f t="shared" si="336"/>
        <v>46224</v>
      </c>
      <c r="AS959" s="387"/>
      <c r="AT959" s="387"/>
      <c r="AW959" s="387"/>
      <c r="AX959" s="129"/>
      <c r="AY959" s="114"/>
      <c r="AZ959" s="127"/>
      <c r="BA959" s="127"/>
      <c r="BB959" s="127"/>
      <c r="BC959" s="127"/>
      <c r="BI959" s="75"/>
      <c r="BJ959" s="91"/>
      <c r="BL959" s="76" t="str">
        <f t="shared" si="328"/>
        <v>TJTW-144</v>
      </c>
      <c r="BM959" s="76" t="str">
        <f t="shared" ref="BM959:BM966" si="342">A959</f>
        <v>SKARDA</v>
      </c>
      <c r="BO959" s="76" t="str">
        <f t="shared" si="330"/>
        <v>0.18*890*807.3 Scroll Sheets Т5 2.8/2.8 Stone, BA</v>
      </c>
      <c r="BP959" s="129">
        <f t="shared" si="331"/>
        <v>27</v>
      </c>
      <c r="BQ959" s="387">
        <f t="shared" si="332"/>
        <v>46254</v>
      </c>
    </row>
    <row r="960" s="76" customFormat="1" customHeight="1" spans="1:69">
      <c r="A960" s="76" t="s">
        <v>744</v>
      </c>
      <c r="B960" s="76" t="s">
        <v>440</v>
      </c>
      <c r="C960" s="387" t="s">
        <v>1187</v>
      </c>
      <c r="D960" s="76" t="s">
        <v>1188</v>
      </c>
      <c r="E960" s="76" t="s">
        <v>1139</v>
      </c>
      <c r="F960" s="76">
        <v>54</v>
      </c>
      <c r="G960" s="479"/>
      <c r="H960" s="76" t="s">
        <v>93</v>
      </c>
      <c r="J960" s="129">
        <v>54</v>
      </c>
      <c r="K960" s="129">
        <f t="shared" si="338"/>
        <v>6280</v>
      </c>
      <c r="L960" s="129">
        <f t="shared" si="333"/>
        <v>339120</v>
      </c>
      <c r="M960" s="129"/>
      <c r="P960" s="91"/>
      <c r="Q960" s="91"/>
      <c r="R960" s="76" t="s">
        <v>1140</v>
      </c>
      <c r="S960" s="76" t="s">
        <v>1189</v>
      </c>
      <c r="T960" s="387">
        <v>46209</v>
      </c>
      <c r="U960" s="387">
        <f t="shared" si="339"/>
        <v>46254</v>
      </c>
      <c r="V960" s="746">
        <v>46249</v>
      </c>
      <c r="W960" s="76">
        <f t="shared" si="334"/>
        <v>-5</v>
      </c>
      <c r="X960" s="133" t="s">
        <v>436</v>
      </c>
      <c r="Y960" s="129">
        <v>58.578</v>
      </c>
      <c r="Z960" s="114">
        <v>5940</v>
      </c>
      <c r="AA960" s="114">
        <f t="shared" si="335"/>
        <v>347953.32</v>
      </c>
      <c r="AB960" s="114">
        <v>32076</v>
      </c>
      <c r="AC960" s="114">
        <f t="shared" si="340"/>
        <v>315877.32</v>
      </c>
      <c r="AD960" s="140"/>
      <c r="AE960" s="114"/>
      <c r="AF960" s="114"/>
      <c r="AG960" s="114"/>
      <c r="AH960" s="114"/>
      <c r="AI960" s="91"/>
      <c r="AK960" s="129"/>
      <c r="AM960" s="114"/>
      <c r="AN960" s="114"/>
      <c r="AP960" s="91"/>
      <c r="AQ960" s="746">
        <f t="shared" si="341"/>
        <v>46249</v>
      </c>
      <c r="AR960" s="387">
        <f t="shared" si="336"/>
        <v>46219</v>
      </c>
      <c r="AS960" s="387"/>
      <c r="AT960" s="387"/>
      <c r="AW960" s="387"/>
      <c r="AX960" s="129"/>
      <c r="AY960" s="114"/>
      <c r="AZ960" s="127"/>
      <c r="BA960" s="127"/>
      <c r="BB960" s="127"/>
      <c r="BC960" s="127"/>
      <c r="BI960" s="75"/>
      <c r="BJ960" s="91"/>
      <c r="BL960" s="76" t="str">
        <f t="shared" si="328"/>
        <v>TJTW-144</v>
      </c>
      <c r="BM960" s="76" t="str">
        <f t="shared" si="342"/>
        <v>SKARDA</v>
      </c>
      <c r="BO960" s="76" t="str">
        <f t="shared" si="330"/>
        <v>0.17*944*795 Sheets Т4 2.8/2.8 Stone, BA</v>
      </c>
      <c r="BP960" s="129">
        <f t="shared" si="331"/>
        <v>54</v>
      </c>
      <c r="BQ960" s="387">
        <f t="shared" si="332"/>
        <v>46254</v>
      </c>
    </row>
    <row r="961" s="76" customFormat="1" customHeight="1" spans="1:69 16378:16379">
      <c r="A961" s="76" t="s">
        <v>744</v>
      </c>
      <c r="B961" s="76" t="s">
        <v>440</v>
      </c>
      <c r="C961" s="387" t="s">
        <v>1187</v>
      </c>
      <c r="D961" s="76" t="s">
        <v>1188</v>
      </c>
      <c r="E961" s="76" t="s">
        <v>1162</v>
      </c>
      <c r="F961" s="76">
        <v>27</v>
      </c>
      <c r="G961" s="479" t="s">
        <v>1163</v>
      </c>
      <c r="H961" s="76" t="s">
        <v>93</v>
      </c>
      <c r="J961" s="129">
        <v>27</v>
      </c>
      <c r="K961" s="129">
        <f t="shared" si="338"/>
        <v>6180</v>
      </c>
      <c r="L961" s="129">
        <f t="shared" si="333"/>
        <v>166860</v>
      </c>
      <c r="M961" s="129"/>
      <c r="P961" s="91"/>
      <c r="Q961" s="91"/>
      <c r="R961" s="76" t="s">
        <v>1140</v>
      </c>
      <c r="S961" s="76" t="s">
        <v>1189</v>
      </c>
      <c r="T961" s="387">
        <v>46209</v>
      </c>
      <c r="U961" s="387">
        <f t="shared" si="339"/>
        <v>46254</v>
      </c>
      <c r="V961" s="745">
        <v>46254</v>
      </c>
      <c r="W961" s="76">
        <f t="shared" si="334"/>
        <v>0</v>
      </c>
      <c r="X961" s="133"/>
      <c r="Y961" s="129">
        <v>27</v>
      </c>
      <c r="Z961" s="114">
        <v>5840</v>
      </c>
      <c r="AA961" s="114">
        <f t="shared" si="335"/>
        <v>157680</v>
      </c>
      <c r="AB961" s="114">
        <v>15768</v>
      </c>
      <c r="AC961" s="114">
        <f t="shared" si="340"/>
        <v>141912</v>
      </c>
      <c r="AD961" s="140"/>
      <c r="AE961" s="114"/>
      <c r="AF961" s="114"/>
      <c r="AG961" s="114"/>
      <c r="AH961" s="114"/>
      <c r="AI961" s="91"/>
      <c r="AK961" s="129"/>
      <c r="AM961" s="114"/>
      <c r="AN961" s="114"/>
      <c r="AP961" s="91"/>
      <c r="AQ961" s="746">
        <f t="shared" si="341"/>
        <v>46254</v>
      </c>
      <c r="AR961" s="387">
        <f t="shared" si="336"/>
        <v>46224</v>
      </c>
      <c r="AS961" s="387"/>
      <c r="AT961" s="387"/>
      <c r="AW961" s="387"/>
      <c r="AX961" s="129"/>
      <c r="AY961" s="114"/>
      <c r="AZ961" s="127"/>
      <c r="BA961" s="127"/>
      <c r="BB961" s="127"/>
      <c r="BC961" s="127"/>
      <c r="BI961" s="75"/>
      <c r="BJ961" s="91"/>
      <c r="BL961" s="76" t="str">
        <f t="shared" si="328"/>
        <v>TJTW-144</v>
      </c>
      <c r="BM961" s="76" t="str">
        <f t="shared" si="342"/>
        <v>SKARDA</v>
      </c>
      <c r="BO961" s="76" t="str">
        <f t="shared" si="330"/>
        <v>0.18*936*906.5 Scroll Sheets Т3 2.8/2.8 Stone, BA</v>
      </c>
      <c r="BP961" s="129">
        <f t="shared" si="331"/>
        <v>27</v>
      </c>
      <c r="BQ961" s="387">
        <f t="shared" si="332"/>
        <v>46254</v>
      </c>
    </row>
    <row r="962" s="76" customFormat="1" customHeight="1" spans="1:69 16378:16379">
      <c r="A962" s="76" t="s">
        <v>744</v>
      </c>
      <c r="B962" s="76" t="s">
        <v>440</v>
      </c>
      <c r="C962" s="387" t="s">
        <v>1187</v>
      </c>
      <c r="D962" s="76" t="s">
        <v>1188</v>
      </c>
      <c r="E962" s="76" t="s">
        <v>1143</v>
      </c>
      <c r="G962" s="479">
        <v>11</v>
      </c>
      <c r="H962" s="76" t="s">
        <v>93</v>
      </c>
      <c r="J962" s="129">
        <v>81</v>
      </c>
      <c r="K962" s="129">
        <f t="shared" si="338"/>
        <v>6180</v>
      </c>
      <c r="L962" s="129">
        <f t="shared" si="333"/>
        <v>500580</v>
      </c>
      <c r="M962" s="129"/>
      <c r="P962" s="91"/>
      <c r="Q962" s="91"/>
      <c r="R962" s="76" t="s">
        <v>1140</v>
      </c>
      <c r="S962" s="76" t="s">
        <v>1189</v>
      </c>
      <c r="T962" s="387">
        <v>46209</v>
      </c>
      <c r="U962" s="387">
        <f t="shared" si="339"/>
        <v>46254</v>
      </c>
      <c r="V962" s="746">
        <v>46264</v>
      </c>
      <c r="W962" s="76">
        <f t="shared" si="334"/>
        <v>10</v>
      </c>
      <c r="X962" s="133" t="s">
        <v>436</v>
      </c>
      <c r="Y962" s="129">
        <v>84.896</v>
      </c>
      <c r="Z962" s="114">
        <v>5840</v>
      </c>
      <c r="AA962" s="114">
        <f t="shared" si="335"/>
        <v>495792.64</v>
      </c>
      <c r="AB962" s="114">
        <v>47304</v>
      </c>
      <c r="AC962" s="114">
        <f t="shared" si="340"/>
        <v>448488.64</v>
      </c>
      <c r="AD962" s="140"/>
      <c r="AE962" s="114"/>
      <c r="AF962" s="114"/>
      <c r="AG962" s="114"/>
      <c r="AH962" s="114"/>
      <c r="AI962" s="91"/>
      <c r="AK962" s="129"/>
      <c r="AM962" s="114"/>
      <c r="AN962" s="114"/>
      <c r="AP962" s="91"/>
      <c r="AQ962" s="746">
        <f t="shared" si="341"/>
        <v>46264</v>
      </c>
      <c r="AR962" s="387">
        <f t="shared" si="336"/>
        <v>46234</v>
      </c>
      <c r="AS962" s="387"/>
      <c r="AT962" s="387"/>
      <c r="AW962" s="387"/>
      <c r="AX962" s="129"/>
      <c r="AY962" s="114"/>
      <c r="AZ962" s="127"/>
      <c r="BA962" s="127"/>
      <c r="BB962" s="127"/>
      <c r="BC962" s="127"/>
      <c r="BI962" s="75"/>
      <c r="BJ962" s="91"/>
      <c r="BL962" s="76" t="str">
        <f t="shared" si="328"/>
        <v>TJTW-144</v>
      </c>
      <c r="BM962" s="76" t="str">
        <f t="shared" si="342"/>
        <v>SKARDA</v>
      </c>
      <c r="BO962" s="76" t="str">
        <f t="shared" si="330"/>
        <v>0.18*880*824 Scroll Sheets Т3 2.8/2.8 Stone, BA</v>
      </c>
      <c r="BP962" s="129">
        <f t="shared" si="331"/>
        <v>81</v>
      </c>
      <c r="BQ962" s="387">
        <f t="shared" si="332"/>
        <v>46254</v>
      </c>
    </row>
    <row r="963" s="76" customFormat="1" customHeight="1" spans="1:69 16378:16379">
      <c r="A963" s="76" t="s">
        <v>744</v>
      </c>
      <c r="B963" s="76" t="s">
        <v>440</v>
      </c>
      <c r="C963" s="387" t="s">
        <v>1187</v>
      </c>
      <c r="D963" s="76" t="s">
        <v>1188</v>
      </c>
      <c r="E963" s="76" t="s">
        <v>1144</v>
      </c>
      <c r="F963" s="76">
        <v>27</v>
      </c>
      <c r="G963" s="479">
        <v>12</v>
      </c>
      <c r="H963" s="76" t="s">
        <v>93</v>
      </c>
      <c r="J963" s="129">
        <v>27</v>
      </c>
      <c r="K963" s="129">
        <f t="shared" si="338"/>
        <v>6180</v>
      </c>
      <c r="L963" s="129">
        <f t="shared" si="333"/>
        <v>166860</v>
      </c>
      <c r="M963" s="129"/>
      <c r="P963" s="91"/>
      <c r="Q963" s="91"/>
      <c r="R963" s="76" t="s">
        <v>1140</v>
      </c>
      <c r="S963" s="76" t="s">
        <v>1189</v>
      </c>
      <c r="T963" s="387">
        <v>46209</v>
      </c>
      <c r="U963" s="387">
        <f t="shared" si="339"/>
        <v>46254</v>
      </c>
      <c r="V963" s="745">
        <v>46254</v>
      </c>
      <c r="W963" s="76">
        <f t="shared" si="334"/>
        <v>0</v>
      </c>
      <c r="X963" s="133"/>
      <c r="Y963" s="129">
        <v>27</v>
      </c>
      <c r="Z963" s="114">
        <v>5840</v>
      </c>
      <c r="AA963" s="114">
        <f t="shared" si="335"/>
        <v>157680</v>
      </c>
      <c r="AB963" s="114">
        <v>15768</v>
      </c>
      <c r="AC963" s="114">
        <f t="shared" si="340"/>
        <v>141912</v>
      </c>
      <c r="AD963" s="140"/>
      <c r="AE963" s="114"/>
      <c r="AF963" s="114"/>
      <c r="AG963" s="114"/>
      <c r="AH963" s="114"/>
      <c r="AK963" s="129"/>
      <c r="AM963" s="114"/>
      <c r="AN963" s="114"/>
      <c r="AQ963" s="746">
        <f t="shared" si="341"/>
        <v>46254</v>
      </c>
      <c r="AR963" s="387">
        <f t="shared" si="336"/>
        <v>46224</v>
      </c>
      <c r="AS963" s="387"/>
      <c r="AT963" s="387"/>
      <c r="AW963" s="387"/>
      <c r="AX963" s="129"/>
      <c r="AY963" s="114"/>
      <c r="AZ963" s="127"/>
      <c r="BA963" s="127"/>
      <c r="BB963" s="127"/>
      <c r="BC963" s="127"/>
      <c r="BI963" s="75"/>
      <c r="BJ963" s="91"/>
      <c r="BL963" s="76" t="str">
        <f t="shared" si="328"/>
        <v>TJTW-144</v>
      </c>
      <c r="BM963" s="76" t="str">
        <f t="shared" si="342"/>
        <v>SKARDA</v>
      </c>
      <c r="BO963" s="76" t="str">
        <f t="shared" si="330"/>
        <v>0.18*928*934.7 Scroll Sheets Т5 2.8/2.8 Stone, BA</v>
      </c>
      <c r="BP963" s="129">
        <f t="shared" si="331"/>
        <v>27</v>
      </c>
      <c r="BQ963" s="387">
        <f t="shared" si="332"/>
        <v>46254</v>
      </c>
    </row>
    <row r="964" s="76" customFormat="1" customHeight="1" spans="1:69 16378:16379">
      <c r="A964" s="76" t="s">
        <v>744</v>
      </c>
      <c r="B964" s="76" t="s">
        <v>440</v>
      </c>
      <c r="C964" s="387" t="s">
        <v>1187</v>
      </c>
      <c r="D964" s="76" t="s">
        <v>1188</v>
      </c>
      <c r="E964" s="76" t="s">
        <v>1190</v>
      </c>
      <c r="F964" s="76">
        <v>54</v>
      </c>
      <c r="G964" s="479">
        <v>7</v>
      </c>
      <c r="H964" s="137" t="s">
        <v>93</v>
      </c>
      <c r="J964" s="405">
        <v>54</v>
      </c>
      <c r="K964" s="129">
        <f t="shared" si="338"/>
        <v>6380</v>
      </c>
      <c r="L964" s="129">
        <f t="shared" si="333"/>
        <v>344520</v>
      </c>
      <c r="M964" s="129"/>
      <c r="P964" s="91"/>
      <c r="Q964" s="91"/>
      <c r="R964" s="76" t="s">
        <v>1140</v>
      </c>
      <c r="S964" s="76" t="s">
        <v>1189</v>
      </c>
      <c r="T964" s="387">
        <v>46209</v>
      </c>
      <c r="U964" s="387">
        <f t="shared" si="339"/>
        <v>46254</v>
      </c>
      <c r="V964" s="745">
        <v>46254</v>
      </c>
      <c r="W964" s="76">
        <f t="shared" si="334"/>
        <v>0</v>
      </c>
      <c r="X964" s="133"/>
      <c r="Y964" s="405">
        <v>54</v>
      </c>
      <c r="Z964" s="114">
        <v>6040</v>
      </c>
      <c r="AA964" s="114">
        <f t="shared" si="335"/>
        <v>326160</v>
      </c>
      <c r="AB964" s="114">
        <v>32616</v>
      </c>
      <c r="AC964" s="114">
        <f t="shared" si="340"/>
        <v>293544</v>
      </c>
      <c r="AD964" s="140"/>
      <c r="AE964" s="114"/>
      <c r="AF964" s="114"/>
      <c r="AG964" s="114"/>
      <c r="AH964" s="114"/>
      <c r="AK964" s="405"/>
      <c r="AM964" s="114"/>
      <c r="AN964" s="114"/>
      <c r="AQ964" s="746">
        <f t="shared" si="341"/>
        <v>46254</v>
      </c>
      <c r="AR964" s="387">
        <f t="shared" si="336"/>
        <v>46224</v>
      </c>
      <c r="AS964" s="387"/>
      <c r="AT964" s="387"/>
      <c r="AW964" s="387"/>
      <c r="AX964" s="129"/>
      <c r="AY964" s="114"/>
      <c r="AZ964" s="127"/>
      <c r="BA964" s="127"/>
      <c r="BB964" s="127"/>
      <c r="BC964" s="127"/>
      <c r="BI964" s="75"/>
      <c r="BJ964" s="91"/>
      <c r="BL964" s="76" t="str">
        <f t="shared" si="328"/>
        <v>TJTW-144</v>
      </c>
      <c r="BM964" s="76" t="str">
        <f t="shared" si="342"/>
        <v>SKARDA</v>
      </c>
      <c r="BO964" s="76" t="str">
        <f t="shared" si="330"/>
        <v>0.16*892*808.4 Scroll Sheets Т4 2.0/2.0 Stone, BA</v>
      </c>
      <c r="BP964" s="129">
        <f t="shared" si="331"/>
        <v>54</v>
      </c>
      <c r="BQ964" s="387">
        <f t="shared" si="332"/>
        <v>46254</v>
      </c>
    </row>
    <row r="965" s="76" customFormat="1" customHeight="1" spans="1:69 16378:16379">
      <c r="A965" s="76" t="s">
        <v>744</v>
      </c>
      <c r="B965" s="76" t="s">
        <v>440</v>
      </c>
      <c r="C965" s="387" t="s">
        <v>1187</v>
      </c>
      <c r="D965" s="76" t="s">
        <v>1188</v>
      </c>
      <c r="E965" s="76" t="s">
        <v>1191</v>
      </c>
      <c r="F965" s="76">
        <v>27</v>
      </c>
      <c r="G965" s="479">
        <v>7</v>
      </c>
      <c r="H965" s="76" t="s">
        <v>93</v>
      </c>
      <c r="J965" s="129">
        <v>27</v>
      </c>
      <c r="K965" s="129">
        <f t="shared" si="338"/>
        <v>5990</v>
      </c>
      <c r="L965" s="129">
        <f t="shared" si="333"/>
        <v>161730</v>
      </c>
      <c r="M965" s="129"/>
      <c r="P965" s="91"/>
      <c r="Q965" s="91"/>
      <c r="R965" s="76" t="s">
        <v>1140</v>
      </c>
      <c r="S965" s="76" t="s">
        <v>1189</v>
      </c>
      <c r="T965" s="387">
        <v>46209</v>
      </c>
      <c r="U965" s="387">
        <f t="shared" si="339"/>
        <v>46254</v>
      </c>
      <c r="V965" s="745">
        <v>46254</v>
      </c>
      <c r="W965" s="76">
        <f t="shared" si="334"/>
        <v>0</v>
      </c>
      <c r="X965" s="133"/>
      <c r="Y965" s="129">
        <v>27</v>
      </c>
      <c r="Z965" s="114">
        <v>5650</v>
      </c>
      <c r="AA965" s="114">
        <f t="shared" si="335"/>
        <v>152550</v>
      </c>
      <c r="AB965" s="114">
        <v>15255</v>
      </c>
      <c r="AC965" s="114">
        <f t="shared" si="340"/>
        <v>137295</v>
      </c>
      <c r="AD965" s="140"/>
      <c r="AE965" s="114"/>
      <c r="AF965" s="114"/>
      <c r="AG965" s="114"/>
      <c r="AH965" s="114"/>
      <c r="AK965" s="129"/>
      <c r="AM965" s="114"/>
      <c r="AN965" s="114"/>
      <c r="AQ965" s="746">
        <f t="shared" si="341"/>
        <v>46254</v>
      </c>
      <c r="AR965" s="387">
        <f t="shared" si="336"/>
        <v>46224</v>
      </c>
      <c r="AS965" s="387"/>
      <c r="AT965" s="387"/>
      <c r="AW965" s="387"/>
      <c r="AX965" s="129"/>
      <c r="AY965" s="114"/>
      <c r="AZ965" s="127"/>
      <c r="BA965" s="127"/>
      <c r="BB965" s="127"/>
      <c r="BC965" s="127"/>
      <c r="BI965" s="75"/>
      <c r="BJ965" s="91"/>
      <c r="BL965" s="76" t="str">
        <f t="shared" si="328"/>
        <v>TJTW-144</v>
      </c>
      <c r="BM965" s="76" t="str">
        <f t="shared" si="342"/>
        <v>SKARDA</v>
      </c>
      <c r="BO965" s="76" t="str">
        <f t="shared" si="330"/>
        <v>0.20*892*808.4 Scroll Sheets Т3 2.8/2.8 Stone, BA</v>
      </c>
      <c r="BP965" s="129">
        <f t="shared" si="331"/>
        <v>27</v>
      </c>
      <c r="BQ965" s="387">
        <f t="shared" si="332"/>
        <v>46254</v>
      </c>
    </row>
    <row r="966" s="76" customFormat="1" customHeight="1" spans="1:69 16378:16379">
      <c r="A966" s="76" t="s">
        <v>744</v>
      </c>
      <c r="B966" s="76" t="s">
        <v>440</v>
      </c>
      <c r="C966" s="387" t="s">
        <v>1187</v>
      </c>
      <c r="D966" s="76" t="s">
        <v>1188</v>
      </c>
      <c r="E966" s="76" t="s">
        <v>1145</v>
      </c>
      <c r="F966" s="76">
        <v>135</v>
      </c>
      <c r="G966" s="479">
        <v>8</v>
      </c>
      <c r="H966" s="76" t="s">
        <v>93</v>
      </c>
      <c r="J966" s="129">
        <v>135</v>
      </c>
      <c r="K966" s="129">
        <f t="shared" si="338"/>
        <v>5880</v>
      </c>
      <c r="L966" s="129">
        <f t="shared" si="333"/>
        <v>793800</v>
      </c>
      <c r="M966" s="129"/>
      <c r="P966" s="91"/>
      <c r="Q966" s="91"/>
      <c r="R966" s="76" t="s">
        <v>1140</v>
      </c>
      <c r="S966" s="76" t="s">
        <v>1189</v>
      </c>
      <c r="T966" s="387">
        <v>46209</v>
      </c>
      <c r="U966" s="387">
        <f t="shared" si="339"/>
        <v>46254</v>
      </c>
      <c r="V966" s="746">
        <v>46264</v>
      </c>
      <c r="W966" s="76">
        <f t="shared" si="334"/>
        <v>10</v>
      </c>
      <c r="X966" s="133" t="s">
        <v>1192</v>
      </c>
      <c r="Y966" s="129">
        <v>135</v>
      </c>
      <c r="Z966" s="114">
        <v>5540</v>
      </c>
      <c r="AA966" s="114">
        <f t="shared" si="335"/>
        <v>747900</v>
      </c>
      <c r="AB966" s="114">
        <v>74790</v>
      </c>
      <c r="AC966" s="114">
        <f t="shared" si="340"/>
        <v>673110</v>
      </c>
      <c r="AD966" s="140"/>
      <c r="AE966" s="114"/>
      <c r="AF966" s="114"/>
      <c r="AG966" s="114"/>
      <c r="AH966" s="114"/>
      <c r="AK966" s="129"/>
      <c r="AM966" s="114"/>
      <c r="AN966" s="114"/>
      <c r="AQ966" s="746">
        <f t="shared" si="341"/>
        <v>46264</v>
      </c>
      <c r="AR966" s="387">
        <f t="shared" si="336"/>
        <v>46234</v>
      </c>
      <c r="AS966" s="387"/>
      <c r="AT966" s="387"/>
      <c r="AW966" s="387"/>
      <c r="AX966" s="129"/>
      <c r="AY966" s="114"/>
      <c r="AZ966" s="127"/>
      <c r="BA966" s="127"/>
      <c r="BB966" s="127"/>
      <c r="BC966" s="127"/>
      <c r="BI966" s="75"/>
      <c r="BJ966" s="91"/>
      <c r="BL966" s="76" t="str">
        <f t="shared" si="328"/>
        <v>TJTW-144</v>
      </c>
      <c r="BM966" s="76" t="str">
        <f t="shared" si="342"/>
        <v>SKARDA</v>
      </c>
      <c r="BO966" s="76" t="str">
        <f t="shared" si="330"/>
        <v>0.15*868*872.4 Scroll Sheets DR9 1,0/1,0 Stone, BA</v>
      </c>
      <c r="BP966" s="129">
        <f t="shared" si="331"/>
        <v>135</v>
      </c>
      <c r="BQ966" s="387">
        <f t="shared" si="332"/>
        <v>46254</v>
      </c>
    </row>
    <row r="967" s="79" customFormat="1" customHeight="1" spans="1:69 16378:16379">
      <c r="A967" s="79" t="s">
        <v>744</v>
      </c>
      <c r="C967" s="463" t="s">
        <v>1187</v>
      </c>
      <c r="D967" s="79" t="s">
        <v>1188</v>
      </c>
      <c r="F967" s="192"/>
      <c r="G967" s="486"/>
      <c r="H967" s="79" t="s">
        <v>93</v>
      </c>
      <c r="I967" s="194"/>
      <c r="J967" s="226">
        <f>SUM(J958:J966)</f>
        <v>459</v>
      </c>
      <c r="K967" s="194"/>
      <c r="L967" s="226">
        <f>SUM(L958:L966)</f>
        <v>2807190</v>
      </c>
      <c r="R967" s="79" t="s">
        <v>1140</v>
      </c>
      <c r="S967" s="463"/>
      <c r="T967" s="463"/>
      <c r="U967" s="193"/>
      <c r="X967" s="192"/>
      <c r="Y967" s="226">
        <f>SUM(Y958:Y966)</f>
        <v>468.159</v>
      </c>
      <c r="Z967" s="192"/>
      <c r="AA967" s="226">
        <f>SUM(AA958:AA966)</f>
        <v>2705076.36</v>
      </c>
      <c r="AB967" s="226">
        <f>SUM(AB958:AB966)</f>
        <v>265113</v>
      </c>
      <c r="AC967" s="226">
        <f>SUM(AC958:AC966)</f>
        <v>2439963.36</v>
      </c>
      <c r="AE967" s="192"/>
      <c r="AF967" s="192">
        <v>360243.23</v>
      </c>
      <c r="AI967" s="463"/>
      <c r="AJ967" s="463"/>
      <c r="AK967" s="463"/>
      <c r="AL967" s="463"/>
      <c r="AO967" s="463"/>
      <c r="AP967" s="194"/>
      <c r="AQ967" s="192"/>
      <c r="AR967" s="150"/>
      <c r="AS967" s="150"/>
      <c r="AT967" s="150"/>
      <c r="AU967" s="150"/>
      <c r="BA967" s="151"/>
      <c r="XEX967" s="76"/>
      <c r="XEY967" s="76"/>
    </row>
    <row r="968" s="76" customFormat="1" customHeight="1" spans="1:69 16378:16379">
      <c r="A968" s="76" t="s">
        <v>975</v>
      </c>
      <c r="B968" s="76" t="s">
        <v>440</v>
      </c>
      <c r="C968" s="387"/>
      <c r="D968" s="76" t="s">
        <v>1193</v>
      </c>
      <c r="E968" s="76" t="s">
        <v>1120</v>
      </c>
      <c r="G968" s="479"/>
      <c r="H968" s="76" t="s">
        <v>93</v>
      </c>
      <c r="J968" s="264">
        <v>696000</v>
      </c>
      <c r="K968" s="373">
        <v>0.224</v>
      </c>
      <c r="L968" s="129">
        <f t="shared" ref="L968:L972" si="343">J968*K968</f>
        <v>155904</v>
      </c>
      <c r="M968" s="129"/>
      <c r="N968" s="76">
        <v>297697.62</v>
      </c>
      <c r="P968" s="91"/>
      <c r="Q968" s="91"/>
      <c r="R968" s="76" t="s">
        <v>88</v>
      </c>
      <c r="S968" s="113" t="s">
        <v>1194</v>
      </c>
      <c r="T968" s="387">
        <v>46213</v>
      </c>
      <c r="U968" s="387">
        <f>T968+15</f>
        <v>46228</v>
      </c>
      <c r="V968" s="387">
        <v>46228</v>
      </c>
      <c r="W968" s="76">
        <f>V968-U968</f>
        <v>0</v>
      </c>
      <c r="X968" s="133"/>
      <c r="Y968" s="76">
        <v>696000</v>
      </c>
      <c r="Z968" s="140">
        <v>0.245</v>
      </c>
      <c r="AA968" s="114">
        <f t="shared" ref="AA968:AA972" si="344">Y968*Z968</f>
        <v>170520</v>
      </c>
      <c r="AB968" s="114"/>
      <c r="AC968" s="114"/>
      <c r="AD968" s="140"/>
      <c r="AE968" s="114"/>
      <c r="AF968" s="114"/>
      <c r="AG968" s="114"/>
      <c r="AH968" s="114"/>
      <c r="AM968" s="114"/>
      <c r="AN968" s="76">
        <v>297697.62</v>
      </c>
      <c r="AQ968" s="387"/>
      <c r="AR968" s="387">
        <f>V968-30</f>
        <v>46198</v>
      </c>
      <c r="AS968" s="387"/>
      <c r="AT968" s="387"/>
      <c r="AW968" s="387"/>
      <c r="AX968" s="129"/>
      <c r="AY968" s="114"/>
      <c r="AZ968" s="127"/>
      <c r="BA968" s="127"/>
      <c r="BB968" s="127"/>
      <c r="BC968" s="127"/>
      <c r="BI968" s="75"/>
      <c r="BJ968" s="91"/>
    </row>
    <row r="969" s="76" customFormat="1" customHeight="1" spans="1:69 16378:16379">
      <c r="A969" s="76" t="s">
        <v>975</v>
      </c>
      <c r="B969" s="76" t="s">
        <v>440</v>
      </c>
      <c r="C969" s="387"/>
      <c r="D969" s="76" t="s">
        <v>1193</v>
      </c>
      <c r="E969" s="76" t="s">
        <v>1122</v>
      </c>
      <c r="G969" s="479"/>
      <c r="H969" s="76" t="s">
        <v>93</v>
      </c>
      <c r="J969" s="264">
        <v>601920</v>
      </c>
      <c r="K969" s="373">
        <v>0.1695</v>
      </c>
      <c r="L969" s="129">
        <f t="shared" si="343"/>
        <v>102025.44</v>
      </c>
      <c r="M969" s="129"/>
      <c r="N969" s="76">
        <v>141643.26</v>
      </c>
      <c r="P969" s="91"/>
      <c r="Q969" s="91"/>
      <c r="R969" s="76" t="s">
        <v>88</v>
      </c>
      <c r="S969" s="113" t="s">
        <v>1194</v>
      </c>
      <c r="T969" s="387">
        <v>46213</v>
      </c>
      <c r="U969" s="387">
        <f>T969+15</f>
        <v>46228</v>
      </c>
      <c r="V969" s="387">
        <v>46228</v>
      </c>
      <c r="W969" s="76">
        <f t="shared" ref="W969:W975" si="345">V969-U969</f>
        <v>0</v>
      </c>
      <c r="X969" s="133"/>
      <c r="Y969" s="76">
        <v>601920</v>
      </c>
      <c r="Z969" s="140">
        <v>0.185</v>
      </c>
      <c r="AA969" s="114">
        <f t="shared" si="344"/>
        <v>111355.2</v>
      </c>
      <c r="AB969" s="114"/>
      <c r="AC969" s="114"/>
      <c r="AD969" s="140"/>
      <c r="AE969" s="114"/>
      <c r="AF969" s="114"/>
      <c r="AG969" s="114"/>
      <c r="AH969" s="114"/>
      <c r="AM969" s="114"/>
      <c r="AN969" s="76">
        <v>141643.26</v>
      </c>
      <c r="AQ969" s="387"/>
      <c r="AR969" s="387">
        <f t="shared" ref="AR969:AR974" si="346">V969-30</f>
        <v>46198</v>
      </c>
      <c r="AS969" s="387"/>
      <c r="AT969" s="387"/>
      <c r="AW969" s="387"/>
      <c r="AX969" s="129"/>
      <c r="AY969" s="114"/>
      <c r="AZ969" s="127"/>
      <c r="BA969" s="127"/>
      <c r="BB969" s="127"/>
      <c r="BC969" s="127"/>
      <c r="BI969" s="75"/>
      <c r="BJ969" s="91"/>
    </row>
    <row r="970" s="76" customFormat="1" customHeight="1" spans="1:69 16378:16379">
      <c r="A970" s="76" t="s">
        <v>975</v>
      </c>
      <c r="B970" s="76" t="s">
        <v>440</v>
      </c>
      <c r="C970" s="387"/>
      <c r="D970" s="76" t="s">
        <v>1193</v>
      </c>
      <c r="E970" s="76" t="s">
        <v>1169</v>
      </c>
      <c r="G970" s="479"/>
      <c r="H970" s="76" t="s">
        <v>93</v>
      </c>
      <c r="J970" s="264">
        <v>1584000</v>
      </c>
      <c r="K970" s="373">
        <v>0.1162</v>
      </c>
      <c r="L970" s="114">
        <f t="shared" si="343"/>
        <v>184060.8</v>
      </c>
      <c r="M970" s="129"/>
      <c r="N970" s="253"/>
      <c r="P970" s="91"/>
      <c r="Q970" s="91"/>
      <c r="R970" s="76" t="s">
        <v>88</v>
      </c>
      <c r="S970" s="76" t="s">
        <v>1194</v>
      </c>
      <c r="T970" s="387">
        <v>46213</v>
      </c>
      <c r="U970" s="387">
        <f>T970+15</f>
        <v>46228</v>
      </c>
      <c r="V970" s="387">
        <v>46237</v>
      </c>
      <c r="W970" s="76">
        <f t="shared" si="345"/>
        <v>9</v>
      </c>
      <c r="X970" s="133"/>
      <c r="Y970" s="76">
        <v>1584000</v>
      </c>
      <c r="Z970" s="140">
        <v>0.125</v>
      </c>
      <c r="AA970" s="114">
        <f t="shared" ref="AA970:AA975" si="347">Y970*Z970</f>
        <v>198000</v>
      </c>
      <c r="AB970" s="114"/>
      <c r="AC970" s="114"/>
      <c r="AD970" s="140"/>
      <c r="AE970" s="114"/>
      <c r="AF970" s="114"/>
      <c r="AG970" s="114"/>
      <c r="AH970" s="114"/>
      <c r="AM970" s="114"/>
      <c r="AN970" s="253"/>
      <c r="AQ970" s="746">
        <f t="shared" ref="AQ970:AQ974" si="348">V970</f>
        <v>46237</v>
      </c>
      <c r="AR970" s="387">
        <f t="shared" si="346"/>
        <v>46207</v>
      </c>
      <c r="AS970" s="387"/>
      <c r="AT970" s="387"/>
      <c r="AW970" s="387"/>
      <c r="AX970" s="129"/>
      <c r="AY970" s="114"/>
      <c r="AZ970" s="127"/>
      <c r="BA970" s="127"/>
      <c r="BB970" s="127"/>
      <c r="BC970" s="127"/>
      <c r="BI970" s="75"/>
      <c r="BJ970" s="91"/>
      <c r="BL970" s="76" t="str">
        <f t="shared" ref="BL970:BL974" si="349">D970</f>
        <v>TJTW-145</v>
      </c>
      <c r="BM970" s="76" t="str">
        <f t="shared" ref="BM970:BM974" si="350">A970</f>
        <v>TIN SERVIS</v>
      </c>
      <c r="BN970" s="76">
        <f>C970</f>
        <v>0</v>
      </c>
      <c r="BO970" s="76" t="str">
        <f>E970</f>
        <v>SE ETP diam.83.4mm 0.19 2.8/2.8 T5</v>
      </c>
      <c r="BP970" s="129">
        <f t="shared" ref="BP970:BP974" si="351">J970</f>
        <v>1584000</v>
      </c>
      <c r="BQ970" s="387">
        <f t="shared" ref="BQ970:BQ974" si="352">U970</f>
        <v>46228</v>
      </c>
    </row>
    <row r="971" s="79" customFormat="1" customHeight="1" spans="1:69 16378:16379">
      <c r="A971" s="79" t="s">
        <v>975</v>
      </c>
      <c r="B971" s="79" t="s">
        <v>440</v>
      </c>
      <c r="C971" s="463"/>
      <c r="D971" s="79" t="s">
        <v>1193</v>
      </c>
      <c r="E971" s="79" t="s">
        <v>1169</v>
      </c>
      <c r="G971" s="486"/>
      <c r="H971" s="79" t="s">
        <v>93</v>
      </c>
      <c r="J971" s="579">
        <f>SUM(J968:J970)</f>
        <v>2881920</v>
      </c>
      <c r="K971" s="194"/>
      <c r="L971" s="194">
        <f>SUM(L968:L970)</f>
        <v>441990.24</v>
      </c>
      <c r="M971" s="194"/>
      <c r="N971" s="79">
        <f>SUM(N970)</f>
        <v>0</v>
      </c>
      <c r="R971" s="79" t="s">
        <v>88</v>
      </c>
      <c r="T971" s="463"/>
      <c r="U971" s="463"/>
      <c r="V971" s="463"/>
      <c r="X971" s="193"/>
      <c r="Y971" s="579">
        <f>SUM(Y968:Y970)</f>
        <v>2881920</v>
      </c>
      <c r="Z971" s="192"/>
      <c r="AA971" s="194">
        <f>SUM(AA968:AA970)</f>
        <v>479875.2</v>
      </c>
      <c r="AB971" s="192"/>
      <c r="AC971" s="192"/>
      <c r="AD971" s="196"/>
      <c r="AE971" s="192"/>
      <c r="AF971" s="192"/>
      <c r="AG971" s="192"/>
      <c r="AH971" s="192"/>
      <c r="AM971" s="192"/>
      <c r="AN971" s="192"/>
      <c r="AQ971" s="463">
        <f t="shared" si="348"/>
        <v>0</v>
      </c>
      <c r="AR971" s="463"/>
      <c r="AS971" s="463"/>
      <c r="AT971" s="463"/>
      <c r="AW971" s="463"/>
      <c r="AX971" s="194"/>
      <c r="AY971" s="192"/>
      <c r="AZ971" s="150"/>
      <c r="BA971" s="150"/>
      <c r="BB971" s="150"/>
      <c r="BC971" s="150"/>
      <c r="BI971" s="151"/>
    </row>
    <row r="972" s="76" customFormat="1" ht="30.95" customHeight="1" spans="1:69 16378:16379">
      <c r="A972" s="76" t="s">
        <v>1123</v>
      </c>
      <c r="B972" s="76" t="s">
        <v>572</v>
      </c>
      <c r="C972" s="387"/>
      <c r="D972" s="76" t="s">
        <v>1195</v>
      </c>
      <c r="E972" s="113" t="s">
        <v>1196</v>
      </c>
      <c r="G972" s="479"/>
      <c r="H972" s="76" t="s">
        <v>93</v>
      </c>
      <c r="J972" s="264">
        <v>1160000</v>
      </c>
      <c r="K972" s="373">
        <v>0.2329</v>
      </c>
      <c r="L972" s="129">
        <f t="shared" ref="L972:L978" si="353">J972*K972</f>
        <v>270164</v>
      </c>
      <c r="M972" s="129"/>
      <c r="N972" s="114">
        <v>270164</v>
      </c>
      <c r="P972" s="91"/>
      <c r="Q972" s="91"/>
      <c r="R972" s="76" t="s">
        <v>88</v>
      </c>
      <c r="S972" s="76" t="s">
        <v>1197</v>
      </c>
      <c r="T972" s="387">
        <v>46226</v>
      </c>
      <c r="U972" s="387">
        <v>46249</v>
      </c>
      <c r="V972" s="387">
        <v>46249</v>
      </c>
      <c r="X972" s="133"/>
      <c r="Y972" s="76">
        <v>1160000</v>
      </c>
      <c r="Z972" s="140">
        <v>0.247</v>
      </c>
      <c r="AA972" s="114">
        <f t="shared" si="344"/>
        <v>286520</v>
      </c>
      <c r="AB972" s="114"/>
      <c r="AC972" s="114"/>
      <c r="AD972" s="140"/>
      <c r="AE972" s="114"/>
      <c r="AF972" s="114"/>
      <c r="AG972" s="114"/>
      <c r="AH972" s="114"/>
      <c r="AM972" s="114"/>
      <c r="AN972" s="114">
        <v>270164</v>
      </c>
      <c r="AQ972" s="387"/>
      <c r="AR972" s="387"/>
      <c r="AS972" s="387"/>
      <c r="AT972" s="387"/>
      <c r="AW972" s="387"/>
      <c r="AX972" s="129"/>
      <c r="AY972" s="114"/>
      <c r="AZ972" s="127"/>
      <c r="BA972" s="127"/>
      <c r="BB972" s="127"/>
      <c r="BC972" s="127"/>
      <c r="BI972" s="75"/>
      <c r="BJ972" s="91"/>
    </row>
    <row r="973" s="79" customFormat="1" customHeight="1" spans="1:69 16378:16379">
      <c r="A973" s="79" t="s">
        <v>1123</v>
      </c>
      <c r="C973" s="463"/>
      <c r="D973" s="79" t="s">
        <v>1195</v>
      </c>
      <c r="G973" s="486"/>
      <c r="H973" s="419" t="s">
        <v>93</v>
      </c>
      <c r="J973" s="579">
        <f t="shared" ref="J973:N973" si="354">SUM(J972)</f>
        <v>1160000</v>
      </c>
      <c r="K973" s="194"/>
      <c r="L973" s="748">
        <f t="shared" si="354"/>
        <v>270164</v>
      </c>
      <c r="M973" s="194"/>
      <c r="N973" s="79">
        <f t="shared" si="354"/>
        <v>270164</v>
      </c>
      <c r="R973" s="463"/>
      <c r="T973" s="463"/>
      <c r="U973" s="463"/>
      <c r="V973" s="463"/>
      <c r="X973" s="193"/>
      <c r="Y973" s="79">
        <f>SUM(Y972)</f>
        <v>1160000</v>
      </c>
      <c r="Z973" s="192"/>
      <c r="AA973" s="79">
        <f>SUM(AA972)</f>
        <v>286520</v>
      </c>
      <c r="AB973" s="192"/>
      <c r="AC973" s="192"/>
      <c r="AD973" s="196"/>
      <c r="AE973" s="192"/>
      <c r="AF973" s="192"/>
      <c r="AG973" s="192"/>
      <c r="AH973" s="192"/>
      <c r="AM973" s="192"/>
      <c r="AN973" s="192"/>
      <c r="AQ973" s="463"/>
      <c r="AR973" s="463"/>
      <c r="AS973" s="463"/>
      <c r="AT973" s="463"/>
      <c r="AW973" s="463"/>
      <c r="AX973" s="194"/>
      <c r="AY973" s="192"/>
      <c r="AZ973" s="150"/>
      <c r="BA973" s="150"/>
      <c r="BB973" s="150"/>
      <c r="BC973" s="150"/>
      <c r="BI973" s="151"/>
      <c r="BL973" s="79" t="str">
        <f t="shared" si="349"/>
        <v>TJTW-146</v>
      </c>
      <c r="BM973" s="79" t="str">
        <f t="shared" si="350"/>
        <v>MB</v>
      </c>
      <c r="BP973" s="79">
        <f t="shared" si="351"/>
        <v>1160000</v>
      </c>
      <c r="BQ973" s="79">
        <f t="shared" si="352"/>
        <v>0</v>
      </c>
    </row>
    <row r="974" s="76" customFormat="1" ht="14.4" spans="1:69 16378:16379">
      <c r="A974" s="76" t="s">
        <v>797</v>
      </c>
      <c r="B974" s="76" t="s">
        <v>578</v>
      </c>
      <c r="C974" s="387"/>
      <c r="D974" s="76" t="s">
        <v>1198</v>
      </c>
      <c r="E974" s="76" t="s">
        <v>703</v>
      </c>
      <c r="G974" s="479"/>
      <c r="H974" s="76" t="s">
        <v>93</v>
      </c>
      <c r="J974" s="129">
        <v>15</v>
      </c>
      <c r="K974" s="129">
        <f>Z974+340</f>
        <v>5520</v>
      </c>
      <c r="L974" s="129">
        <f t="shared" si="353"/>
        <v>82800</v>
      </c>
      <c r="M974" s="129"/>
      <c r="O974" s="199">
        <f>L974-N974</f>
        <v>82800</v>
      </c>
      <c r="P974" s="91"/>
      <c r="Q974" s="91"/>
      <c r="R974" s="76" t="s">
        <v>1140</v>
      </c>
      <c r="S974" s="76" t="s">
        <v>1199</v>
      </c>
      <c r="T974" s="387">
        <v>46223</v>
      </c>
      <c r="U974" s="387">
        <f>T974+45</f>
        <v>46268</v>
      </c>
      <c r="V974" s="387">
        <v>46268</v>
      </c>
      <c r="W974" s="76">
        <f t="shared" si="345"/>
        <v>0</v>
      </c>
      <c r="X974" s="133"/>
      <c r="Y974" s="750">
        <v>12</v>
      </c>
      <c r="Z974" s="114">
        <v>5180</v>
      </c>
      <c r="AA974" s="114">
        <f t="shared" si="347"/>
        <v>62160</v>
      </c>
      <c r="AB974" s="114">
        <f>AA974*0.1</f>
        <v>6216</v>
      </c>
      <c r="AC974" s="114">
        <f t="shared" ref="AC974:AC982" si="355">AA974-AB974</f>
        <v>55944</v>
      </c>
      <c r="AD974" s="140"/>
      <c r="AE974" s="114"/>
      <c r="AF974" s="114"/>
      <c r="AG974" s="114"/>
      <c r="AH974" s="114"/>
      <c r="AI974" s="91"/>
      <c r="AM974" s="114"/>
      <c r="AN974" s="114"/>
      <c r="AP974" s="91"/>
      <c r="AQ974" s="746">
        <f t="shared" si="348"/>
        <v>46268</v>
      </c>
      <c r="AR974" s="387">
        <f t="shared" si="346"/>
        <v>46238</v>
      </c>
      <c r="AS974" s="387"/>
      <c r="AT974" s="387"/>
      <c r="AW974" s="387"/>
      <c r="AX974" s="129"/>
      <c r="AY974" s="114"/>
      <c r="AZ974" s="127"/>
      <c r="BA974" s="127"/>
      <c r="BB974" s="127"/>
      <c r="BC974" s="127"/>
      <c r="BI974" s="75"/>
      <c r="BJ974" s="91"/>
      <c r="BL974" s="76" t="str">
        <f t="shared" si="349"/>
        <v>TJTW-147</v>
      </c>
      <c r="BM974" s="76" t="str">
        <f t="shared" si="350"/>
        <v>INTEX</v>
      </c>
      <c r="BO974" s="76" t="str">
        <f>E974</f>
        <v>0.30*770*850 2.0/2.0 T3 BA</v>
      </c>
      <c r="BP974" s="129">
        <f t="shared" si="351"/>
        <v>15</v>
      </c>
      <c r="BQ974" s="387">
        <f t="shared" si="352"/>
        <v>46268</v>
      </c>
    </row>
    <row r="975" s="76" customFormat="1" ht="14.4" spans="1:69 16378:16379">
      <c r="A975" s="76" t="s">
        <v>797</v>
      </c>
      <c r="B975" s="76" t="s">
        <v>578</v>
      </c>
      <c r="C975" s="387"/>
      <c r="D975" s="76" t="s">
        <v>1198</v>
      </c>
      <c r="E975" s="76" t="s">
        <v>705</v>
      </c>
      <c r="G975" s="479"/>
      <c r="H975" s="76" t="s">
        <v>93</v>
      </c>
      <c r="J975" s="129">
        <v>10</v>
      </c>
      <c r="K975" s="129">
        <f>Z975+340</f>
        <v>5520</v>
      </c>
      <c r="L975" s="129">
        <f t="shared" si="353"/>
        <v>55200</v>
      </c>
      <c r="M975" s="129"/>
      <c r="O975" s="199">
        <f>L975-N975</f>
        <v>55200</v>
      </c>
      <c r="P975" s="91"/>
      <c r="Q975" s="91"/>
      <c r="R975" s="76" t="s">
        <v>1140</v>
      </c>
      <c r="S975" s="76" t="s">
        <v>1199</v>
      </c>
      <c r="T975" s="387">
        <v>46223</v>
      </c>
      <c r="U975" s="387">
        <f>T975+45</f>
        <v>46268</v>
      </c>
      <c r="V975" s="387">
        <v>46268</v>
      </c>
      <c r="W975" s="76">
        <f t="shared" si="345"/>
        <v>0</v>
      </c>
      <c r="X975" s="133"/>
      <c r="Y975" s="750">
        <v>15</v>
      </c>
      <c r="Z975" s="114">
        <v>5180</v>
      </c>
      <c r="AA975" s="114">
        <f t="shared" si="347"/>
        <v>77700</v>
      </c>
      <c r="AB975" s="114">
        <f>AA975*0.1</f>
        <v>7770</v>
      </c>
      <c r="AC975" s="114">
        <f t="shared" si="355"/>
        <v>69930</v>
      </c>
      <c r="AD975" s="140"/>
      <c r="AE975" s="114"/>
      <c r="AF975" s="114"/>
      <c r="AG975" s="114"/>
      <c r="AH975" s="114"/>
      <c r="AI975" s="91"/>
      <c r="AM975" s="114"/>
      <c r="AN975" s="114"/>
      <c r="AP975" s="91"/>
      <c r="AQ975" s="746"/>
      <c r="AR975" s="387"/>
      <c r="AS975" s="387"/>
      <c r="AT975" s="387"/>
      <c r="AW975" s="387"/>
      <c r="AX975" s="129"/>
      <c r="AY975" s="114"/>
      <c r="AZ975" s="127"/>
      <c r="BA975" s="127"/>
      <c r="BB975" s="127"/>
      <c r="BC975" s="127"/>
      <c r="BI975" s="75"/>
      <c r="BJ975" s="91"/>
      <c r="BP975" s="129"/>
      <c r="BQ975" s="387"/>
    </row>
    <row r="976" s="79" customFormat="1" ht="14.4" spans="1:69 16378:16379">
      <c r="A976" s="79" t="s">
        <v>797</v>
      </c>
      <c r="B976" s="79" t="s">
        <v>578</v>
      </c>
      <c r="C976" s="517"/>
      <c r="D976" s="79" t="s">
        <v>1198</v>
      </c>
      <c r="G976" s="486"/>
      <c r="H976" s="79" t="s">
        <v>93</v>
      </c>
      <c r="J976" s="194">
        <f t="shared" ref="J976:O976" si="356">SUM(J974:J975)</f>
        <v>25</v>
      </c>
      <c r="K976" s="194"/>
      <c r="L976" s="194">
        <f t="shared" si="356"/>
        <v>138000</v>
      </c>
      <c r="M976" s="194">
        <f>SUM(M974:M974)</f>
        <v>0</v>
      </c>
      <c r="N976" s="194">
        <f t="shared" si="356"/>
        <v>0</v>
      </c>
      <c r="O976" s="194">
        <f t="shared" si="356"/>
        <v>138000</v>
      </c>
      <c r="R976" s="79" t="s">
        <v>1140</v>
      </c>
      <c r="T976" s="463"/>
      <c r="U976" s="463"/>
      <c r="V976" s="463"/>
      <c r="X976" s="193"/>
      <c r="Y976" s="194">
        <f>SUM(Y974:Y975)</f>
        <v>27</v>
      </c>
      <c r="Z976" s="194"/>
      <c r="AA976" s="194">
        <f t="shared" ref="Y976:AC976" si="357">SUM(AA974:AA975)</f>
        <v>139860</v>
      </c>
      <c r="AB976" s="194">
        <f t="shared" si="357"/>
        <v>13986</v>
      </c>
      <c r="AC976" s="194">
        <f t="shared" si="357"/>
        <v>125874</v>
      </c>
      <c r="AD976" s="196"/>
      <c r="AE976" s="192"/>
      <c r="AF976" s="192"/>
      <c r="AG976" s="192"/>
      <c r="AH976" s="192"/>
      <c r="AK976" s="194">
        <f>SUM(AK974:AK974)</f>
        <v>0</v>
      </c>
      <c r="AM976" s="192"/>
      <c r="AN976" s="192"/>
      <c r="AQ976" s="463"/>
      <c r="AR976" s="463"/>
      <c r="AS976" s="463"/>
      <c r="AT976" s="463"/>
      <c r="AW976" s="463"/>
      <c r="AX976" s="194"/>
      <c r="AY976" s="192"/>
      <c r="AZ976" s="150"/>
      <c r="BA976" s="150"/>
      <c r="BB976" s="150"/>
      <c r="BC976" s="150"/>
      <c r="BI976" s="151"/>
    </row>
    <row r="977" s="76" customFormat="1" customHeight="1" spans="1:69">
      <c r="A977" s="76" t="s">
        <v>571</v>
      </c>
      <c r="C977" s="387"/>
      <c r="D977" s="76" t="s">
        <v>1200</v>
      </c>
      <c r="E977" s="76" t="s">
        <v>1084</v>
      </c>
      <c r="G977" s="479"/>
      <c r="H977" s="76" t="s">
        <v>93</v>
      </c>
      <c r="J977" s="190">
        <v>5220000</v>
      </c>
      <c r="K977" s="259">
        <v>0.2803</v>
      </c>
      <c r="L977" s="129">
        <f t="shared" si="353"/>
        <v>1463166</v>
      </c>
      <c r="M977" s="129"/>
      <c r="N977" s="76">
        <v>217665.9</v>
      </c>
      <c r="P977" s="91"/>
      <c r="Q977" s="91"/>
      <c r="R977" s="76" t="s">
        <v>1085</v>
      </c>
      <c r="S977" s="76" t="s">
        <v>1201</v>
      </c>
      <c r="T977" s="387">
        <v>46202</v>
      </c>
      <c r="U977" s="387">
        <f t="shared" ref="U977:U982" si="358">T977+25</f>
        <v>46227</v>
      </c>
      <c r="V977" s="387">
        <v>46241</v>
      </c>
      <c r="W977" s="76">
        <f t="shared" ref="W977:W982" si="359">V977-U977</f>
        <v>14</v>
      </c>
      <c r="X977" s="133"/>
      <c r="Y977" s="76">
        <v>1740000</v>
      </c>
      <c r="Z977" s="140">
        <v>0.307</v>
      </c>
      <c r="AA977" s="114">
        <f t="shared" ref="AA977:AA982" si="360">Y977*Z977</f>
        <v>534180</v>
      </c>
      <c r="AB977" s="114">
        <f t="shared" ref="AB977:AB982" si="361">AA977*0.15</f>
        <v>80127</v>
      </c>
      <c r="AC977" s="114">
        <f t="shared" si="355"/>
        <v>454053</v>
      </c>
      <c r="AD977" s="140"/>
      <c r="AE977" s="114"/>
      <c r="AF977" s="114"/>
      <c r="AG977" s="114"/>
      <c r="AH977" s="114"/>
      <c r="AM977" s="114"/>
      <c r="AN977" s="76">
        <v>217665.9</v>
      </c>
      <c r="AQ977" s="387"/>
      <c r="AR977" s="387"/>
      <c r="AS977" s="387"/>
      <c r="AT977" s="387"/>
      <c r="AW977" s="387"/>
      <c r="AX977" s="129"/>
      <c r="AY977" s="114"/>
      <c r="AZ977" s="127"/>
      <c r="BA977" s="127"/>
      <c r="BB977" s="127"/>
      <c r="BC977" s="127"/>
      <c r="BI977" s="75"/>
      <c r="BJ977" s="91"/>
    </row>
    <row r="978" s="76" customFormat="1" customHeight="1" spans="1:69">
      <c r="A978" s="76" t="s">
        <v>571</v>
      </c>
      <c r="C978" s="387"/>
      <c r="D978" s="76" t="s">
        <v>1200</v>
      </c>
      <c r="E978" s="76" t="s">
        <v>1087</v>
      </c>
      <c r="G978" s="479"/>
      <c r="H978" s="76" t="s">
        <v>93</v>
      </c>
      <c r="J978" s="190">
        <v>4640000</v>
      </c>
      <c r="K978" s="259">
        <v>0.144</v>
      </c>
      <c r="L978" s="129">
        <f t="shared" si="353"/>
        <v>668160</v>
      </c>
      <c r="M978" s="129"/>
      <c r="P978" s="91"/>
      <c r="Q978" s="91"/>
      <c r="R978" s="76" t="s">
        <v>1085</v>
      </c>
      <c r="S978" s="76" t="s">
        <v>1201</v>
      </c>
      <c r="T978" s="387">
        <v>46202</v>
      </c>
      <c r="U978" s="387">
        <f t="shared" si="358"/>
        <v>46227</v>
      </c>
      <c r="V978" s="387">
        <v>46241</v>
      </c>
      <c r="W978" s="76">
        <f t="shared" si="359"/>
        <v>14</v>
      </c>
      <c r="X978" s="133"/>
      <c r="Y978" s="76">
        <v>1160000</v>
      </c>
      <c r="Z978" s="140">
        <v>0.153</v>
      </c>
      <c r="AA978" s="114">
        <f t="shared" si="360"/>
        <v>177480</v>
      </c>
      <c r="AB978" s="114">
        <f t="shared" si="361"/>
        <v>26622</v>
      </c>
      <c r="AC978" s="114">
        <f t="shared" si="355"/>
        <v>150858</v>
      </c>
      <c r="AD978" s="140"/>
      <c r="AE978" s="114"/>
      <c r="AF978" s="114"/>
      <c r="AG978" s="114"/>
      <c r="AH978" s="114"/>
      <c r="AI978" s="91"/>
      <c r="AM978" s="114"/>
      <c r="AN978" s="114"/>
      <c r="AP978" s="91"/>
      <c r="AQ978" s="387"/>
      <c r="AR978" s="387"/>
      <c r="AS978" s="387"/>
      <c r="AT978" s="387"/>
      <c r="AW978" s="387"/>
      <c r="AX978" s="129"/>
      <c r="AY978" s="114"/>
      <c r="AZ978" s="127"/>
      <c r="BA978" s="127"/>
      <c r="BB978" s="127"/>
      <c r="BC978" s="127"/>
      <c r="BI978" s="75"/>
      <c r="BJ978" s="91"/>
    </row>
    <row r="979" s="76" customFormat="1" customHeight="1" spans="1:69">
      <c r="A979" s="76" t="s">
        <v>571</v>
      </c>
      <c r="C979" s="387"/>
      <c r="G979" s="479"/>
      <c r="H979" s="76" t="s">
        <v>93</v>
      </c>
      <c r="J979" s="129"/>
      <c r="K979" s="129"/>
      <c r="L979" s="129"/>
      <c r="M979" s="129"/>
      <c r="P979" s="91"/>
      <c r="Q979" s="91"/>
      <c r="R979" s="76" t="s">
        <v>1085</v>
      </c>
      <c r="S979" s="76" t="s">
        <v>1202</v>
      </c>
      <c r="T979" s="387">
        <v>46204</v>
      </c>
      <c r="U979" s="387">
        <f t="shared" si="358"/>
        <v>46229</v>
      </c>
      <c r="V979" s="387">
        <v>46249</v>
      </c>
      <c r="W979" s="76">
        <f t="shared" si="359"/>
        <v>20</v>
      </c>
      <c r="X979" s="133"/>
      <c r="Y979" s="76">
        <v>1160000</v>
      </c>
      <c r="Z979" s="140">
        <v>0.307</v>
      </c>
      <c r="AA979" s="114">
        <f t="shared" si="360"/>
        <v>356120</v>
      </c>
      <c r="AB979" s="114">
        <f t="shared" si="361"/>
        <v>53418</v>
      </c>
      <c r="AC979" s="114">
        <f t="shared" si="355"/>
        <v>302702</v>
      </c>
      <c r="AD979" s="140"/>
      <c r="AE979" s="114"/>
      <c r="AF979" s="114"/>
      <c r="AG979" s="114"/>
      <c r="AH979" s="114"/>
      <c r="AM979" s="114"/>
      <c r="AN979" s="114"/>
      <c r="AQ979" s="387"/>
      <c r="AR979" s="387"/>
      <c r="AS979" s="387"/>
      <c r="AT979" s="387"/>
      <c r="AW979" s="387"/>
      <c r="AX979" s="129"/>
      <c r="AY979" s="114"/>
      <c r="AZ979" s="127"/>
      <c r="BA979" s="127"/>
      <c r="BB979" s="127"/>
      <c r="BC979" s="127"/>
      <c r="BI979" s="75"/>
      <c r="BJ979" s="91"/>
    </row>
    <row r="980" s="76" customFormat="1" customHeight="1" spans="1:69">
      <c r="A980" s="76" t="s">
        <v>571</v>
      </c>
      <c r="C980" s="387"/>
      <c r="G980" s="479"/>
      <c r="H980" s="76" t="s">
        <v>93</v>
      </c>
      <c r="J980" s="129"/>
      <c r="K980" s="129"/>
      <c r="L980" s="129"/>
      <c r="M980" s="129"/>
      <c r="P980" s="91"/>
      <c r="Q980" s="91"/>
      <c r="R980" s="76" t="s">
        <v>1085</v>
      </c>
      <c r="S980" s="76" t="s">
        <v>1202</v>
      </c>
      <c r="T980" s="387">
        <v>46204</v>
      </c>
      <c r="U980" s="387">
        <f t="shared" si="358"/>
        <v>46229</v>
      </c>
      <c r="V980" s="387">
        <v>46249</v>
      </c>
      <c r="W980" s="76">
        <f t="shared" si="359"/>
        <v>20</v>
      </c>
      <c r="X980" s="133"/>
      <c r="Y980" s="76">
        <v>1160000</v>
      </c>
      <c r="Z980" s="140">
        <v>0.153</v>
      </c>
      <c r="AA980" s="114">
        <f t="shared" si="360"/>
        <v>177480</v>
      </c>
      <c r="AB980" s="114">
        <f t="shared" si="361"/>
        <v>26622</v>
      </c>
      <c r="AC980" s="114">
        <f t="shared" si="355"/>
        <v>150858</v>
      </c>
      <c r="AD980" s="140"/>
      <c r="AE980" s="114"/>
      <c r="AF980" s="114"/>
      <c r="AG980" s="114"/>
      <c r="AH980" s="114"/>
      <c r="AM980" s="114"/>
      <c r="AN980" s="114"/>
      <c r="AQ980" s="387"/>
      <c r="AR980" s="387"/>
      <c r="AS980" s="387"/>
      <c r="AT980" s="387"/>
      <c r="AW980" s="387"/>
      <c r="AX980" s="129"/>
      <c r="AY980" s="114"/>
      <c r="AZ980" s="127"/>
      <c r="BA980" s="127"/>
      <c r="BB980" s="127"/>
      <c r="BC980" s="127"/>
      <c r="BI980" s="75"/>
      <c r="BJ980" s="91"/>
    </row>
    <row r="981" s="76" customFormat="1" customHeight="1" spans="1:69">
      <c r="A981" s="76" t="s">
        <v>571</v>
      </c>
      <c r="C981" s="387"/>
      <c r="G981" s="479"/>
      <c r="H981" s="76" t="s">
        <v>93</v>
      </c>
      <c r="J981" s="129"/>
      <c r="K981" s="129"/>
      <c r="L981" s="129"/>
      <c r="M981" s="129"/>
      <c r="P981" s="91"/>
      <c r="Q981" s="91"/>
      <c r="R981" s="76" t="s">
        <v>1085</v>
      </c>
      <c r="S981" s="76" t="s">
        <v>1203</v>
      </c>
      <c r="T981" s="387">
        <v>46205</v>
      </c>
      <c r="U981" s="387">
        <f t="shared" si="358"/>
        <v>46230</v>
      </c>
      <c r="V981" s="387">
        <v>46249</v>
      </c>
      <c r="W981" s="76">
        <f t="shared" si="359"/>
        <v>19</v>
      </c>
      <c r="X981" s="133"/>
      <c r="Y981" s="76">
        <v>2320000</v>
      </c>
      <c r="Z981" s="140">
        <v>0.307</v>
      </c>
      <c r="AA981" s="114">
        <f t="shared" si="360"/>
        <v>712240</v>
      </c>
      <c r="AB981" s="114">
        <f t="shared" si="361"/>
        <v>106836</v>
      </c>
      <c r="AC981" s="114">
        <f t="shared" si="355"/>
        <v>605404</v>
      </c>
      <c r="AD981" s="140"/>
      <c r="AE981" s="114"/>
      <c r="AF981" s="114"/>
      <c r="AG981" s="114"/>
      <c r="AH981" s="114"/>
      <c r="AM981" s="114"/>
      <c r="AN981" s="114"/>
      <c r="AQ981" s="387"/>
      <c r="AR981" s="387"/>
      <c r="AS981" s="387"/>
      <c r="AT981" s="387"/>
      <c r="AW981" s="387"/>
      <c r="AX981" s="129"/>
      <c r="AY981" s="114"/>
      <c r="AZ981" s="127"/>
      <c r="BA981" s="127"/>
      <c r="BB981" s="127"/>
      <c r="BC981" s="127"/>
      <c r="BI981" s="75"/>
      <c r="BJ981" s="91"/>
    </row>
    <row r="982" s="76" customFormat="1" customHeight="1" spans="1:69">
      <c r="A982" s="76" t="s">
        <v>571</v>
      </c>
      <c r="C982" s="387"/>
      <c r="G982" s="479"/>
      <c r="H982" s="76" t="s">
        <v>93</v>
      </c>
      <c r="J982" s="129"/>
      <c r="K982" s="129"/>
      <c r="L982" s="129"/>
      <c r="M982" s="129"/>
      <c r="P982" s="91"/>
      <c r="Q982" s="91"/>
      <c r="R982" s="76" t="s">
        <v>1085</v>
      </c>
      <c r="S982" s="76" t="s">
        <v>1203</v>
      </c>
      <c r="T982" s="387">
        <v>46205</v>
      </c>
      <c r="U982" s="387">
        <f t="shared" si="358"/>
        <v>46230</v>
      </c>
      <c r="V982" s="387">
        <v>46249</v>
      </c>
      <c r="W982" s="76">
        <f t="shared" si="359"/>
        <v>19</v>
      </c>
      <c r="X982" s="133"/>
      <c r="Y982" s="76">
        <v>2320000</v>
      </c>
      <c r="Z982" s="140">
        <v>0.153</v>
      </c>
      <c r="AA982" s="114">
        <f t="shared" si="360"/>
        <v>354960</v>
      </c>
      <c r="AB982" s="114">
        <f t="shared" si="361"/>
        <v>53244</v>
      </c>
      <c r="AC982" s="114">
        <f t="shared" si="355"/>
        <v>301716</v>
      </c>
      <c r="AD982" s="140"/>
      <c r="AE982" s="114"/>
      <c r="AF982" s="114"/>
      <c r="AG982" s="114"/>
      <c r="AH982" s="114"/>
      <c r="AM982" s="114"/>
      <c r="AN982" s="114"/>
      <c r="AQ982" s="387"/>
      <c r="AR982" s="387"/>
      <c r="AS982" s="387"/>
      <c r="AT982" s="387"/>
      <c r="AW982" s="387"/>
      <c r="AX982" s="129"/>
      <c r="AY982" s="114"/>
      <c r="AZ982" s="127"/>
      <c r="BA982" s="127"/>
      <c r="BB982" s="127"/>
      <c r="BC982" s="127"/>
      <c r="BI982" s="75"/>
      <c r="BJ982" s="91"/>
    </row>
    <row r="983" s="79" customFormat="1" ht="14.4" spans="1:69">
      <c r="A983" s="79" t="s">
        <v>571</v>
      </c>
      <c r="C983" s="517"/>
      <c r="D983" s="79" t="s">
        <v>1200</v>
      </c>
      <c r="G983" s="486"/>
      <c r="H983" s="79" t="s">
        <v>93</v>
      </c>
      <c r="J983" s="194">
        <f t="shared" ref="J983:O983" si="362">SUM(J981:J982)</f>
        <v>0</v>
      </c>
      <c r="K983" s="194"/>
      <c r="L983" s="194">
        <f>SUM(L977:L982)</f>
        <v>2131326</v>
      </c>
      <c r="M983" s="194">
        <f>SUM(M981:M981)</f>
        <v>0</v>
      </c>
      <c r="N983" s="194">
        <f t="shared" si="362"/>
        <v>0</v>
      </c>
      <c r="O983" s="194">
        <f t="shared" si="362"/>
        <v>0</v>
      </c>
      <c r="R983" s="79" t="s">
        <v>1085</v>
      </c>
      <c r="T983" s="463"/>
      <c r="U983" s="463"/>
      <c r="V983" s="463"/>
      <c r="X983" s="193"/>
      <c r="Y983" s="579">
        <f t="shared" ref="Y983:AC983" si="363">SUM(Y977:Y982)</f>
        <v>9860000</v>
      </c>
      <c r="Z983" s="194"/>
      <c r="AA983" s="194">
        <f t="shared" si="363"/>
        <v>2312460</v>
      </c>
      <c r="AB983" s="194">
        <f t="shared" si="363"/>
        <v>346869</v>
      </c>
      <c r="AC983" s="194">
        <f t="shared" si="363"/>
        <v>1965591</v>
      </c>
      <c r="AD983" s="196"/>
      <c r="AE983" s="192"/>
      <c r="AF983" s="192"/>
      <c r="AG983" s="192"/>
      <c r="AH983" s="192"/>
      <c r="AK983" s="194">
        <f>SUM(AK981:AK981)</f>
        <v>0</v>
      </c>
      <c r="AM983" s="192"/>
      <c r="AN983" s="192"/>
      <c r="AQ983" s="463"/>
      <c r="AR983" s="463"/>
      <c r="AS983" s="463"/>
      <c r="AT983" s="463"/>
      <c r="AW983" s="463"/>
      <c r="AX983" s="194"/>
      <c r="AY983" s="192"/>
      <c r="AZ983" s="150"/>
      <c r="BA983" s="150"/>
      <c r="BB983" s="150"/>
      <c r="BC983" s="150"/>
      <c r="BI983" s="151"/>
    </row>
    <row r="984" s="76" customFormat="1" customHeight="1" spans="1:69">
      <c r="A984" s="76" t="s">
        <v>71</v>
      </c>
      <c r="C984" s="387"/>
      <c r="D984" s="76" t="s">
        <v>1204</v>
      </c>
      <c r="E984" s="76" t="s">
        <v>1205</v>
      </c>
      <c r="G984" s="479"/>
      <c r="H984" s="76" t="s">
        <v>71</v>
      </c>
      <c r="J984" s="76">
        <v>1160000</v>
      </c>
      <c r="K984" s="143">
        <v>0.25923</v>
      </c>
      <c r="L984" s="129">
        <f t="shared" ref="L984:L988" si="364">J984*K984</f>
        <v>300706.8</v>
      </c>
      <c r="M984" s="129"/>
      <c r="O984" s="76">
        <f>L984-N984</f>
        <v>300706.8</v>
      </c>
      <c r="P984" s="91"/>
      <c r="Q984" s="91"/>
      <c r="R984" s="76" t="s">
        <v>88</v>
      </c>
      <c r="S984" s="76" t="s">
        <v>1206</v>
      </c>
      <c r="T984" s="387">
        <v>46227</v>
      </c>
      <c r="U984" s="387">
        <f>T984+15</f>
        <v>46242</v>
      </c>
      <c r="V984" s="745">
        <v>46249</v>
      </c>
      <c r="W984" s="76">
        <f t="shared" ref="W984:W988" si="365">V984-U984</f>
        <v>7</v>
      </c>
      <c r="X984" s="133"/>
      <c r="Y984" s="76">
        <v>1160000</v>
      </c>
      <c r="Z984" s="114">
        <v>0.28</v>
      </c>
      <c r="AA984" s="114">
        <f t="shared" ref="AA984:AA988" si="366">Y984*Z984</f>
        <v>324800</v>
      </c>
      <c r="AB984" s="114"/>
      <c r="AC984" s="114"/>
      <c r="AD984" s="140"/>
      <c r="AE984" s="114"/>
      <c r="AF984" s="114"/>
      <c r="AG984" s="114"/>
      <c r="AH984" s="114"/>
      <c r="AM984" s="114"/>
      <c r="AN984" s="114"/>
      <c r="AQ984" s="746"/>
      <c r="AR984" s="387">
        <f t="shared" ref="AR984:AR988" si="367">V984-30</f>
        <v>46219</v>
      </c>
      <c r="AS984" s="387"/>
      <c r="AT984" s="387"/>
      <c r="AW984" s="387"/>
      <c r="AX984" s="129"/>
      <c r="AY984" s="114"/>
      <c r="AZ984" s="127"/>
      <c r="BA984" s="127"/>
      <c r="BB984" s="127"/>
      <c r="BC984" s="127"/>
      <c r="BI984" s="75"/>
      <c r="BJ984" s="91"/>
      <c r="BL984" s="76" t="str">
        <f t="shared" ref="BL984:BL988" si="368">D984</f>
        <v>INTW-26</v>
      </c>
      <c r="BM984" s="76" t="str">
        <f t="shared" ref="BM984:BM988" si="369">A984</f>
        <v>INDEX</v>
      </c>
      <c r="BN984" s="387">
        <f t="shared" ref="BN984:BN988" si="370">C984</f>
        <v>0</v>
      </c>
      <c r="BO984" s="76" t="str">
        <f>E984</f>
        <v>EOE 99mm ETP T5 GLitografy/Alum 0.21</v>
      </c>
      <c r="BP984" s="264">
        <f t="shared" ref="BP984:BP988" si="371">J984</f>
        <v>1160000</v>
      </c>
      <c r="BQ984" s="387">
        <f t="shared" ref="BQ984:BQ988" si="372">U984</f>
        <v>46242</v>
      </c>
    </row>
    <row r="985" s="79" customFormat="1" customHeight="1" spans="1:69">
      <c r="A985" s="79" t="s">
        <v>71</v>
      </c>
      <c r="C985" s="463"/>
      <c r="D985" s="79" t="s">
        <v>1204</v>
      </c>
      <c r="G985" s="486"/>
      <c r="H985" s="79" t="s">
        <v>71</v>
      </c>
      <c r="J985" s="579">
        <f t="shared" ref="J985:N985" si="373">SUM(J984)</f>
        <v>1160000</v>
      </c>
      <c r="K985" s="194"/>
      <c r="L985" s="748">
        <f t="shared" si="373"/>
        <v>300706.8</v>
      </c>
      <c r="M985" s="194"/>
      <c r="N985" s="79">
        <f t="shared" si="373"/>
        <v>0</v>
      </c>
      <c r="R985" s="463" t="s">
        <v>88</v>
      </c>
      <c r="T985" s="463"/>
      <c r="U985" s="463"/>
      <c r="V985" s="463"/>
      <c r="X985" s="193"/>
      <c r="Y985" s="79">
        <f>SUM(Y984)</f>
        <v>1160000</v>
      </c>
      <c r="Z985" s="192"/>
      <c r="AA985" s="79">
        <f>SUM(AA984)</f>
        <v>324800</v>
      </c>
      <c r="AB985" s="192"/>
      <c r="AC985" s="192"/>
      <c r="AD985" s="196"/>
      <c r="AE985" s="192"/>
      <c r="AF985" s="192"/>
      <c r="AG985" s="192"/>
      <c r="AH985" s="192"/>
      <c r="AM985" s="192"/>
      <c r="AN985" s="192"/>
      <c r="AQ985" s="463"/>
      <c r="AR985" s="463"/>
      <c r="AS985" s="463"/>
      <c r="AT985" s="463"/>
      <c r="AW985" s="463"/>
      <c r="AX985" s="194"/>
      <c r="AY985" s="192"/>
      <c r="AZ985" s="150"/>
      <c r="BA985" s="150"/>
      <c r="BB985" s="150"/>
      <c r="BC985" s="150"/>
      <c r="BI985" s="151"/>
      <c r="BL985" s="79" t="str">
        <f t="shared" si="368"/>
        <v>INTW-26</v>
      </c>
      <c r="BM985" s="79" t="str">
        <f t="shared" si="369"/>
        <v>INDEX</v>
      </c>
      <c r="BP985" s="79">
        <f t="shared" si="371"/>
        <v>1160000</v>
      </c>
      <c r="BQ985" s="79">
        <f t="shared" si="372"/>
        <v>0</v>
      </c>
    </row>
    <row r="986" s="76" customFormat="1" customHeight="1" spans="1:69">
      <c r="A986" s="76" t="s">
        <v>842</v>
      </c>
      <c r="B986" s="76" t="s">
        <v>456</v>
      </c>
      <c r="C986" s="387"/>
      <c r="D986" s="76" t="s">
        <v>1207</v>
      </c>
      <c r="E986" s="76" t="s">
        <v>652</v>
      </c>
      <c r="G986" s="479"/>
      <c r="H986" s="76" t="s">
        <v>93</v>
      </c>
      <c r="J986" s="129">
        <v>200</v>
      </c>
      <c r="K986" s="129">
        <f>Z986+340</f>
        <v>6150</v>
      </c>
      <c r="L986" s="129">
        <f>J986*K986</f>
        <v>1230000</v>
      </c>
      <c r="M986" s="129"/>
      <c r="N986" s="76">
        <v>1082334.1</v>
      </c>
      <c r="P986" s="91"/>
      <c r="Q986" s="91"/>
      <c r="R986" s="76" t="s">
        <v>1140</v>
      </c>
      <c r="S986" s="76" t="s">
        <v>1208</v>
      </c>
      <c r="T986" s="387">
        <v>46237</v>
      </c>
      <c r="U986" s="387">
        <f t="shared" ref="U986:U988" si="374">T986+43</f>
        <v>46280</v>
      </c>
      <c r="V986" s="387">
        <v>46280</v>
      </c>
      <c r="W986" s="76">
        <f>V986-U986</f>
        <v>0</v>
      </c>
      <c r="X986" s="133"/>
      <c r="Y986" s="76">
        <v>200</v>
      </c>
      <c r="Z986" s="114">
        <v>5810</v>
      </c>
      <c r="AA986" s="114">
        <f t="shared" ref="AA986:AA990" si="375">Y986*Z986</f>
        <v>1162000</v>
      </c>
      <c r="AB986" s="114">
        <f t="shared" ref="AB986:AB988" si="376">AA986*0.1</f>
        <v>116200</v>
      </c>
      <c r="AC986" s="114">
        <f>AA986-AB986</f>
        <v>1045800</v>
      </c>
      <c r="AD986" s="140"/>
      <c r="AE986" s="114"/>
      <c r="AF986" s="114"/>
      <c r="AG986" s="114"/>
      <c r="AH986" s="114"/>
      <c r="AM986" s="114"/>
      <c r="AN986" s="114">
        <v>1082334.1</v>
      </c>
      <c r="AQ986" s="387"/>
      <c r="AR986" s="387"/>
      <c r="AS986" s="387"/>
      <c r="AT986" s="387"/>
      <c r="AW986" s="387"/>
      <c r="AX986" s="129"/>
      <c r="AY986" s="114"/>
      <c r="AZ986" s="127"/>
      <c r="BA986" s="127"/>
      <c r="BB986" s="127"/>
      <c r="BC986" s="127"/>
      <c r="BI986" s="75"/>
      <c r="BJ986" s="91"/>
    </row>
    <row r="987" s="76" customFormat="1" customHeight="1" spans="1:69">
      <c r="A987" s="76" t="s">
        <v>842</v>
      </c>
      <c r="B987" s="76" t="s">
        <v>456</v>
      </c>
      <c r="C987" s="387"/>
      <c r="D987" s="76" t="s">
        <v>1207</v>
      </c>
      <c r="E987" s="76" t="s">
        <v>654</v>
      </c>
      <c r="G987" s="479"/>
      <c r="H987" s="76" t="s">
        <v>93</v>
      </c>
      <c r="J987" s="129">
        <v>50</v>
      </c>
      <c r="K987" s="129">
        <f>Z987+340</f>
        <v>6150</v>
      </c>
      <c r="L987" s="129">
        <f t="shared" si="364"/>
        <v>307500</v>
      </c>
      <c r="M987" s="129"/>
      <c r="N987" s="114"/>
      <c r="P987" s="91"/>
      <c r="Q987" s="91"/>
      <c r="R987" s="76" t="s">
        <v>1140</v>
      </c>
      <c r="S987" s="76" t="s">
        <v>1208</v>
      </c>
      <c r="T987" s="387">
        <v>46237</v>
      </c>
      <c r="U987" s="387">
        <f t="shared" si="374"/>
        <v>46280</v>
      </c>
      <c r="V987" s="387">
        <v>46280</v>
      </c>
      <c r="W987" s="76">
        <f t="shared" si="365"/>
        <v>0</v>
      </c>
      <c r="X987" s="133" t="s">
        <v>355</v>
      </c>
      <c r="Y987" s="76">
        <v>50</v>
      </c>
      <c r="Z987" s="114">
        <v>5810</v>
      </c>
      <c r="AA987" s="114">
        <f t="shared" si="375"/>
        <v>290500</v>
      </c>
      <c r="AB987" s="114">
        <f t="shared" si="376"/>
        <v>29050</v>
      </c>
      <c r="AC987" s="114">
        <f>AA987-AB987</f>
        <v>261450</v>
      </c>
      <c r="AD987" s="140"/>
      <c r="AE987" s="114"/>
      <c r="AF987" s="114"/>
      <c r="AG987" s="114"/>
      <c r="AH987" s="114"/>
      <c r="AM987" s="114"/>
      <c r="AN987" s="114"/>
      <c r="AQ987" s="746">
        <f t="shared" ref="AQ987:AQ990" si="377">V987</f>
        <v>46280</v>
      </c>
      <c r="AR987" s="387">
        <f t="shared" si="367"/>
        <v>46250</v>
      </c>
      <c r="AS987" s="387"/>
      <c r="AT987" s="387"/>
      <c r="AW987" s="387">
        <v>46117</v>
      </c>
      <c r="AX987" s="129"/>
      <c r="AY987" s="114"/>
      <c r="AZ987" s="127"/>
      <c r="BA987" s="127"/>
      <c r="BB987" s="127"/>
      <c r="BC987" s="127"/>
      <c r="BI987" s="75"/>
      <c r="BJ987" s="91"/>
      <c r="BL987" s="76" t="str">
        <f t="shared" si="368"/>
        <v>TJTW-149</v>
      </c>
      <c r="BM987" s="76" t="str">
        <f t="shared" si="369"/>
        <v>TCNCP</v>
      </c>
      <c r="BN987" s="76">
        <f t="shared" si="370"/>
        <v>0</v>
      </c>
      <c r="BO987" s="76" t="str">
        <f>E986</f>
        <v>0.17*784*1040 2.0/2.0 DR9</v>
      </c>
      <c r="BP987" s="129">
        <f t="shared" si="371"/>
        <v>50</v>
      </c>
      <c r="BQ987" s="387">
        <f t="shared" si="372"/>
        <v>46280</v>
      </c>
    </row>
    <row r="988" s="76" customFormat="1" customHeight="1" spans="1:69">
      <c r="A988" s="76" t="s">
        <v>842</v>
      </c>
      <c r="B988" s="76" t="s">
        <v>456</v>
      </c>
      <c r="C988" s="387"/>
      <c r="D988" s="76" t="s">
        <v>1207</v>
      </c>
      <c r="E988" s="76" t="s">
        <v>926</v>
      </c>
      <c r="G988" s="479"/>
      <c r="H988" s="76" t="s">
        <v>93</v>
      </c>
      <c r="J988" s="129">
        <v>50</v>
      </c>
      <c r="K988" s="129">
        <f>Z988+340</f>
        <v>6240</v>
      </c>
      <c r="L988" s="129">
        <f t="shared" si="364"/>
        <v>312000</v>
      </c>
      <c r="M988" s="129"/>
      <c r="N988" s="114"/>
      <c r="P988" s="91"/>
      <c r="Q988" s="91"/>
      <c r="R988" s="76" t="s">
        <v>1140</v>
      </c>
      <c r="S988" s="76" t="s">
        <v>1208</v>
      </c>
      <c r="T988" s="387">
        <v>46237</v>
      </c>
      <c r="U988" s="387">
        <f t="shared" si="374"/>
        <v>46280</v>
      </c>
      <c r="V988" s="387">
        <v>46280</v>
      </c>
      <c r="W988" s="76">
        <f t="shared" si="365"/>
        <v>0</v>
      </c>
      <c r="X988" s="133" t="s">
        <v>355</v>
      </c>
      <c r="Y988" s="76">
        <v>50</v>
      </c>
      <c r="Z988" s="114">
        <v>5900</v>
      </c>
      <c r="AA988" s="114">
        <f t="shared" si="366"/>
        <v>295000</v>
      </c>
      <c r="AB988" s="114">
        <f t="shared" si="376"/>
        <v>29500</v>
      </c>
      <c r="AC988" s="114">
        <f>AA988-AB988</f>
        <v>265500</v>
      </c>
      <c r="AD988" s="140"/>
      <c r="AE988" s="114"/>
      <c r="AF988" s="114"/>
      <c r="AG988" s="114"/>
      <c r="AH988" s="114"/>
      <c r="AM988" s="114"/>
      <c r="AN988" s="114"/>
      <c r="AQ988" s="746">
        <f t="shared" si="377"/>
        <v>46280</v>
      </c>
      <c r="AR988" s="387">
        <f t="shared" si="367"/>
        <v>46250</v>
      </c>
      <c r="AS988" s="387"/>
      <c r="AT988" s="387"/>
      <c r="AW988" s="387">
        <v>46201</v>
      </c>
      <c r="AX988" s="129"/>
      <c r="AY988" s="114"/>
      <c r="AZ988" s="127"/>
      <c r="BA988" s="127"/>
      <c r="BB988" s="127"/>
      <c r="BC988" s="127"/>
      <c r="BI988" s="75"/>
      <c r="BJ988" s="91"/>
      <c r="BL988" s="76" t="str">
        <f t="shared" si="368"/>
        <v>TJTW-149</v>
      </c>
      <c r="BM988" s="76" t="str">
        <f t="shared" si="369"/>
        <v>TCNCP</v>
      </c>
      <c r="BN988" s="76">
        <f t="shared" si="370"/>
        <v>0</v>
      </c>
      <c r="BO988" s="76" t="str">
        <f>E987</f>
        <v>0.17*910*1071 2.0/2.0 DR9</v>
      </c>
      <c r="BP988" s="129">
        <f t="shared" si="371"/>
        <v>50</v>
      </c>
      <c r="BQ988" s="387">
        <f t="shared" si="372"/>
        <v>46280</v>
      </c>
    </row>
    <row r="989" s="79" customFormat="1" customHeight="1" spans="1:69">
      <c r="A989" s="79" t="s">
        <v>842</v>
      </c>
      <c r="B989" s="79" t="s">
        <v>456</v>
      </c>
      <c r="C989" s="463"/>
      <c r="D989" s="79" t="s">
        <v>1207</v>
      </c>
      <c r="G989" s="486"/>
      <c r="J989" s="79">
        <f>SUM(J986:J988)</f>
        <v>300</v>
      </c>
      <c r="K989" s="194"/>
      <c r="L989" s="226">
        <f>SUM(L986:L988)</f>
        <v>1849500</v>
      </c>
      <c r="M989" s="194"/>
      <c r="N989" s="79">
        <f>SUM(N986:N988)</f>
        <v>1082334.1</v>
      </c>
      <c r="R989" s="79" t="s">
        <v>1140</v>
      </c>
      <c r="T989" s="463"/>
      <c r="U989" s="463"/>
      <c r="V989" s="463"/>
      <c r="X989" s="193"/>
      <c r="Y989" s="79">
        <f t="shared" ref="Y989:AC989" si="378">SUM(Y986:Y988)</f>
        <v>300</v>
      </c>
      <c r="Z989" s="192"/>
      <c r="AA989" s="226">
        <f t="shared" si="378"/>
        <v>1747500</v>
      </c>
      <c r="AB989" s="226">
        <f t="shared" si="378"/>
        <v>174750</v>
      </c>
      <c r="AC989" s="226">
        <f t="shared" si="378"/>
        <v>1572750</v>
      </c>
      <c r="AD989" s="196"/>
      <c r="AE989" s="192"/>
      <c r="AF989" s="192"/>
      <c r="AG989" s="192"/>
      <c r="AH989" s="192"/>
      <c r="AM989" s="192"/>
      <c r="AN989" s="192">
        <f>SUM(AN987:AN988)</f>
        <v>0</v>
      </c>
      <c r="AQ989" s="463">
        <f t="shared" si="377"/>
        <v>0</v>
      </c>
      <c r="AR989" s="463"/>
      <c r="AS989" s="463"/>
      <c r="AT989" s="463"/>
      <c r="AW989" s="463"/>
      <c r="AX989" s="194"/>
      <c r="AY989" s="192"/>
      <c r="AZ989" s="150"/>
      <c r="BA989" s="150"/>
      <c r="BB989" s="150"/>
      <c r="BC989" s="150"/>
      <c r="BI989" s="151"/>
    </row>
    <row r="990" s="76" customFormat="1" customHeight="1" spans="1:69">
      <c r="A990" s="76" t="s">
        <v>933</v>
      </c>
      <c r="B990" s="76" t="s">
        <v>456</v>
      </c>
      <c r="C990" s="387"/>
      <c r="D990" s="76" t="s">
        <v>1209</v>
      </c>
      <c r="E990" s="76" t="s">
        <v>685</v>
      </c>
      <c r="G990" s="479"/>
      <c r="H990" s="76" t="s">
        <v>93</v>
      </c>
      <c r="J990" s="264">
        <v>2097600</v>
      </c>
      <c r="K990" s="129">
        <v>0.23</v>
      </c>
      <c r="L990" s="129">
        <f>J990*K990</f>
        <v>482448</v>
      </c>
      <c r="M990" s="129"/>
      <c r="N990" s="114">
        <v>371464.73</v>
      </c>
      <c r="P990" s="91"/>
      <c r="Q990" s="91"/>
      <c r="R990" s="113" t="s">
        <v>148</v>
      </c>
      <c r="S990" s="76" t="s">
        <v>1210</v>
      </c>
      <c r="T990" s="387">
        <v>46241</v>
      </c>
      <c r="U990" s="387">
        <f>T990+20</f>
        <v>46261</v>
      </c>
      <c r="V990" s="387">
        <v>46264</v>
      </c>
      <c r="W990" s="76">
        <f>V990-U990</f>
        <v>3</v>
      </c>
      <c r="X990" s="133"/>
      <c r="Y990" s="264">
        <v>2097600</v>
      </c>
      <c r="Z990" s="140">
        <v>0.245</v>
      </c>
      <c r="AA990" s="114">
        <f t="shared" si="375"/>
        <v>513912</v>
      </c>
      <c r="AB990" s="114"/>
      <c r="AC990" s="114"/>
      <c r="AD990" s="140"/>
      <c r="AE990" s="114"/>
      <c r="AF990" s="114"/>
      <c r="AG990" s="114"/>
      <c r="AH990" s="114"/>
      <c r="AM990" s="114"/>
      <c r="AN990" s="114">
        <v>371464.73</v>
      </c>
      <c r="AQ990" s="746">
        <f t="shared" si="377"/>
        <v>46264</v>
      </c>
      <c r="AR990" s="387">
        <f>V990-30</f>
        <v>46234</v>
      </c>
      <c r="AS990" s="387"/>
      <c r="AT990" s="387"/>
      <c r="AW990" s="387"/>
      <c r="AX990" s="129"/>
      <c r="AY990" s="114"/>
      <c r="AZ990" s="127"/>
      <c r="BA990" s="127"/>
      <c r="BB990" s="127"/>
      <c r="BC990" s="127"/>
      <c r="BI990" s="75"/>
      <c r="BJ990" s="91"/>
      <c r="BL990" s="76" t="str">
        <f>D990</f>
        <v>TJTW-150</v>
      </c>
      <c r="BM990" s="76" t="str">
        <f>A990</f>
        <v>KALMETA</v>
      </c>
      <c r="BN990" s="76">
        <f>C990</f>
        <v>0</v>
      </c>
      <c r="BO990" s="76" t="str">
        <f>E990</f>
        <v>EOE.99.8mm 0.22 #401</v>
      </c>
      <c r="BP990" s="129">
        <f>J990</f>
        <v>2097600</v>
      </c>
      <c r="BQ990" s="387">
        <f>U990</f>
        <v>46261</v>
      </c>
    </row>
    <row r="991" s="79" customFormat="1" customHeight="1" spans="1:69">
      <c r="A991" s="79" t="s">
        <v>933</v>
      </c>
      <c r="B991" s="79" t="s">
        <v>456</v>
      </c>
      <c r="C991" s="463"/>
      <c r="D991" s="79" t="s">
        <v>1209</v>
      </c>
      <c r="G991" s="486"/>
      <c r="J991" s="79">
        <f>SUM(J990)</f>
        <v>2097600</v>
      </c>
      <c r="K991" s="194"/>
      <c r="L991" s="79">
        <f>SUM(L990)</f>
        <v>482448</v>
      </c>
      <c r="M991" s="194"/>
      <c r="T991" s="463"/>
      <c r="U991" s="463"/>
      <c r="V991" s="463"/>
      <c r="X991" s="193"/>
      <c r="Y991" s="79">
        <f>SUM(Y990)</f>
        <v>2097600</v>
      </c>
      <c r="Z991" s="192"/>
      <c r="AA991" s="79">
        <f>SUM(AA990)</f>
        <v>513912</v>
      </c>
      <c r="AB991" s="192"/>
      <c r="AC991" s="192"/>
      <c r="AD991" s="196"/>
      <c r="AE991" s="192"/>
      <c r="AF991" s="192"/>
      <c r="AG991" s="192"/>
      <c r="AH991" s="192"/>
      <c r="AM991" s="192"/>
      <c r="AN991" s="192"/>
      <c r="AQ991" s="463"/>
      <c r="AR991" s="463"/>
      <c r="AS991" s="463"/>
      <c r="AT991" s="463"/>
      <c r="AW991" s="463"/>
      <c r="AX991" s="194"/>
      <c r="AY991" s="192"/>
      <c r="AZ991" s="150"/>
      <c r="BA991" s="150"/>
      <c r="BB991" s="150"/>
      <c r="BC991" s="150"/>
      <c r="BI991" s="151"/>
      <c r="BL991" s="79" t="str">
        <f t="shared" ref="BL991:BL996" si="379">D991</f>
        <v>TJTW-150</v>
      </c>
      <c r="BM991" s="79" t="str">
        <f t="shared" ref="BM991:BM996" si="380">A991</f>
        <v>KALMETA</v>
      </c>
      <c r="BO991" s="79">
        <f t="shared" ref="BO991:BO996" si="381">E991</f>
        <v>0</v>
      </c>
      <c r="BP991" s="79">
        <f t="shared" ref="BP991:BP996" si="382">J991</f>
        <v>2097600</v>
      </c>
      <c r="BQ991" s="79">
        <f t="shared" ref="BQ991:BQ996" si="383">U991</f>
        <v>0</v>
      </c>
    </row>
    <row r="992" s="76" customFormat="1" customHeight="1" spans="1:69">
      <c r="A992" s="76" t="s">
        <v>842</v>
      </c>
      <c r="B992" s="76" t="s">
        <v>922</v>
      </c>
      <c r="C992" s="387"/>
      <c r="D992" s="76" t="s">
        <v>1211</v>
      </c>
      <c r="E992" s="76" t="s">
        <v>652</v>
      </c>
      <c r="G992" s="479"/>
      <c r="H992" s="76" t="s">
        <v>93</v>
      </c>
      <c r="J992" s="129">
        <v>100</v>
      </c>
      <c r="K992" s="129">
        <f>Z992+340</f>
        <v>6150</v>
      </c>
      <c r="L992" s="129">
        <f>J992*K992</f>
        <v>615000</v>
      </c>
      <c r="M992" s="129"/>
      <c r="N992" s="114">
        <v>553500</v>
      </c>
      <c r="P992" s="91"/>
      <c r="Q992" s="91"/>
      <c r="R992" s="76" t="s">
        <v>1140</v>
      </c>
      <c r="S992" s="76" t="s">
        <v>1212</v>
      </c>
      <c r="T992" s="387">
        <v>46244</v>
      </c>
      <c r="U992" s="387">
        <f>T992+45</f>
        <v>46289</v>
      </c>
      <c r="V992" s="387">
        <v>46290</v>
      </c>
      <c r="W992" s="76">
        <f t="shared" ref="W992:W996" si="384">V992-U992</f>
        <v>1</v>
      </c>
      <c r="X992" s="133"/>
      <c r="Y992" s="76">
        <v>100</v>
      </c>
      <c r="Z992" s="114">
        <v>5810</v>
      </c>
      <c r="AA992" s="114">
        <f t="shared" ref="AA992:AA996" si="385">Y992*Z992</f>
        <v>581000</v>
      </c>
      <c r="AB992" s="114">
        <v>58100</v>
      </c>
      <c r="AC992" s="114">
        <f>AA992-AB992</f>
        <v>522900</v>
      </c>
      <c r="AD992" s="140"/>
      <c r="AE992" s="114"/>
      <c r="AF992" s="114"/>
      <c r="AG992" s="114"/>
      <c r="AH992" s="114"/>
      <c r="AM992" s="114"/>
      <c r="AN992" s="114">
        <v>553500</v>
      </c>
      <c r="AQ992" s="746">
        <f t="shared" ref="AQ992:AQ996" si="386">V992</f>
        <v>46290</v>
      </c>
      <c r="AR992" s="387">
        <f t="shared" ref="AR992:AR996" si="387">V992-30</f>
        <v>46260</v>
      </c>
      <c r="AS992" s="387"/>
      <c r="AT992" s="387"/>
      <c r="AW992" s="387">
        <v>46117</v>
      </c>
      <c r="AX992" s="129"/>
      <c r="AY992" s="114"/>
      <c r="AZ992" s="127"/>
      <c r="BA992" s="127"/>
      <c r="BB992" s="127"/>
      <c r="BC992" s="127"/>
      <c r="BI992" s="75"/>
      <c r="BJ992" s="91"/>
      <c r="BL992" s="76" t="str">
        <f t="shared" si="379"/>
        <v>TJTW-151</v>
      </c>
      <c r="BM992" s="76" t="str">
        <f t="shared" si="380"/>
        <v>TCNCP</v>
      </c>
      <c r="BN992" s="76">
        <f>C992</f>
        <v>0</v>
      </c>
      <c r="BO992" s="76" t="str">
        <f t="shared" si="381"/>
        <v>0.17*784*1040 2.0/2.0 DR9</v>
      </c>
      <c r="BP992" s="129">
        <f t="shared" si="382"/>
        <v>100</v>
      </c>
      <c r="BQ992" s="387">
        <f t="shared" si="383"/>
        <v>46289</v>
      </c>
    </row>
    <row r="993" s="79" customFormat="1" customHeight="1" spans="1:69 16378:16379">
      <c r="A993" s="79" t="s">
        <v>842</v>
      </c>
      <c r="B993" s="79" t="s">
        <v>922</v>
      </c>
      <c r="C993" s="463"/>
      <c r="D993" s="79" t="s">
        <v>1211</v>
      </c>
      <c r="G993" s="486"/>
      <c r="K993" s="194"/>
      <c r="M993" s="194"/>
      <c r="N993" s="79">
        <f>SUM(N992:N992)</f>
        <v>553500</v>
      </c>
      <c r="T993" s="463"/>
      <c r="U993" s="463"/>
      <c r="V993" s="463"/>
      <c r="X993" s="193"/>
      <c r="Z993" s="192"/>
      <c r="AA993" s="79">
        <f t="shared" ref="AA993:AA997" si="388">SUM(AA992:AA992)</f>
        <v>581000</v>
      </c>
      <c r="AB993" s="192">
        <f>SUM(AB992:AB992)</f>
        <v>58100</v>
      </c>
      <c r="AC993" s="192">
        <f>SUM(AC992:AC992)</f>
        <v>522900</v>
      </c>
      <c r="AD993" s="196"/>
      <c r="AE993" s="192"/>
      <c r="AF993" s="192"/>
      <c r="AG993" s="192"/>
      <c r="AH993" s="192"/>
      <c r="AM993" s="192"/>
      <c r="AN993" s="192">
        <f>SUM(AN992:AN992)</f>
        <v>553500</v>
      </c>
      <c r="AQ993" s="463">
        <f t="shared" si="386"/>
        <v>0</v>
      </c>
      <c r="AR993" s="463"/>
      <c r="AS993" s="463"/>
      <c r="AT993" s="463"/>
      <c r="AW993" s="463"/>
      <c r="AX993" s="194"/>
      <c r="AY993" s="192"/>
      <c r="AZ993" s="150"/>
      <c r="BA993" s="150"/>
      <c r="BB993" s="150"/>
      <c r="BC993" s="150"/>
      <c r="BI993" s="151"/>
    </row>
    <row r="994" s="76" customFormat="1" customHeight="1" spans="1:69 16378:16379">
      <c r="A994" s="76" t="s">
        <v>365</v>
      </c>
      <c r="B994" s="76" t="s">
        <v>440</v>
      </c>
      <c r="C994" s="387"/>
      <c r="D994" s="76" t="s">
        <v>1213</v>
      </c>
      <c r="E994" s="76" t="s">
        <v>1060</v>
      </c>
      <c r="G994" s="479"/>
      <c r="H994" s="76" t="s">
        <v>93</v>
      </c>
      <c r="J994" s="129">
        <v>130</v>
      </c>
      <c r="K994" s="129">
        <f>Z994+340</f>
        <v>6210</v>
      </c>
      <c r="L994" s="129">
        <f t="shared" ref="L994:L998" si="389">J994*K994</f>
        <v>807300</v>
      </c>
      <c r="M994" s="129"/>
      <c r="N994" s="76">
        <v>726570</v>
      </c>
      <c r="P994" s="91"/>
      <c r="Q994" s="91"/>
      <c r="R994" s="76" t="s">
        <v>1140</v>
      </c>
      <c r="S994" s="76" t="s">
        <v>1214</v>
      </c>
      <c r="T994" s="387">
        <v>46244</v>
      </c>
      <c r="U994" s="387">
        <f>T994+45</f>
        <v>46289</v>
      </c>
      <c r="V994" s="387">
        <v>46290</v>
      </c>
      <c r="W994" s="76">
        <f t="shared" si="384"/>
        <v>1</v>
      </c>
      <c r="X994" s="133"/>
      <c r="Y994" s="76">
        <v>130</v>
      </c>
      <c r="Z994" s="76">
        <v>5870</v>
      </c>
      <c r="AA994" s="114">
        <f t="shared" si="385"/>
        <v>763100</v>
      </c>
      <c r="AB994" s="114">
        <v>76310</v>
      </c>
      <c r="AC994" s="114">
        <f>AA994-AB994</f>
        <v>686790</v>
      </c>
      <c r="AD994" s="140"/>
      <c r="AE994" s="114"/>
      <c r="AF994" s="114"/>
      <c r="AG994" s="114"/>
      <c r="AH994" s="114"/>
      <c r="AM994" s="114"/>
      <c r="AN994" s="76">
        <v>726570</v>
      </c>
      <c r="AQ994" s="746">
        <f t="shared" si="386"/>
        <v>46290</v>
      </c>
      <c r="AR994" s="387">
        <f t="shared" si="387"/>
        <v>46260</v>
      </c>
      <c r="AS994" s="387"/>
      <c r="AT994" s="387"/>
      <c r="AW994" s="387"/>
      <c r="AX994" s="129"/>
      <c r="AY994" s="114"/>
      <c r="AZ994" s="127"/>
      <c r="BA994" s="127"/>
      <c r="BB994" s="127"/>
      <c r="BC994" s="127"/>
      <c r="BI994" s="75"/>
      <c r="BJ994" s="91"/>
      <c r="BL994" s="76" t="str">
        <f t="shared" si="379"/>
        <v>TJTW-152</v>
      </c>
      <c r="BM994" s="76" t="str">
        <f t="shared" si="380"/>
        <v>PLK</v>
      </c>
      <c r="BO994" s="76" t="str">
        <f t="shared" si="381"/>
        <v>0.16*892*Coil 2.0/2.0, T4 Stone, BA "eye to Sky"</v>
      </c>
      <c r="BP994" s="129">
        <f t="shared" si="382"/>
        <v>130</v>
      </c>
      <c r="BQ994" s="387">
        <f t="shared" si="383"/>
        <v>46289</v>
      </c>
    </row>
    <row r="995" s="79" customFormat="1" customHeight="1" spans="1:69 16378:16379">
      <c r="A995" s="79" t="s">
        <v>365</v>
      </c>
      <c r="C995" s="463"/>
      <c r="D995" s="79" t="s">
        <v>1213</v>
      </c>
      <c r="F995" s="192"/>
      <c r="G995" s="486"/>
      <c r="H995" s="79" t="s">
        <v>93</v>
      </c>
      <c r="I995" s="194"/>
      <c r="J995" s="79">
        <f>SUM(J994:J994)</f>
        <v>130</v>
      </c>
      <c r="K995" s="194"/>
      <c r="L995" s="79">
        <f>SUM(L994:L994)</f>
        <v>807300</v>
      </c>
      <c r="S995" s="463"/>
      <c r="T995" s="463"/>
      <c r="U995" s="193"/>
      <c r="X995" s="192"/>
      <c r="Y995" s="79">
        <f>SUM(Y994:Y994)</f>
        <v>130</v>
      </c>
      <c r="Z995" s="192"/>
      <c r="AA995" s="226">
        <f t="shared" si="388"/>
        <v>763100</v>
      </c>
      <c r="AB995" s="192">
        <f>AB994</f>
        <v>76310</v>
      </c>
      <c r="AC995" s="192">
        <f>AC994</f>
        <v>686790</v>
      </c>
      <c r="AE995" s="192"/>
      <c r="AF995" s="79">
        <v>59900</v>
      </c>
      <c r="AI995" s="463"/>
      <c r="AJ995" s="463"/>
      <c r="AK995" s="463"/>
      <c r="AL995" s="463"/>
      <c r="AO995" s="463"/>
      <c r="AP995" s="194"/>
      <c r="AQ995" s="192"/>
      <c r="AR995" s="150"/>
      <c r="AS995" s="150"/>
      <c r="AT995" s="150"/>
      <c r="AU995" s="150"/>
      <c r="BA995" s="151"/>
      <c r="XEX995" s="76"/>
      <c r="XEY995" s="76"/>
    </row>
    <row r="996" s="76" customFormat="1" customHeight="1" spans="1:69 16378:16379">
      <c r="A996" s="76" t="s">
        <v>933</v>
      </c>
      <c r="B996" s="76" t="s">
        <v>456</v>
      </c>
      <c r="C996" s="387"/>
      <c r="D996" s="76" t="s">
        <v>1215</v>
      </c>
      <c r="E996" s="76" t="s">
        <v>972</v>
      </c>
      <c r="G996" s="479"/>
      <c r="H996" s="76" t="s">
        <v>93</v>
      </c>
      <c r="J996" s="264">
        <v>290000</v>
      </c>
      <c r="K996" s="143">
        <v>0.2675</v>
      </c>
      <c r="L996" s="114">
        <f t="shared" si="389"/>
        <v>77575</v>
      </c>
      <c r="M996" s="129"/>
      <c r="N996" s="76">
        <v>3551.85</v>
      </c>
      <c r="P996" s="91"/>
      <c r="Q996" s="91"/>
      <c r="R996" s="76" t="s">
        <v>88</v>
      </c>
      <c r="S996" s="76" t="s">
        <v>1216</v>
      </c>
      <c r="T996" s="387">
        <v>46254</v>
      </c>
      <c r="U996" s="387">
        <v>46280</v>
      </c>
      <c r="V996" s="387">
        <v>46280</v>
      </c>
      <c r="W996" s="76">
        <f t="shared" si="384"/>
        <v>0</v>
      </c>
      <c r="X996" s="133"/>
      <c r="Y996" s="76">
        <v>290000</v>
      </c>
      <c r="Z996" s="114">
        <v>0.29</v>
      </c>
      <c r="AA996" s="114">
        <f t="shared" si="385"/>
        <v>84100</v>
      </c>
      <c r="AB996" s="114"/>
      <c r="AC996" s="114"/>
      <c r="AD996" s="140"/>
      <c r="AE996" s="114"/>
      <c r="AF996" s="114"/>
      <c r="AG996" s="114"/>
      <c r="AH996" s="114"/>
      <c r="AM996" s="114"/>
      <c r="AN996" s="76">
        <v>3551.85</v>
      </c>
      <c r="AQ996" s="746">
        <f t="shared" si="386"/>
        <v>46280</v>
      </c>
      <c r="AR996" s="387">
        <f t="shared" si="387"/>
        <v>46250</v>
      </c>
      <c r="AS996" s="747"/>
      <c r="AT996" s="387"/>
      <c r="AW996" s="387"/>
      <c r="AX996" s="129"/>
      <c r="AY996" s="114"/>
      <c r="AZ996" s="127"/>
      <c r="BA996" s="127"/>
      <c r="BB996" s="127"/>
      <c r="BC996" s="127"/>
      <c r="BI996" s="75"/>
      <c r="BJ996" s="91"/>
      <c r="BL996" s="76" t="str">
        <f t="shared" si="379"/>
        <v>TJTW-153</v>
      </c>
      <c r="BM996" s="76" t="str">
        <f t="shared" si="380"/>
        <v>KALMETA</v>
      </c>
      <c r="BN996" s="76">
        <f>C996</f>
        <v>0</v>
      </c>
      <c r="BO996" s="76" t="str">
        <f t="shared" si="381"/>
        <v>EOE 99.8mm 0.21 #401(colored)</v>
      </c>
      <c r="BP996" s="129">
        <f t="shared" si="382"/>
        <v>290000</v>
      </c>
      <c r="BQ996" s="387">
        <f t="shared" si="383"/>
        <v>46280</v>
      </c>
    </row>
    <row r="997" s="79" customFormat="1" customHeight="1" spans="1:69 16378:16379">
      <c r="A997" s="79" t="s">
        <v>933</v>
      </c>
      <c r="B997" s="79" t="s">
        <v>456</v>
      </c>
      <c r="C997" s="463"/>
      <c r="D997" s="79" t="s">
        <v>1215</v>
      </c>
      <c r="G997" s="486"/>
      <c r="H997" s="79" t="s">
        <v>93</v>
      </c>
      <c r="J997" s="79">
        <f t="shared" ref="J997:N997" si="390">SUM(J996:J996)</f>
        <v>290000</v>
      </c>
      <c r="K997" s="194"/>
      <c r="L997" s="79">
        <f t="shared" si="390"/>
        <v>77575</v>
      </c>
      <c r="M997" s="194"/>
      <c r="N997" s="79">
        <f t="shared" si="390"/>
        <v>3551.85</v>
      </c>
      <c r="O997" s="79">
        <f>O996</f>
        <v>0</v>
      </c>
      <c r="T997" s="463"/>
      <c r="U997" s="463"/>
      <c r="V997" s="463"/>
      <c r="X997" s="193"/>
      <c r="Y997" s="79">
        <f>SUM(Y996:Y996)</f>
        <v>290000</v>
      </c>
      <c r="Z997" s="192"/>
      <c r="AA997" s="79">
        <f t="shared" si="388"/>
        <v>84100</v>
      </c>
      <c r="AB997" s="192"/>
      <c r="AC997" s="192"/>
      <c r="AD997" s="196"/>
      <c r="AE997" s="192"/>
      <c r="AF997" s="192"/>
      <c r="AG997" s="192"/>
      <c r="AH997" s="192"/>
      <c r="AM997" s="192"/>
      <c r="AN997" s="192">
        <f>SUM(AN996:AN996)</f>
        <v>3551.85</v>
      </c>
      <c r="AQ997" s="463"/>
      <c r="AR997" s="463"/>
      <c r="AS997" s="463"/>
      <c r="AT997" s="463"/>
      <c r="AW997" s="463"/>
      <c r="AX997" s="194"/>
      <c r="AY997" s="192"/>
      <c r="AZ997" s="150"/>
      <c r="BA997" s="150"/>
      <c r="BB997" s="150"/>
      <c r="BC997" s="150"/>
      <c r="BI997" s="151"/>
    </row>
    <row r="998" s="76" customFormat="1" ht="30.95" customHeight="1" spans="1:69 16378:16379">
      <c r="A998" s="76" t="s">
        <v>1123</v>
      </c>
      <c r="C998" s="387"/>
      <c r="D998" s="76" t="s">
        <v>1217</v>
      </c>
      <c r="E998" s="113" t="s">
        <v>1196</v>
      </c>
      <c r="G998" s="479"/>
      <c r="H998" s="76" t="s">
        <v>93</v>
      </c>
      <c r="J998" s="264">
        <v>1160000</v>
      </c>
      <c r="K998" s="373">
        <v>0.2329</v>
      </c>
      <c r="L998" s="129">
        <f t="shared" si="389"/>
        <v>270164</v>
      </c>
      <c r="M998" s="129"/>
      <c r="N998" s="114">
        <f>237645.18+5502.41999999998</f>
        <v>243147.6</v>
      </c>
      <c r="P998" s="91"/>
      <c r="Q998" s="91"/>
      <c r="R998" s="76" t="s">
        <v>88</v>
      </c>
      <c r="S998" s="76" t="s">
        <v>1218</v>
      </c>
      <c r="T998" s="387">
        <v>46254</v>
      </c>
      <c r="U998" s="387">
        <v>46285</v>
      </c>
      <c r="V998" s="387">
        <v>46285</v>
      </c>
      <c r="W998" s="76">
        <f t="shared" ref="W998:W1002" si="391">V998-U998</f>
        <v>0</v>
      </c>
      <c r="X998" s="133"/>
      <c r="Y998" s="76">
        <v>1160000</v>
      </c>
      <c r="Z998" s="140">
        <v>0.247</v>
      </c>
      <c r="AA998" s="114">
        <f t="shared" ref="AA998:AA1002" si="392">Y998*Z998</f>
        <v>286520</v>
      </c>
      <c r="AB998" s="114"/>
      <c r="AC998" s="114"/>
      <c r="AD998" s="140"/>
      <c r="AE998" s="114"/>
      <c r="AF998" s="114"/>
      <c r="AG998" s="114"/>
      <c r="AH998" s="114"/>
      <c r="AM998" s="114"/>
      <c r="AN998" s="114">
        <f>237645.18+5502.41999999998</f>
        <v>243147.6</v>
      </c>
      <c r="AQ998" s="387"/>
      <c r="AR998" s="387"/>
      <c r="AS998" s="387"/>
      <c r="AT998" s="387"/>
      <c r="AW998" s="387"/>
      <c r="AX998" s="129"/>
      <c r="AY998" s="114"/>
      <c r="AZ998" s="127"/>
      <c r="BA998" s="127"/>
      <c r="BB998" s="127"/>
      <c r="BC998" s="127"/>
      <c r="BI998" s="75"/>
      <c r="BJ998" s="91"/>
    </row>
    <row r="999" s="79" customFormat="1" customHeight="1" spans="1:69 16378:16379">
      <c r="A999" s="79" t="s">
        <v>1123</v>
      </c>
      <c r="C999" s="463"/>
      <c r="D999" s="79" t="s">
        <v>1217</v>
      </c>
      <c r="G999" s="486"/>
      <c r="H999" s="419" t="s">
        <v>93</v>
      </c>
      <c r="J999" s="579">
        <f t="shared" ref="J999:N999" si="393">SUM(J998)</f>
        <v>1160000</v>
      </c>
      <c r="K999" s="194"/>
      <c r="L999" s="748">
        <f t="shared" si="393"/>
        <v>270164</v>
      </c>
      <c r="M999" s="194"/>
      <c r="N999" s="79">
        <f t="shared" si="393"/>
        <v>243147.6</v>
      </c>
      <c r="R999" s="463"/>
      <c r="T999" s="463"/>
      <c r="U999" s="463"/>
      <c r="V999" s="463"/>
      <c r="X999" s="193"/>
      <c r="Y999" s="79">
        <f>SUM(Y998)</f>
        <v>1160000</v>
      </c>
      <c r="Z999" s="192"/>
      <c r="AA999" s="79">
        <f>SUM(AA998)</f>
        <v>286520</v>
      </c>
      <c r="AB999" s="192"/>
      <c r="AC999" s="192"/>
      <c r="AD999" s="196"/>
      <c r="AE999" s="192"/>
      <c r="AF999" s="192"/>
      <c r="AG999" s="192"/>
      <c r="AH999" s="192"/>
      <c r="AM999" s="192"/>
      <c r="AN999" s="192"/>
      <c r="AQ999" s="463"/>
      <c r="AR999" s="463"/>
      <c r="AS999" s="463"/>
      <c r="AT999" s="463"/>
      <c r="AW999" s="463"/>
      <c r="AX999" s="194"/>
      <c r="AY999" s="192"/>
      <c r="AZ999" s="150"/>
      <c r="BA999" s="150"/>
      <c r="BB999" s="150"/>
      <c r="BC999" s="150"/>
      <c r="BI999" s="151"/>
      <c r="BL999" s="79" t="str">
        <f>D999</f>
        <v>TJTW-154</v>
      </c>
      <c r="BM999" s="79" t="str">
        <f>A999</f>
        <v>MB</v>
      </c>
      <c r="BP999" s="79">
        <f>J999</f>
        <v>1160000</v>
      </c>
      <c r="BQ999" s="79">
        <f>U999</f>
        <v>0</v>
      </c>
    </row>
    <row r="1000" s="76" customFormat="1" ht="30.95" customHeight="1" spans="1:69 16378:16379">
      <c r="A1000" s="76" t="s">
        <v>1123</v>
      </c>
      <c r="C1000" s="387"/>
      <c r="D1000" s="76" t="s">
        <v>1219</v>
      </c>
      <c r="E1000" s="113" t="s">
        <v>1196</v>
      </c>
      <c r="G1000" s="479"/>
      <c r="H1000" s="76" t="s">
        <v>93</v>
      </c>
      <c r="J1000" s="264">
        <v>1160000</v>
      </c>
      <c r="K1000" s="373">
        <v>0.2329</v>
      </c>
      <c r="L1000" s="129">
        <f t="shared" ref="L1000:L1006" si="394">J1000*K1000</f>
        <v>270164</v>
      </c>
      <c r="M1000" s="129"/>
      <c r="N1000" s="114">
        <v>270164</v>
      </c>
      <c r="P1000" s="91"/>
      <c r="Q1000" s="91"/>
      <c r="R1000" s="76" t="s">
        <v>88</v>
      </c>
      <c r="S1000" s="76" t="s">
        <v>1220</v>
      </c>
      <c r="T1000" s="387">
        <v>46256</v>
      </c>
      <c r="U1000" s="387">
        <v>46285</v>
      </c>
      <c r="V1000" s="387">
        <v>46292</v>
      </c>
      <c r="W1000" s="76">
        <f t="shared" si="391"/>
        <v>7</v>
      </c>
      <c r="X1000" s="133"/>
      <c r="Y1000" s="76">
        <v>1160000</v>
      </c>
      <c r="Z1000" s="140">
        <v>0.247</v>
      </c>
      <c r="AA1000" s="114">
        <f t="shared" si="392"/>
        <v>286520</v>
      </c>
      <c r="AB1000" s="114"/>
      <c r="AC1000" s="114"/>
      <c r="AD1000" s="140"/>
      <c r="AE1000" s="114"/>
      <c r="AF1000" s="114"/>
      <c r="AG1000" s="114"/>
      <c r="AH1000" s="114"/>
      <c r="AM1000" s="114"/>
      <c r="AN1000" s="114">
        <v>270164</v>
      </c>
      <c r="AQ1000" s="387"/>
      <c r="AR1000" s="387"/>
      <c r="AS1000" s="387"/>
      <c r="AT1000" s="387"/>
      <c r="AW1000" s="387"/>
      <c r="AX1000" s="129"/>
      <c r="AY1000" s="114"/>
      <c r="AZ1000" s="127"/>
      <c r="BA1000" s="127"/>
      <c r="BB1000" s="127"/>
      <c r="BC1000" s="127"/>
      <c r="BI1000" s="75"/>
      <c r="BJ1000" s="91"/>
    </row>
    <row r="1001" s="79" customFormat="1" customHeight="1" spans="1:69 16378:16379">
      <c r="A1001" s="79" t="s">
        <v>1123</v>
      </c>
      <c r="C1001" s="463"/>
      <c r="D1001" s="79" t="s">
        <v>1219</v>
      </c>
      <c r="G1001" s="486"/>
      <c r="H1001" s="419" t="s">
        <v>93</v>
      </c>
      <c r="J1001" s="579">
        <f t="shared" ref="J1001:N1001" si="395">SUM(J1000)</f>
        <v>1160000</v>
      </c>
      <c r="K1001" s="194"/>
      <c r="L1001" s="748">
        <f t="shared" si="395"/>
        <v>270164</v>
      </c>
      <c r="M1001" s="194"/>
      <c r="N1001" s="79">
        <f t="shared" si="395"/>
        <v>270164</v>
      </c>
      <c r="R1001" s="463"/>
      <c r="T1001" s="463"/>
      <c r="U1001" s="463"/>
      <c r="V1001" s="463"/>
      <c r="X1001" s="193"/>
      <c r="Y1001" s="79">
        <f>SUM(Y1000)</f>
        <v>1160000</v>
      </c>
      <c r="Z1001" s="192"/>
      <c r="AA1001" s="79">
        <f>SUM(AA1000)</f>
        <v>286520</v>
      </c>
      <c r="AB1001" s="192"/>
      <c r="AC1001" s="192"/>
      <c r="AD1001" s="196"/>
      <c r="AE1001" s="192"/>
      <c r="AF1001" s="192"/>
      <c r="AG1001" s="192"/>
      <c r="AH1001" s="192"/>
      <c r="AM1001" s="192"/>
      <c r="AN1001" s="192"/>
      <c r="AQ1001" s="463"/>
      <c r="AR1001" s="463"/>
      <c r="AS1001" s="463"/>
      <c r="AT1001" s="463"/>
      <c r="AW1001" s="463"/>
      <c r="AX1001" s="194"/>
      <c r="AY1001" s="192"/>
      <c r="AZ1001" s="150"/>
      <c r="BA1001" s="150"/>
      <c r="BB1001" s="150"/>
      <c r="BC1001" s="150"/>
      <c r="BI1001" s="151"/>
      <c r="BL1001" s="79" t="str">
        <f>D1001</f>
        <v>TJTW-155</v>
      </c>
      <c r="BM1001" s="79" t="str">
        <f>A1001</f>
        <v>MB</v>
      </c>
      <c r="BP1001" s="79">
        <f>J1001</f>
        <v>1160000</v>
      </c>
      <c r="BQ1001" s="79">
        <f>U1001</f>
        <v>0</v>
      </c>
    </row>
    <row r="1002" s="77" customFormat="1" customHeight="1" spans="1:69 16378:16379">
      <c r="A1002" s="76" t="s">
        <v>414</v>
      </c>
      <c r="B1002" s="76" t="s">
        <v>572</v>
      </c>
      <c r="C1002" s="569"/>
      <c r="D1002" s="190" t="s">
        <v>1221</v>
      </c>
      <c r="E1002" s="269" t="s">
        <v>1157</v>
      </c>
      <c r="G1002" s="570"/>
      <c r="H1002" s="76" t="s">
        <v>75</v>
      </c>
      <c r="J1002" s="269">
        <v>27.522</v>
      </c>
      <c r="K1002" s="269">
        <v>8553</v>
      </c>
      <c r="L1002" s="114">
        <f t="shared" si="394"/>
        <v>235395.666</v>
      </c>
      <c r="M1002" s="168"/>
      <c r="P1002" s="160"/>
      <c r="Q1002" s="160"/>
      <c r="R1002" s="76" t="s">
        <v>88</v>
      </c>
      <c r="S1002" s="76" t="s">
        <v>1155</v>
      </c>
      <c r="T1002" s="387">
        <v>46169</v>
      </c>
      <c r="U1002" s="387">
        <f t="shared" ref="U1002:U1006" si="396">T1002+60</f>
        <v>46229</v>
      </c>
      <c r="V1002" s="387">
        <v>46234</v>
      </c>
      <c r="W1002" s="76">
        <f t="shared" si="391"/>
        <v>5</v>
      </c>
      <c r="X1002" s="133" t="s">
        <v>436</v>
      </c>
      <c r="Y1002" s="269">
        <v>27.522</v>
      </c>
      <c r="Z1002" s="155">
        <v>5500</v>
      </c>
      <c r="AA1002" s="114">
        <f t="shared" si="392"/>
        <v>151371</v>
      </c>
      <c r="AB1002" s="155"/>
      <c r="AC1002" s="155"/>
      <c r="AD1002" s="163"/>
      <c r="AE1002" s="155"/>
      <c r="AF1002" s="155"/>
      <c r="AG1002" s="155"/>
      <c r="AH1002" s="155"/>
      <c r="AM1002" s="155"/>
      <c r="AN1002" s="155"/>
      <c r="AQ1002" s="760"/>
      <c r="AR1002" s="569"/>
      <c r="AS1002" s="569"/>
      <c r="AT1002" s="569"/>
      <c r="AW1002" s="569"/>
      <c r="AX1002" s="157"/>
      <c r="AY1002" s="155"/>
      <c r="AZ1002" s="168"/>
      <c r="BA1002" s="168"/>
      <c r="BB1002" s="168"/>
      <c r="BC1002" s="168"/>
      <c r="BI1002" s="169"/>
      <c r="BJ1002" s="160"/>
      <c r="BP1002" s="157"/>
      <c r="BQ1002" s="569"/>
    </row>
    <row r="1003" s="422" customFormat="1" ht="14.4" spans="1:69 16378:16379">
      <c r="A1003" s="422" t="s">
        <v>414</v>
      </c>
      <c r="C1003" s="619"/>
      <c r="D1003" s="422" t="s">
        <v>1221</v>
      </c>
      <c r="G1003" s="686"/>
      <c r="H1003" s="422" t="s">
        <v>75</v>
      </c>
      <c r="J1003" s="687">
        <f>J1002</f>
        <v>27.522</v>
      </c>
      <c r="K1003" s="687"/>
      <c r="L1003" s="687">
        <f>SUM(L1002)</f>
        <v>235395.666</v>
      </c>
      <c r="M1003" s="693">
        <f t="shared" ref="J1003:O1003" si="397">SUM(M994:M1002)</f>
        <v>0</v>
      </c>
      <c r="N1003" s="693">
        <f t="shared" si="397"/>
        <v>1760296.9</v>
      </c>
      <c r="O1003" s="693">
        <f t="shared" si="397"/>
        <v>0</v>
      </c>
      <c r="R1003" s="79" t="s">
        <v>88</v>
      </c>
      <c r="T1003" s="688"/>
      <c r="U1003" s="688"/>
      <c r="V1003" s="688"/>
      <c r="X1003" s="689"/>
      <c r="Y1003" s="687">
        <f>SUM(Y1002)</f>
        <v>27.522</v>
      </c>
      <c r="Z1003" s="690"/>
      <c r="AA1003" s="687">
        <f>AA1002</f>
        <v>151371</v>
      </c>
      <c r="AB1003" s="690"/>
      <c r="AC1003" s="690"/>
      <c r="AD1003" s="692"/>
      <c r="AE1003" s="690"/>
      <c r="AF1003" s="690"/>
      <c r="AG1003" s="690"/>
      <c r="AH1003" s="690"/>
      <c r="AM1003" s="690"/>
      <c r="AN1003" s="690"/>
      <c r="AQ1003" s="619"/>
      <c r="AR1003" s="619"/>
      <c r="AS1003" s="688"/>
      <c r="AT1003" s="688"/>
      <c r="AW1003" s="688"/>
      <c r="AX1003" s="687"/>
      <c r="AY1003" s="690"/>
      <c r="AZ1003" s="693"/>
      <c r="BA1003" s="693"/>
      <c r="BB1003" s="693"/>
      <c r="BC1003" s="693"/>
      <c r="BI1003" s="743"/>
    </row>
    <row r="1004" s="77" customFormat="1" customHeight="1" spans="1:69 16378:16379">
      <c r="A1004" s="76" t="s">
        <v>414</v>
      </c>
      <c r="B1004" s="76" t="s">
        <v>578</v>
      </c>
      <c r="C1004" s="569" t="s">
        <v>1222</v>
      </c>
      <c r="D1004" s="190" t="s">
        <v>1223</v>
      </c>
      <c r="E1004" s="190" t="s">
        <v>1224</v>
      </c>
      <c r="G1004" s="570"/>
      <c r="H1004" s="76" t="s">
        <v>75</v>
      </c>
      <c r="J1004" s="190">
        <v>60</v>
      </c>
      <c r="K1004" s="190">
        <v>6690</v>
      </c>
      <c r="L1004" s="114">
        <f t="shared" si="394"/>
        <v>401400</v>
      </c>
      <c r="M1004" s="168"/>
      <c r="P1004" s="160"/>
      <c r="Q1004" s="160"/>
      <c r="R1004" s="76" t="s">
        <v>88</v>
      </c>
      <c r="S1004" s="76" t="s">
        <v>1225</v>
      </c>
      <c r="T1004" s="387">
        <v>46267</v>
      </c>
      <c r="U1004" s="387">
        <f t="shared" si="396"/>
        <v>46327</v>
      </c>
      <c r="V1004" s="761">
        <f t="shared" ref="V1004:V1006" si="398">U1004</f>
        <v>46327</v>
      </c>
      <c r="W1004" s="76">
        <f t="shared" ref="W1004:W1006" si="399">V1004-U1004</f>
        <v>0</v>
      </c>
      <c r="X1004" s="133"/>
      <c r="Y1004" s="190">
        <v>60</v>
      </c>
      <c r="Z1004" s="155">
        <v>5410</v>
      </c>
      <c r="AA1004" s="114">
        <f t="shared" ref="AA1004:AA1006" si="400">Y1004*Z1004</f>
        <v>324600</v>
      </c>
      <c r="AB1004" s="155"/>
      <c r="AC1004" s="155"/>
      <c r="AD1004" s="163"/>
      <c r="AE1004" s="155"/>
      <c r="AF1004" s="155"/>
      <c r="AG1004" s="155"/>
      <c r="AH1004" s="155"/>
      <c r="AM1004" s="155"/>
      <c r="AN1004" s="155"/>
      <c r="AQ1004" s="760"/>
      <c r="AR1004" s="569"/>
      <c r="AS1004" s="569"/>
      <c r="AT1004" s="569"/>
      <c r="AW1004" s="569"/>
      <c r="AX1004" s="157"/>
      <c r="AY1004" s="155"/>
      <c r="AZ1004" s="168"/>
      <c r="BA1004" s="168"/>
      <c r="BB1004" s="168"/>
      <c r="BC1004" s="168"/>
      <c r="BI1004" s="169"/>
      <c r="BJ1004" s="160"/>
      <c r="BP1004" s="157"/>
      <c r="BQ1004" s="569"/>
    </row>
    <row r="1005" s="77" customFormat="1" customHeight="1" spans="1:69 16378:16379">
      <c r="A1005" s="76" t="s">
        <v>414</v>
      </c>
      <c r="B1005" s="76" t="s">
        <v>578</v>
      </c>
      <c r="C1005" s="569" t="s">
        <v>1222</v>
      </c>
      <c r="D1005" s="190" t="s">
        <v>1223</v>
      </c>
      <c r="E1005" s="190" t="s">
        <v>1226</v>
      </c>
      <c r="G1005" s="570"/>
      <c r="H1005" s="76" t="s">
        <v>75</v>
      </c>
      <c r="J1005" s="190">
        <v>40</v>
      </c>
      <c r="K1005" s="190">
        <v>6690</v>
      </c>
      <c r="L1005" s="114">
        <f t="shared" si="394"/>
        <v>267600</v>
      </c>
      <c r="M1005" s="168"/>
      <c r="P1005" s="160"/>
      <c r="Q1005" s="160"/>
      <c r="R1005" s="76" t="s">
        <v>88</v>
      </c>
      <c r="S1005" s="76" t="s">
        <v>1225</v>
      </c>
      <c r="T1005" s="387">
        <v>46267</v>
      </c>
      <c r="U1005" s="387">
        <f t="shared" si="396"/>
        <v>46327</v>
      </c>
      <c r="V1005" s="761">
        <f t="shared" si="398"/>
        <v>46327</v>
      </c>
      <c r="W1005" s="76">
        <f t="shared" si="399"/>
        <v>0</v>
      </c>
      <c r="X1005" s="133"/>
      <c r="Y1005" s="190">
        <v>40</v>
      </c>
      <c r="Z1005" s="155">
        <v>5410</v>
      </c>
      <c r="AA1005" s="114">
        <f t="shared" si="400"/>
        <v>216400</v>
      </c>
      <c r="AB1005" s="155"/>
      <c r="AC1005" s="155"/>
      <c r="AD1005" s="163"/>
      <c r="AE1005" s="155"/>
      <c r="AF1005" s="155"/>
      <c r="AG1005" s="155"/>
      <c r="AH1005" s="155"/>
      <c r="AM1005" s="155"/>
      <c r="AN1005" s="155"/>
      <c r="AQ1005" s="760"/>
      <c r="AR1005" s="569"/>
      <c r="AS1005" s="569"/>
      <c r="AT1005" s="569"/>
      <c r="AW1005" s="569"/>
      <c r="AX1005" s="157"/>
      <c r="AY1005" s="155"/>
      <c r="AZ1005" s="168"/>
      <c r="BA1005" s="168"/>
      <c r="BB1005" s="168"/>
      <c r="BC1005" s="168"/>
      <c r="BI1005" s="169"/>
      <c r="BJ1005" s="160"/>
      <c r="BP1005" s="157"/>
      <c r="BQ1005" s="569"/>
    </row>
    <row r="1006" s="77" customFormat="1" customHeight="1" spans="1:69 16378:16379">
      <c r="A1006" s="76" t="s">
        <v>414</v>
      </c>
      <c r="B1006" s="76" t="s">
        <v>578</v>
      </c>
      <c r="C1006" s="569" t="s">
        <v>1222</v>
      </c>
      <c r="D1006" s="190" t="s">
        <v>1223</v>
      </c>
      <c r="E1006" s="190" t="s">
        <v>1093</v>
      </c>
      <c r="G1006" s="570"/>
      <c r="H1006" s="76" t="s">
        <v>75</v>
      </c>
      <c r="J1006" s="190">
        <v>160</v>
      </c>
      <c r="K1006" s="190">
        <v>6640</v>
      </c>
      <c r="L1006" s="114">
        <f t="shared" si="394"/>
        <v>1062400</v>
      </c>
      <c r="M1006" s="168"/>
      <c r="P1006" s="160"/>
      <c r="Q1006" s="160"/>
      <c r="R1006" s="76" t="s">
        <v>88</v>
      </c>
      <c r="S1006" s="76" t="s">
        <v>1225</v>
      </c>
      <c r="T1006" s="387">
        <v>46267</v>
      </c>
      <c r="U1006" s="387">
        <f t="shared" si="396"/>
        <v>46327</v>
      </c>
      <c r="V1006" s="761">
        <f t="shared" si="398"/>
        <v>46327</v>
      </c>
      <c r="W1006" s="76">
        <f t="shared" si="399"/>
        <v>0</v>
      </c>
      <c r="X1006" s="133"/>
      <c r="Y1006" s="190">
        <v>160</v>
      </c>
      <c r="Z1006" s="155">
        <v>5400</v>
      </c>
      <c r="AA1006" s="114">
        <f t="shared" si="400"/>
        <v>864000</v>
      </c>
      <c r="AB1006" s="155"/>
      <c r="AC1006" s="155"/>
      <c r="AD1006" s="163"/>
      <c r="AE1006" s="155"/>
      <c r="AF1006" s="155"/>
      <c r="AG1006" s="155"/>
      <c r="AH1006" s="155"/>
      <c r="AM1006" s="155"/>
      <c r="AN1006" s="155"/>
      <c r="AQ1006" s="760"/>
      <c r="AR1006" s="569"/>
      <c r="AS1006" s="569"/>
      <c r="AT1006" s="569"/>
      <c r="AW1006" s="569"/>
      <c r="AX1006" s="157"/>
      <c r="AY1006" s="155"/>
      <c r="AZ1006" s="168"/>
      <c r="BA1006" s="168"/>
      <c r="BB1006" s="168"/>
      <c r="BC1006" s="168"/>
      <c r="BI1006" s="169"/>
      <c r="BJ1006" s="160"/>
      <c r="BP1006" s="157"/>
      <c r="BQ1006" s="569"/>
    </row>
    <row r="1007" s="422" customFormat="1" ht="14.4" spans="1:69 16378:16379">
      <c r="A1007" s="422" t="s">
        <v>414</v>
      </c>
      <c r="C1007" s="619"/>
      <c r="D1007" s="422" t="s">
        <v>1223</v>
      </c>
      <c r="G1007" s="686"/>
      <c r="H1007" s="422" t="s">
        <v>75</v>
      </c>
      <c r="J1007" s="687">
        <f>SUM(J1004:J1006)</f>
        <v>260</v>
      </c>
      <c r="K1007" s="687"/>
      <c r="L1007" s="687">
        <f>SUM(L1004:L1006)</f>
        <v>1731400</v>
      </c>
      <c r="M1007" s="693">
        <f t="shared" ref="J1007:O1007" si="401">SUM(M998:M1006)</f>
        <v>0</v>
      </c>
      <c r="N1007" s="693">
        <f t="shared" si="401"/>
        <v>2786920.1</v>
      </c>
      <c r="O1007" s="693">
        <f t="shared" si="401"/>
        <v>0</v>
      </c>
      <c r="R1007" s="79" t="s">
        <v>88</v>
      </c>
      <c r="T1007" s="688"/>
      <c r="U1007" s="688"/>
      <c r="V1007" s="688"/>
      <c r="X1007" s="689"/>
      <c r="Y1007" s="687">
        <f>SUM(Y1004:Y1006)</f>
        <v>260</v>
      </c>
      <c r="Z1007" s="690"/>
      <c r="AA1007" s="687">
        <f>SUM(AA1004:AA1006)</f>
        <v>1405000</v>
      </c>
      <c r="AB1007" s="690"/>
      <c r="AC1007" s="690"/>
      <c r="AD1007" s="692"/>
      <c r="AE1007" s="690"/>
      <c r="AF1007" s="690"/>
      <c r="AG1007" s="690"/>
      <c r="AH1007" s="690"/>
      <c r="AM1007" s="690"/>
      <c r="AN1007" s="690"/>
      <c r="AQ1007" s="619"/>
      <c r="AR1007" s="619"/>
      <c r="AS1007" s="688"/>
      <c r="AT1007" s="688"/>
      <c r="AW1007" s="688"/>
      <c r="AX1007" s="687"/>
      <c r="AY1007" s="690"/>
      <c r="AZ1007" s="693"/>
      <c r="BA1007" s="693"/>
      <c r="BB1007" s="693"/>
      <c r="BC1007" s="693"/>
      <c r="BI1007" s="743"/>
    </row>
    <row r="1008" s="77" customFormat="1" customHeight="1" spans="1:69 16378:16379">
      <c r="A1008" s="76" t="s">
        <v>414</v>
      </c>
      <c r="B1008" s="76" t="s">
        <v>578</v>
      </c>
      <c r="C1008" s="569" t="s">
        <v>1222</v>
      </c>
      <c r="D1008" s="190" t="s">
        <v>1227</v>
      </c>
      <c r="E1008" s="190" t="s">
        <v>1228</v>
      </c>
      <c r="G1008" s="570"/>
      <c r="H1008" s="76" t="s">
        <v>75</v>
      </c>
      <c r="J1008" s="190">
        <v>110</v>
      </c>
      <c r="K1008" s="190">
        <v>7010</v>
      </c>
      <c r="L1008" s="114">
        <f t="shared" ref="L1008:L1013" si="402">J1008*K1008</f>
        <v>771100</v>
      </c>
      <c r="M1008" s="168"/>
      <c r="P1008" s="160"/>
      <c r="Q1008" s="160"/>
      <c r="R1008" s="76" t="s">
        <v>88</v>
      </c>
      <c r="S1008" s="76" t="s">
        <v>1225</v>
      </c>
      <c r="T1008" s="387">
        <v>46267</v>
      </c>
      <c r="U1008" s="387">
        <f t="shared" ref="U1008:U1013" si="403">T1008+60</f>
        <v>46327</v>
      </c>
      <c r="V1008" s="761">
        <f t="shared" ref="V1008:V1013" si="404">U1008</f>
        <v>46327</v>
      </c>
      <c r="W1008" s="76">
        <f t="shared" ref="W1008:W1013" si="405">V1008-U1008</f>
        <v>0</v>
      </c>
      <c r="X1008" s="133"/>
      <c r="Y1008" s="190">
        <v>110</v>
      </c>
      <c r="Z1008" s="155">
        <v>5450</v>
      </c>
      <c r="AA1008" s="114">
        <f t="shared" ref="AA1008:AA1013" si="406">Y1008*Z1008</f>
        <v>599500</v>
      </c>
      <c r="AB1008" s="155"/>
      <c r="AC1008" s="155"/>
      <c r="AD1008" s="163"/>
      <c r="AE1008" s="155"/>
      <c r="AF1008" s="155"/>
      <c r="AG1008" s="155"/>
      <c r="AH1008" s="155"/>
      <c r="AM1008" s="155"/>
      <c r="AN1008" s="155"/>
      <c r="AQ1008" s="760"/>
      <c r="AR1008" s="569"/>
      <c r="AS1008" s="569"/>
      <c r="AT1008" s="569"/>
      <c r="AW1008" s="569"/>
      <c r="AX1008" s="157"/>
      <c r="AY1008" s="155"/>
      <c r="AZ1008" s="168"/>
      <c r="BA1008" s="168"/>
      <c r="BB1008" s="168"/>
      <c r="BC1008" s="168"/>
      <c r="BI1008" s="169"/>
      <c r="BJ1008" s="160"/>
      <c r="BP1008" s="157"/>
      <c r="BQ1008" s="569"/>
    </row>
    <row r="1009" s="77" customFormat="1" customHeight="1" spans="1:69">
      <c r="A1009" s="76" t="s">
        <v>414</v>
      </c>
      <c r="B1009" s="76" t="s">
        <v>578</v>
      </c>
      <c r="C1009" s="569" t="s">
        <v>1222</v>
      </c>
      <c r="D1009" s="190" t="s">
        <v>1227</v>
      </c>
      <c r="E1009" s="190" t="s">
        <v>1229</v>
      </c>
      <c r="G1009" s="570"/>
      <c r="H1009" s="76" t="s">
        <v>75</v>
      </c>
      <c r="J1009" s="190">
        <v>40</v>
      </c>
      <c r="K1009" s="190">
        <v>7260</v>
      </c>
      <c r="L1009" s="114">
        <f t="shared" si="402"/>
        <v>290400</v>
      </c>
      <c r="M1009" s="168"/>
      <c r="P1009" s="160"/>
      <c r="Q1009" s="160"/>
      <c r="R1009" s="76" t="s">
        <v>88</v>
      </c>
      <c r="S1009" s="76" t="s">
        <v>1225</v>
      </c>
      <c r="T1009" s="387">
        <v>46267</v>
      </c>
      <c r="U1009" s="387">
        <f t="shared" si="403"/>
        <v>46327</v>
      </c>
      <c r="V1009" s="761">
        <f t="shared" si="404"/>
        <v>46327</v>
      </c>
      <c r="W1009" s="76">
        <f t="shared" si="405"/>
        <v>0</v>
      </c>
      <c r="X1009" s="133"/>
      <c r="Y1009" s="190">
        <v>40</v>
      </c>
      <c r="Z1009" s="155">
        <v>5560</v>
      </c>
      <c r="AA1009" s="114">
        <f t="shared" si="406"/>
        <v>222400</v>
      </c>
      <c r="AB1009" s="155"/>
      <c r="AC1009" s="155"/>
      <c r="AD1009" s="163"/>
      <c r="AE1009" s="155"/>
      <c r="AF1009" s="155"/>
      <c r="AG1009" s="155"/>
      <c r="AH1009" s="155"/>
      <c r="AM1009" s="155"/>
      <c r="AN1009" s="155"/>
      <c r="AQ1009" s="760"/>
      <c r="AR1009" s="569"/>
      <c r="AS1009" s="569"/>
      <c r="AT1009" s="569"/>
      <c r="AW1009" s="569"/>
      <c r="AX1009" s="157"/>
      <c r="AY1009" s="155"/>
      <c r="AZ1009" s="168"/>
      <c r="BA1009" s="168"/>
      <c r="BB1009" s="168"/>
      <c r="BC1009" s="168"/>
      <c r="BI1009" s="169"/>
      <c r="BJ1009" s="160"/>
      <c r="BP1009" s="157"/>
      <c r="BQ1009" s="569"/>
    </row>
    <row r="1010" s="77" customFormat="1" customHeight="1" spans="1:69">
      <c r="A1010" s="76" t="s">
        <v>414</v>
      </c>
      <c r="B1010" s="76" t="s">
        <v>578</v>
      </c>
      <c r="C1010" s="569" t="s">
        <v>1222</v>
      </c>
      <c r="D1010" s="190" t="s">
        <v>1227</v>
      </c>
      <c r="E1010" s="190" t="s">
        <v>1230</v>
      </c>
      <c r="G1010" s="570"/>
      <c r="H1010" s="76" t="s">
        <v>75</v>
      </c>
      <c r="J1010" s="190">
        <v>100</v>
      </c>
      <c r="K1010" s="190">
        <v>7260</v>
      </c>
      <c r="L1010" s="114">
        <f t="shared" si="402"/>
        <v>726000</v>
      </c>
      <c r="M1010" s="168"/>
      <c r="P1010" s="160"/>
      <c r="Q1010" s="160"/>
      <c r="R1010" s="76" t="s">
        <v>88</v>
      </c>
      <c r="S1010" s="76" t="s">
        <v>1225</v>
      </c>
      <c r="T1010" s="387">
        <v>46267</v>
      </c>
      <c r="U1010" s="387">
        <f t="shared" si="403"/>
        <v>46327</v>
      </c>
      <c r="V1010" s="761">
        <f t="shared" si="404"/>
        <v>46327</v>
      </c>
      <c r="W1010" s="76">
        <f t="shared" si="405"/>
        <v>0</v>
      </c>
      <c r="X1010" s="133"/>
      <c r="Y1010" s="190">
        <v>100</v>
      </c>
      <c r="Z1010" s="155">
        <v>5560</v>
      </c>
      <c r="AA1010" s="114">
        <f t="shared" si="406"/>
        <v>556000</v>
      </c>
      <c r="AB1010" s="155"/>
      <c r="AC1010" s="155"/>
      <c r="AD1010" s="163"/>
      <c r="AE1010" s="155"/>
      <c r="AF1010" s="155"/>
      <c r="AG1010" s="155"/>
      <c r="AH1010" s="155"/>
      <c r="AM1010" s="155"/>
      <c r="AN1010" s="155"/>
      <c r="AQ1010" s="760"/>
      <c r="AR1010" s="569"/>
      <c r="AS1010" s="569"/>
      <c r="AT1010" s="569"/>
      <c r="AW1010" s="569"/>
      <c r="AX1010" s="157"/>
      <c r="AY1010" s="155"/>
      <c r="AZ1010" s="168"/>
      <c r="BA1010" s="168"/>
      <c r="BB1010" s="168"/>
      <c r="BC1010" s="168"/>
      <c r="BI1010" s="169"/>
      <c r="BJ1010" s="160"/>
      <c r="BP1010" s="157"/>
      <c r="BQ1010" s="569"/>
    </row>
    <row r="1011" s="77" customFormat="1" customHeight="1" spans="1:69">
      <c r="A1011" s="76" t="s">
        <v>414</v>
      </c>
      <c r="B1011" s="76" t="s">
        <v>578</v>
      </c>
      <c r="C1011" s="569" t="s">
        <v>1222</v>
      </c>
      <c r="D1011" s="190" t="s">
        <v>1227</v>
      </c>
      <c r="E1011" s="190" t="s">
        <v>1231</v>
      </c>
      <c r="G1011" s="570"/>
      <c r="H1011" s="76" t="s">
        <v>75</v>
      </c>
      <c r="J1011" s="190">
        <v>50</v>
      </c>
      <c r="K1011" s="190">
        <v>7260</v>
      </c>
      <c r="L1011" s="114">
        <f t="shared" si="402"/>
        <v>363000</v>
      </c>
      <c r="M1011" s="168"/>
      <c r="P1011" s="160"/>
      <c r="Q1011" s="160"/>
      <c r="R1011" s="76" t="s">
        <v>88</v>
      </c>
      <c r="S1011" s="76" t="s">
        <v>1225</v>
      </c>
      <c r="T1011" s="387">
        <v>46267</v>
      </c>
      <c r="U1011" s="387">
        <f t="shared" si="403"/>
        <v>46327</v>
      </c>
      <c r="V1011" s="761">
        <f t="shared" si="404"/>
        <v>46327</v>
      </c>
      <c r="W1011" s="76">
        <f t="shared" si="405"/>
        <v>0</v>
      </c>
      <c r="X1011" s="133"/>
      <c r="Y1011" s="190">
        <v>50</v>
      </c>
      <c r="Z1011" s="155">
        <v>5560</v>
      </c>
      <c r="AA1011" s="114">
        <f t="shared" si="406"/>
        <v>278000</v>
      </c>
      <c r="AB1011" s="155"/>
      <c r="AC1011" s="155"/>
      <c r="AD1011" s="163"/>
      <c r="AE1011" s="155"/>
      <c r="AF1011" s="155"/>
      <c r="AG1011" s="155"/>
      <c r="AH1011" s="155"/>
      <c r="AM1011" s="155"/>
      <c r="AN1011" s="155"/>
      <c r="AQ1011" s="760"/>
      <c r="AR1011" s="569"/>
      <c r="AS1011" s="569"/>
      <c r="AT1011" s="569"/>
      <c r="AW1011" s="569"/>
      <c r="AX1011" s="157"/>
      <c r="AY1011" s="155"/>
      <c r="AZ1011" s="168"/>
      <c r="BA1011" s="168"/>
      <c r="BB1011" s="168"/>
      <c r="BC1011" s="168"/>
      <c r="BI1011" s="169"/>
      <c r="BJ1011" s="160"/>
      <c r="BP1011" s="157"/>
      <c r="BQ1011" s="569"/>
    </row>
    <row r="1012" s="77" customFormat="1" customHeight="1" spans="1:69">
      <c r="A1012" s="76" t="s">
        <v>414</v>
      </c>
      <c r="B1012" s="76" t="s">
        <v>578</v>
      </c>
      <c r="C1012" s="569" t="s">
        <v>1222</v>
      </c>
      <c r="D1012" s="190" t="s">
        <v>1227</v>
      </c>
      <c r="E1012" s="190" t="s">
        <v>1232</v>
      </c>
      <c r="G1012" s="570"/>
      <c r="H1012" s="76" t="s">
        <v>75</v>
      </c>
      <c r="J1012" s="190">
        <v>55</v>
      </c>
      <c r="K1012" s="190">
        <v>7260</v>
      </c>
      <c r="L1012" s="114">
        <f t="shared" si="402"/>
        <v>399300</v>
      </c>
      <c r="M1012" s="168"/>
      <c r="P1012" s="160"/>
      <c r="Q1012" s="160"/>
      <c r="R1012" s="76" t="s">
        <v>88</v>
      </c>
      <c r="S1012" s="76" t="s">
        <v>1225</v>
      </c>
      <c r="T1012" s="387">
        <v>46267</v>
      </c>
      <c r="U1012" s="387">
        <f t="shared" si="403"/>
        <v>46327</v>
      </c>
      <c r="V1012" s="761">
        <f t="shared" si="404"/>
        <v>46327</v>
      </c>
      <c r="W1012" s="76">
        <f t="shared" si="405"/>
        <v>0</v>
      </c>
      <c r="X1012" s="133"/>
      <c r="Y1012" s="190">
        <v>55</v>
      </c>
      <c r="Z1012" s="155">
        <v>5560</v>
      </c>
      <c r="AA1012" s="114">
        <f t="shared" si="406"/>
        <v>305800</v>
      </c>
      <c r="AB1012" s="155"/>
      <c r="AC1012" s="155"/>
      <c r="AD1012" s="163"/>
      <c r="AE1012" s="155"/>
      <c r="AF1012" s="155"/>
      <c r="AG1012" s="155"/>
      <c r="AH1012" s="155"/>
      <c r="AM1012" s="155"/>
      <c r="AN1012" s="155"/>
      <c r="AQ1012" s="760"/>
      <c r="AR1012" s="569"/>
      <c r="AS1012" s="569"/>
      <c r="AT1012" s="569"/>
      <c r="AW1012" s="569"/>
      <c r="AX1012" s="157"/>
      <c r="AY1012" s="155"/>
      <c r="AZ1012" s="168"/>
      <c r="BA1012" s="168"/>
      <c r="BB1012" s="168"/>
      <c r="BC1012" s="168"/>
      <c r="BI1012" s="169"/>
      <c r="BJ1012" s="160"/>
      <c r="BP1012" s="157"/>
      <c r="BQ1012" s="569"/>
    </row>
    <row r="1013" s="77" customFormat="1" customHeight="1" spans="1:69">
      <c r="A1013" s="76" t="s">
        <v>414</v>
      </c>
      <c r="B1013" s="76" t="s">
        <v>578</v>
      </c>
      <c r="C1013" s="569" t="s">
        <v>1222</v>
      </c>
      <c r="D1013" s="190" t="s">
        <v>1227</v>
      </c>
      <c r="E1013" s="190" t="s">
        <v>1233</v>
      </c>
      <c r="G1013" s="570"/>
      <c r="H1013" s="76" t="s">
        <v>75</v>
      </c>
      <c r="J1013" s="190">
        <v>45</v>
      </c>
      <c r="K1013" s="190">
        <v>7260</v>
      </c>
      <c r="L1013" s="114">
        <f t="shared" si="402"/>
        <v>326700</v>
      </c>
      <c r="M1013" s="168"/>
      <c r="P1013" s="160"/>
      <c r="Q1013" s="160"/>
      <c r="R1013" s="76" t="s">
        <v>88</v>
      </c>
      <c r="S1013" s="76" t="s">
        <v>1225</v>
      </c>
      <c r="T1013" s="387">
        <v>46267</v>
      </c>
      <c r="U1013" s="387">
        <f t="shared" si="403"/>
        <v>46327</v>
      </c>
      <c r="V1013" s="761">
        <f t="shared" si="404"/>
        <v>46327</v>
      </c>
      <c r="W1013" s="76">
        <f t="shared" si="405"/>
        <v>0</v>
      </c>
      <c r="X1013" s="133"/>
      <c r="Y1013" s="190">
        <v>45</v>
      </c>
      <c r="Z1013" s="155">
        <v>5560</v>
      </c>
      <c r="AA1013" s="114">
        <f t="shared" si="406"/>
        <v>250200</v>
      </c>
      <c r="AB1013" s="155"/>
      <c r="AC1013" s="155"/>
      <c r="AD1013" s="163"/>
      <c r="AE1013" s="155"/>
      <c r="AF1013" s="155"/>
      <c r="AG1013" s="155"/>
      <c r="AH1013" s="155"/>
      <c r="AM1013" s="155"/>
      <c r="AN1013" s="155"/>
      <c r="AQ1013" s="760"/>
      <c r="AR1013" s="569"/>
      <c r="AS1013" s="569"/>
      <c r="AT1013" s="569"/>
      <c r="AW1013" s="569"/>
      <c r="AX1013" s="157"/>
      <c r="AY1013" s="155"/>
      <c r="AZ1013" s="168"/>
      <c r="BA1013" s="168"/>
      <c r="BB1013" s="168"/>
      <c r="BC1013" s="168"/>
      <c r="BI1013" s="169"/>
      <c r="BJ1013" s="160"/>
      <c r="BP1013" s="157"/>
      <c r="BQ1013" s="569"/>
    </row>
    <row r="1014" s="422" customFormat="1" ht="14.4" spans="1:69">
      <c r="A1014" s="422" t="s">
        <v>414</v>
      </c>
      <c r="C1014" s="619"/>
      <c r="D1014" s="422" t="s">
        <v>1227</v>
      </c>
      <c r="G1014" s="686"/>
      <c r="H1014" s="422" t="s">
        <v>75</v>
      </c>
      <c r="J1014" s="687">
        <f>SUM(J1008:J1013)</f>
        <v>400</v>
      </c>
      <c r="K1014" s="687"/>
      <c r="L1014" s="687">
        <f>SUM(L1008:L1013)</f>
        <v>2876500</v>
      </c>
      <c r="M1014" s="693">
        <f t="shared" ref="J1014:O1014" si="407">SUM(M1005:M1013)</f>
        <v>0</v>
      </c>
      <c r="N1014" s="693">
        <f t="shared" si="407"/>
        <v>2786920.1</v>
      </c>
      <c r="O1014" s="693">
        <f t="shared" si="407"/>
        <v>0</v>
      </c>
      <c r="R1014" s="79" t="s">
        <v>88</v>
      </c>
      <c r="T1014" s="688"/>
      <c r="U1014" s="688"/>
      <c r="V1014" s="688"/>
      <c r="X1014" s="689"/>
      <c r="Y1014" s="687">
        <f>SUM(Y1008:Y1013)</f>
        <v>400</v>
      </c>
      <c r="Z1014" s="690"/>
      <c r="AA1014" s="687">
        <f>SUM(AA1008:AA1013)</f>
        <v>2211900</v>
      </c>
      <c r="AB1014" s="690"/>
      <c r="AC1014" s="690"/>
      <c r="AD1014" s="692"/>
      <c r="AE1014" s="690"/>
      <c r="AF1014" s="690"/>
      <c r="AG1014" s="690"/>
      <c r="AH1014" s="690"/>
      <c r="AM1014" s="690"/>
      <c r="AN1014" s="690"/>
      <c r="AQ1014" s="619"/>
      <c r="AR1014" s="619"/>
      <c r="AS1014" s="688"/>
      <c r="AT1014" s="688"/>
      <c r="AW1014" s="688"/>
      <c r="AX1014" s="687"/>
      <c r="AY1014" s="690"/>
      <c r="AZ1014" s="693"/>
      <c r="BA1014" s="693"/>
      <c r="BB1014" s="693"/>
      <c r="BC1014" s="693"/>
      <c r="BI1014" s="743"/>
    </row>
    <row r="1015" s="76" customFormat="1" customHeight="1" spans="1:69">
      <c r="A1015" s="76" t="s">
        <v>71</v>
      </c>
      <c r="C1015" s="387"/>
      <c r="D1015" s="76" t="s">
        <v>1234</v>
      </c>
      <c r="E1015" s="76" t="s">
        <v>1235</v>
      </c>
      <c r="G1015" s="479"/>
      <c r="H1015" s="76" t="s">
        <v>71</v>
      </c>
      <c r="J1015" s="76">
        <v>23524800</v>
      </c>
      <c r="K1015" s="143">
        <v>0.123</v>
      </c>
      <c r="L1015" s="129">
        <f t="shared" ref="L1015:L1019" si="408">J1015*K1015</f>
        <v>2893550.4</v>
      </c>
      <c r="M1015" s="129"/>
      <c r="O1015" s="76">
        <f t="shared" ref="O1015:O1019" si="409">L1015-N1015</f>
        <v>2893550.4</v>
      </c>
      <c r="P1015" s="91"/>
      <c r="Q1015" s="91"/>
      <c r="R1015" s="76" t="s">
        <v>88</v>
      </c>
      <c r="S1015" s="76" t="s">
        <v>472</v>
      </c>
      <c r="T1015" s="387">
        <v>45698</v>
      </c>
      <c r="U1015" s="387" t="s">
        <v>1236</v>
      </c>
      <c r="V1015" s="745"/>
      <c r="X1015" s="133"/>
      <c r="Y1015" s="76">
        <v>23524800</v>
      </c>
      <c r="Z1015" s="263">
        <v>0.1322</v>
      </c>
      <c r="AA1015" s="114">
        <f t="shared" ref="AA1015:AA1019" si="410">Y1015*Z1015</f>
        <v>3109978.56</v>
      </c>
      <c r="AB1015" s="114"/>
      <c r="AC1015" s="114"/>
      <c r="AD1015" s="140"/>
      <c r="AE1015" s="114"/>
      <c r="AF1015" s="114"/>
      <c r="AG1015" s="114"/>
      <c r="AH1015" s="114"/>
      <c r="AM1015" s="114"/>
      <c r="AN1015" s="114"/>
      <c r="AQ1015" s="746"/>
      <c r="AR1015" s="387">
        <f t="shared" ref="AR1015:AR1019" si="411">V1015-30</f>
        <v>-30</v>
      </c>
      <c r="AS1015" s="387"/>
      <c r="AT1015" s="387"/>
      <c r="AW1015" s="387"/>
      <c r="AX1015" s="129"/>
      <c r="AY1015" s="114"/>
      <c r="AZ1015" s="127"/>
      <c r="BA1015" s="127"/>
      <c r="BB1015" s="127"/>
      <c r="BC1015" s="127"/>
      <c r="BI1015" s="75"/>
      <c r="BJ1015" s="91"/>
      <c r="BL1015" s="76" t="str">
        <f t="shared" ref="BL1015:BL1023" si="412">D1015</f>
        <v>INTW-27</v>
      </c>
      <c r="BM1015" s="76" t="str">
        <f t="shared" ref="BM1015:BM1023" si="413">A1015</f>
        <v>INDEX</v>
      </c>
      <c r="BN1015" s="387">
        <f t="shared" ref="BN1015:BN1019" si="414">C1015</f>
        <v>0</v>
      </c>
      <c r="BO1015" s="76" t="str">
        <f t="shared" ref="BO1015:BO1019" si="415">E1015</f>
        <v>73mm #300 T4 0.19 EOE</v>
      </c>
      <c r="BP1015" s="264">
        <f t="shared" ref="BP1015:BP1023" si="416">J1015</f>
        <v>23524800</v>
      </c>
      <c r="BQ1015" s="387" t="str">
        <f t="shared" ref="BQ1015:BQ1023" si="417">U1015</f>
        <v>Batch by batch</v>
      </c>
    </row>
    <row r="1016" s="79" customFormat="1" customHeight="1" spans="1:69">
      <c r="A1016" s="79" t="s">
        <v>71</v>
      </c>
      <c r="C1016" s="463"/>
      <c r="D1016" s="79" t="s">
        <v>1234</v>
      </c>
      <c r="G1016" s="486"/>
      <c r="H1016" s="79" t="s">
        <v>71</v>
      </c>
      <c r="J1016" s="579">
        <f t="shared" ref="J1016:N1016" si="418">SUM(J1015)</f>
        <v>23524800</v>
      </c>
      <c r="K1016" s="194"/>
      <c r="L1016" s="748">
        <f t="shared" si="418"/>
        <v>2893550.4</v>
      </c>
      <c r="M1016" s="194"/>
      <c r="N1016" s="79">
        <f t="shared" si="418"/>
        <v>0</v>
      </c>
      <c r="R1016" s="463" t="s">
        <v>88</v>
      </c>
      <c r="T1016" s="463"/>
      <c r="U1016" s="463"/>
      <c r="V1016" s="463"/>
      <c r="X1016" s="193"/>
      <c r="Y1016" s="79">
        <f t="shared" ref="Y1016:Y1020" si="419">SUM(Y1015)</f>
        <v>23524800</v>
      </c>
      <c r="Z1016" s="192"/>
      <c r="AA1016" s="79">
        <f t="shared" ref="AA1016:AA1020" si="420">SUM(AA1015)</f>
        <v>3109978.56</v>
      </c>
      <c r="AB1016" s="192"/>
      <c r="AC1016" s="192"/>
      <c r="AD1016" s="196"/>
      <c r="AE1016" s="192"/>
      <c r="AF1016" s="192"/>
      <c r="AG1016" s="192"/>
      <c r="AH1016" s="192"/>
      <c r="AM1016" s="192"/>
      <c r="AN1016" s="192"/>
      <c r="AQ1016" s="463"/>
      <c r="AR1016" s="463"/>
      <c r="AS1016" s="463"/>
      <c r="AT1016" s="463"/>
      <c r="AW1016" s="463"/>
      <c r="AX1016" s="194"/>
      <c r="AY1016" s="192"/>
      <c r="AZ1016" s="150"/>
      <c r="BA1016" s="150"/>
      <c r="BB1016" s="150"/>
      <c r="BC1016" s="150"/>
      <c r="BI1016" s="151"/>
      <c r="BL1016" s="79" t="str">
        <f t="shared" si="412"/>
        <v>INTW-27</v>
      </c>
      <c r="BM1016" s="79" t="str">
        <f t="shared" si="413"/>
        <v>INDEX</v>
      </c>
      <c r="BP1016" s="79">
        <f t="shared" si="416"/>
        <v>23524800</v>
      </c>
      <c r="BQ1016" s="79">
        <f t="shared" si="417"/>
        <v>0</v>
      </c>
    </row>
    <row r="1017" s="76" customFormat="1" customHeight="1" spans="1:69">
      <c r="A1017" s="76" t="s">
        <v>71</v>
      </c>
      <c r="C1017" s="387"/>
      <c r="D1017" s="76" t="s">
        <v>1237</v>
      </c>
      <c r="E1017" s="76" t="s">
        <v>1238</v>
      </c>
      <c r="G1017" s="479"/>
      <c r="H1017" s="76" t="s">
        <v>71</v>
      </c>
      <c r="J1017" s="762">
        <v>4640000</v>
      </c>
      <c r="K1017" s="143">
        <v>0.15244</v>
      </c>
      <c r="L1017" s="129">
        <f t="shared" si="408"/>
        <v>707321.6</v>
      </c>
      <c r="M1017" s="129"/>
      <c r="O1017" s="76">
        <f t="shared" si="409"/>
        <v>707321.6</v>
      </c>
      <c r="P1017" s="91"/>
      <c r="Q1017" s="91"/>
      <c r="R1017" s="76" t="s">
        <v>88</v>
      </c>
      <c r="S1017" s="76" t="s">
        <v>916</v>
      </c>
      <c r="T1017" s="387">
        <v>45994</v>
      </c>
      <c r="U1017" s="387" t="s">
        <v>1236</v>
      </c>
      <c r="V1017" s="745"/>
      <c r="X1017" s="133"/>
      <c r="Y1017" s="762">
        <v>4640000</v>
      </c>
      <c r="Z1017" s="263">
        <v>0.16</v>
      </c>
      <c r="AA1017" s="114">
        <f t="shared" si="410"/>
        <v>742400</v>
      </c>
      <c r="AB1017" s="114"/>
      <c r="AC1017" s="114"/>
      <c r="AD1017" s="140"/>
      <c r="AE1017" s="114"/>
      <c r="AF1017" s="114"/>
      <c r="AG1017" s="114"/>
      <c r="AH1017" s="114"/>
      <c r="AM1017" s="114"/>
      <c r="AN1017" s="114"/>
      <c r="AQ1017" s="746"/>
      <c r="AR1017" s="387">
        <f t="shared" si="411"/>
        <v>-30</v>
      </c>
      <c r="AS1017" s="387"/>
      <c r="AT1017" s="387"/>
      <c r="AW1017" s="387"/>
      <c r="AX1017" s="129"/>
      <c r="AY1017" s="114"/>
      <c r="AZ1017" s="127"/>
      <c r="BA1017" s="127"/>
      <c r="BB1017" s="127"/>
      <c r="BC1017" s="127"/>
      <c r="BI1017" s="75"/>
      <c r="BJ1017" s="91"/>
      <c r="BL1017" s="76" t="str">
        <f t="shared" si="412"/>
        <v>INTW-28</v>
      </c>
      <c r="BM1017" s="76" t="str">
        <f t="shared" si="413"/>
        <v>INDEX</v>
      </c>
      <c r="BN1017" s="387">
        <f t="shared" si="414"/>
        <v>0</v>
      </c>
      <c r="BO1017" s="76" t="str">
        <f t="shared" si="415"/>
        <v>99mm 0.20 #401 T4 SE*2</v>
      </c>
      <c r="BP1017" s="264">
        <f t="shared" si="416"/>
        <v>4640000</v>
      </c>
      <c r="BQ1017" s="387" t="str">
        <f t="shared" si="417"/>
        <v>Batch by batch</v>
      </c>
    </row>
    <row r="1018" s="79" customFormat="1" customHeight="1" spans="1:69">
      <c r="A1018" s="79" t="s">
        <v>71</v>
      </c>
      <c r="C1018" s="463"/>
      <c r="D1018" s="79" t="s">
        <v>1237</v>
      </c>
      <c r="G1018" s="486"/>
      <c r="H1018" s="79" t="s">
        <v>71</v>
      </c>
      <c r="J1018" s="579">
        <f t="shared" ref="J1018:N1018" si="421">SUM(J1017)</f>
        <v>4640000</v>
      </c>
      <c r="K1018" s="194"/>
      <c r="L1018" s="748">
        <f t="shared" si="421"/>
        <v>707321.6</v>
      </c>
      <c r="M1018" s="194"/>
      <c r="N1018" s="79">
        <f t="shared" si="421"/>
        <v>0</v>
      </c>
      <c r="R1018" s="463" t="s">
        <v>88</v>
      </c>
      <c r="T1018" s="463"/>
      <c r="U1018" s="463"/>
      <c r="V1018" s="463"/>
      <c r="X1018" s="193"/>
      <c r="Y1018" s="79">
        <f t="shared" si="419"/>
        <v>4640000</v>
      </c>
      <c r="Z1018" s="192"/>
      <c r="AA1018" s="79">
        <f t="shared" si="420"/>
        <v>742400</v>
      </c>
      <c r="AB1018" s="192"/>
      <c r="AC1018" s="192"/>
      <c r="AD1018" s="196"/>
      <c r="AE1018" s="192"/>
      <c r="AF1018" s="192"/>
      <c r="AG1018" s="192"/>
      <c r="AH1018" s="192"/>
      <c r="AM1018" s="192"/>
      <c r="AN1018" s="192"/>
      <c r="AQ1018" s="463"/>
      <c r="AR1018" s="463"/>
      <c r="AS1018" s="463"/>
      <c r="AT1018" s="463"/>
      <c r="AW1018" s="463"/>
      <c r="AX1018" s="194"/>
      <c r="AY1018" s="192"/>
      <c r="AZ1018" s="150"/>
      <c r="BA1018" s="150"/>
      <c r="BB1018" s="150"/>
      <c r="BC1018" s="150"/>
      <c r="BI1018" s="151"/>
      <c r="BL1018" s="79" t="str">
        <f t="shared" si="412"/>
        <v>INTW-28</v>
      </c>
      <c r="BM1018" s="79" t="str">
        <f t="shared" si="413"/>
        <v>INDEX</v>
      </c>
      <c r="BP1018" s="79">
        <f t="shared" si="416"/>
        <v>4640000</v>
      </c>
      <c r="BQ1018" s="79">
        <f t="shared" si="417"/>
        <v>0</v>
      </c>
    </row>
    <row r="1019" s="76" customFormat="1" customHeight="1" spans="1:69">
      <c r="A1019" s="76" t="s">
        <v>71</v>
      </c>
      <c r="C1019" s="387"/>
      <c r="D1019" s="76" t="s">
        <v>1239</v>
      </c>
      <c r="E1019" s="76" t="s">
        <v>1240</v>
      </c>
      <c r="G1019" s="479"/>
      <c r="H1019" s="76" t="s">
        <v>71</v>
      </c>
      <c r="J1019" s="762">
        <f>3920800</f>
        <v>3920800</v>
      </c>
      <c r="K1019" s="143">
        <v>0.13355</v>
      </c>
      <c r="L1019" s="129">
        <f t="shared" si="408"/>
        <v>523622.84</v>
      </c>
      <c r="M1019" s="129"/>
      <c r="O1019" s="76">
        <f t="shared" si="409"/>
        <v>523622.84</v>
      </c>
      <c r="P1019" s="91"/>
      <c r="Q1019" s="91"/>
      <c r="R1019" s="76" t="s">
        <v>88</v>
      </c>
      <c r="S1019" s="76" t="s">
        <v>1241</v>
      </c>
      <c r="T1019" s="387">
        <v>46276</v>
      </c>
      <c r="U1019" s="387"/>
      <c r="V1019" s="745"/>
      <c r="W1019" s="76">
        <f>V1019-U1019</f>
        <v>0</v>
      </c>
      <c r="X1019" s="133"/>
      <c r="Y1019" s="762">
        <f>3920800</f>
        <v>3920800</v>
      </c>
      <c r="Z1019" s="263">
        <v>0.145</v>
      </c>
      <c r="AA1019" s="114">
        <f t="shared" si="410"/>
        <v>568516</v>
      </c>
      <c r="AB1019" s="114"/>
      <c r="AC1019" s="114"/>
      <c r="AD1019" s="140"/>
      <c r="AE1019" s="114"/>
      <c r="AF1019" s="114"/>
      <c r="AG1019" s="114"/>
      <c r="AH1019" s="114"/>
      <c r="AM1019" s="114"/>
      <c r="AN1019" s="114"/>
      <c r="AQ1019" s="746"/>
      <c r="AR1019" s="387">
        <f t="shared" si="411"/>
        <v>-30</v>
      </c>
      <c r="AS1019" s="387"/>
      <c r="AT1019" s="387"/>
      <c r="AW1019" s="387"/>
      <c r="AX1019" s="129"/>
      <c r="AY1019" s="114"/>
      <c r="AZ1019" s="127"/>
      <c r="BA1019" s="127"/>
      <c r="BB1019" s="127"/>
      <c r="BC1019" s="127"/>
      <c r="BI1019" s="75"/>
      <c r="BJ1019" s="91"/>
      <c r="BL1019" s="76" t="str">
        <f t="shared" si="412"/>
        <v>INTW-30</v>
      </c>
      <c r="BM1019" s="76" t="str">
        <f t="shared" si="413"/>
        <v>INDEX</v>
      </c>
      <c r="BN1019" s="387">
        <f t="shared" si="414"/>
        <v>0</v>
      </c>
      <c r="BO1019" s="76" t="str">
        <f t="shared" si="415"/>
        <v>73mm #300 T5 0.20 EOE</v>
      </c>
      <c r="BP1019" s="264">
        <f t="shared" si="416"/>
        <v>3920800</v>
      </c>
      <c r="BQ1019" s="387">
        <f t="shared" si="417"/>
        <v>0</v>
      </c>
    </row>
    <row r="1020" s="79" customFormat="1" customHeight="1" spans="1:69">
      <c r="A1020" s="79" t="s">
        <v>71</v>
      </c>
      <c r="C1020" s="463"/>
      <c r="D1020" s="79" t="s">
        <v>1239</v>
      </c>
      <c r="G1020" s="486"/>
      <c r="H1020" s="79" t="s">
        <v>71</v>
      </c>
      <c r="J1020" s="579">
        <f t="shared" ref="J1020:N1020" si="422">SUM(J1019)</f>
        <v>3920800</v>
      </c>
      <c r="K1020" s="194"/>
      <c r="L1020" s="748">
        <f t="shared" si="422"/>
        <v>523622.84</v>
      </c>
      <c r="M1020" s="194"/>
      <c r="N1020" s="79">
        <f t="shared" si="422"/>
        <v>0</v>
      </c>
      <c r="R1020" s="463" t="s">
        <v>88</v>
      </c>
      <c r="T1020" s="463"/>
      <c r="U1020" s="463"/>
      <c r="V1020" s="463"/>
      <c r="X1020" s="193"/>
      <c r="Y1020" s="79">
        <f t="shared" si="419"/>
        <v>3920800</v>
      </c>
      <c r="Z1020" s="192"/>
      <c r="AA1020" s="79">
        <f t="shared" si="420"/>
        <v>568516</v>
      </c>
      <c r="AB1020" s="192"/>
      <c r="AC1020" s="192"/>
      <c r="AD1020" s="196"/>
      <c r="AE1020" s="192"/>
      <c r="AF1020" s="192"/>
      <c r="AG1020" s="192"/>
      <c r="AH1020" s="192"/>
      <c r="AM1020" s="192"/>
      <c r="AN1020" s="192"/>
      <c r="AQ1020" s="463"/>
      <c r="AR1020" s="463"/>
      <c r="AS1020" s="463"/>
      <c r="AT1020" s="463"/>
      <c r="AW1020" s="463"/>
      <c r="AX1020" s="194"/>
      <c r="AY1020" s="192"/>
      <c r="AZ1020" s="150"/>
      <c r="BA1020" s="150"/>
      <c r="BB1020" s="150"/>
      <c r="BC1020" s="150"/>
      <c r="BI1020" s="151"/>
      <c r="BL1020" s="79" t="str">
        <f t="shared" si="412"/>
        <v>INTW-30</v>
      </c>
      <c r="BM1020" s="79" t="str">
        <f t="shared" si="413"/>
        <v>INDEX</v>
      </c>
      <c r="BP1020" s="79">
        <f t="shared" si="416"/>
        <v>3920800</v>
      </c>
      <c r="BQ1020" s="79">
        <f t="shared" si="417"/>
        <v>0</v>
      </c>
    </row>
    <row r="1021" s="76" customFormat="1" customHeight="1" spans="1:69">
      <c r="A1021" s="76" t="s">
        <v>71</v>
      </c>
      <c r="C1021" s="387"/>
      <c r="D1021" s="76" t="s">
        <v>1242</v>
      </c>
      <c r="E1021" s="76" t="s">
        <v>1240</v>
      </c>
      <c r="G1021" s="479"/>
      <c r="H1021" s="76" t="s">
        <v>71</v>
      </c>
      <c r="J1021" s="762">
        <f>98020</f>
        <v>98020</v>
      </c>
      <c r="K1021" s="143">
        <v>0.13355</v>
      </c>
      <c r="L1021" s="129">
        <f t="shared" ref="L1021:L1028" si="423">J1021*K1021</f>
        <v>13090.571</v>
      </c>
      <c r="M1021" s="129"/>
      <c r="O1021" s="76">
        <f>L1021-N1021</f>
        <v>13090.571</v>
      </c>
      <c r="P1021" s="91"/>
      <c r="Q1021" s="91"/>
      <c r="R1021" s="76" t="s">
        <v>88</v>
      </c>
      <c r="S1021" s="76" t="s">
        <v>1243</v>
      </c>
      <c r="T1021" s="387">
        <v>46260</v>
      </c>
      <c r="U1021" s="387">
        <f>T1021+15</f>
        <v>46275</v>
      </c>
      <c r="V1021" s="746">
        <v>46275</v>
      </c>
      <c r="W1021" s="76">
        <f t="shared" ref="W1021:W1028" si="424">V1021-U1021</f>
        <v>0</v>
      </c>
      <c r="X1021" s="133"/>
      <c r="Y1021" s="762">
        <f>98020</f>
        <v>98020</v>
      </c>
      <c r="Z1021" s="263">
        <v>0.145</v>
      </c>
      <c r="AA1021" s="114">
        <f t="shared" ref="AA1021:AA1028" si="425">Y1021*Z1021</f>
        <v>14212.9</v>
      </c>
      <c r="AB1021" s="114"/>
      <c r="AC1021" s="114"/>
      <c r="AD1021" s="140"/>
      <c r="AE1021" s="114"/>
      <c r="AF1021" s="114"/>
      <c r="AG1021" s="114"/>
      <c r="AH1021" s="114"/>
      <c r="AM1021" s="114"/>
      <c r="AN1021" s="114"/>
      <c r="AQ1021" s="746"/>
      <c r="AR1021" s="387">
        <f t="shared" ref="AR1021:AR1028" si="426">V1021-30</f>
        <v>46245</v>
      </c>
      <c r="AS1021" s="387"/>
      <c r="AT1021" s="387"/>
      <c r="AW1021" s="387"/>
      <c r="AX1021" s="129"/>
      <c r="AY1021" s="114"/>
      <c r="AZ1021" s="127"/>
      <c r="BA1021" s="127"/>
      <c r="BB1021" s="127"/>
      <c r="BC1021" s="127"/>
      <c r="BI1021" s="75"/>
      <c r="BJ1021" s="91"/>
      <c r="BL1021" s="76" t="str">
        <f t="shared" si="412"/>
        <v>INTW-33</v>
      </c>
      <c r="BM1021" s="76" t="str">
        <f t="shared" si="413"/>
        <v>INDEX</v>
      </c>
      <c r="BN1021" s="387">
        <f>C1021</f>
        <v>0</v>
      </c>
      <c r="BO1021" s="76" t="str">
        <f t="shared" ref="BO1021:BO1032" si="427">E1021</f>
        <v>73mm #300 T5 0.20 EOE</v>
      </c>
      <c r="BP1021" s="264">
        <f t="shared" si="416"/>
        <v>98020</v>
      </c>
      <c r="BQ1021" s="387">
        <f t="shared" si="417"/>
        <v>46275</v>
      </c>
    </row>
    <row r="1022" s="79" customFormat="1" customHeight="1" spans="1:69">
      <c r="A1022" s="79" t="s">
        <v>71</v>
      </c>
      <c r="C1022" s="463"/>
      <c r="D1022" s="79" t="s">
        <v>1242</v>
      </c>
      <c r="G1022" s="486"/>
      <c r="H1022" s="79" t="s">
        <v>71</v>
      </c>
      <c r="J1022" s="579">
        <f t="shared" ref="J1022:N1022" si="428">SUM(J1021)</f>
        <v>98020</v>
      </c>
      <c r="K1022" s="194"/>
      <c r="L1022" s="748">
        <f t="shared" si="428"/>
        <v>13090.571</v>
      </c>
      <c r="M1022" s="194"/>
      <c r="N1022" s="79">
        <f t="shared" si="428"/>
        <v>0</v>
      </c>
      <c r="R1022" s="463" t="s">
        <v>88</v>
      </c>
      <c r="T1022" s="463"/>
      <c r="U1022" s="463"/>
      <c r="V1022" s="463"/>
      <c r="X1022" s="193"/>
      <c r="Y1022" s="79">
        <f>SUM(Y1021)</f>
        <v>98020</v>
      </c>
      <c r="Z1022" s="192"/>
      <c r="AA1022" s="79">
        <f>SUM(AA1021)</f>
        <v>14212.9</v>
      </c>
      <c r="AB1022" s="192"/>
      <c r="AC1022" s="192"/>
      <c r="AD1022" s="196"/>
      <c r="AE1022" s="192"/>
      <c r="AF1022" s="192"/>
      <c r="AG1022" s="192"/>
      <c r="AH1022" s="192"/>
      <c r="AM1022" s="192"/>
      <c r="AN1022" s="192"/>
      <c r="AQ1022" s="463"/>
      <c r="AR1022" s="463"/>
      <c r="AS1022" s="463"/>
      <c r="AT1022" s="463"/>
      <c r="AW1022" s="463"/>
      <c r="AX1022" s="194"/>
      <c r="AY1022" s="192"/>
      <c r="AZ1022" s="150"/>
      <c r="BA1022" s="150"/>
      <c r="BB1022" s="150"/>
      <c r="BC1022" s="150"/>
      <c r="BI1022" s="151"/>
      <c r="BL1022" s="79" t="str">
        <f t="shared" si="412"/>
        <v>INTW-33</v>
      </c>
      <c r="BM1022" s="79" t="str">
        <f t="shared" si="413"/>
        <v>INDEX</v>
      </c>
      <c r="BP1022" s="79">
        <f t="shared" si="416"/>
        <v>98020</v>
      </c>
      <c r="BQ1022" s="79">
        <f t="shared" si="417"/>
        <v>0</v>
      </c>
    </row>
    <row r="1023" s="76" customFormat="1" customHeight="1" outlineLevel="1" spans="1:69">
      <c r="A1023" s="387" t="s">
        <v>142</v>
      </c>
      <c r="B1023" s="387" t="s">
        <v>440</v>
      </c>
      <c r="C1023" s="387"/>
      <c r="D1023" s="76" t="s">
        <v>1244</v>
      </c>
      <c r="E1023" s="76" t="s">
        <v>912</v>
      </c>
      <c r="G1023" s="586"/>
      <c r="H1023" s="76" t="s">
        <v>142</v>
      </c>
      <c r="J1023" s="264">
        <v>1960400</v>
      </c>
      <c r="K1023" s="373">
        <v>0.019</v>
      </c>
      <c r="L1023" s="483">
        <f t="shared" si="423"/>
        <v>37247.6</v>
      </c>
      <c r="M1023" s="114">
        <f>L1023*0.2</f>
        <v>7449.52</v>
      </c>
      <c r="N1023" s="76">
        <v>7449.52</v>
      </c>
      <c r="O1023" s="76">
        <f>L1023-N1023</f>
        <v>29798.08</v>
      </c>
      <c r="P1023" s="91"/>
      <c r="Q1023" s="91"/>
      <c r="R1023" s="76" t="s">
        <v>88</v>
      </c>
      <c r="S1023" s="76" t="s">
        <v>1245</v>
      </c>
      <c r="T1023" s="387">
        <v>46272</v>
      </c>
      <c r="U1023" s="387">
        <f>T1023+15</f>
        <v>46287</v>
      </c>
      <c r="V1023" s="387">
        <v>46310</v>
      </c>
      <c r="W1023" s="76">
        <f t="shared" si="424"/>
        <v>23</v>
      </c>
      <c r="X1023" s="133"/>
      <c r="Y1023" s="76">
        <v>1960400</v>
      </c>
      <c r="Z1023" s="140">
        <v>0.134</v>
      </c>
      <c r="AA1023" s="114">
        <f t="shared" si="425"/>
        <v>262693.6</v>
      </c>
      <c r="AB1023" s="114"/>
      <c r="AC1023" s="114">
        <f t="shared" ref="AC1023:AC1028" si="429">AA1023-AB1023</f>
        <v>262693.6</v>
      </c>
      <c r="AD1023" s="140"/>
      <c r="AE1023" s="114"/>
      <c r="AF1023" s="114"/>
      <c r="AG1023" s="114"/>
      <c r="AH1023" s="114"/>
      <c r="AI1023" s="91"/>
      <c r="AL1023" s="263"/>
      <c r="AM1023" s="114"/>
      <c r="AN1023" s="76">
        <v>7449.52</v>
      </c>
      <c r="AO1023" s="141"/>
      <c r="AP1023" s="91"/>
      <c r="AQ1023" s="746">
        <f t="shared" ref="AQ1023:AQ1028" si="430">V1023</f>
        <v>46310</v>
      </c>
      <c r="AR1023" s="387">
        <f t="shared" si="426"/>
        <v>46280</v>
      </c>
      <c r="AS1023" s="387"/>
      <c r="AT1023" s="387"/>
      <c r="AW1023" s="387"/>
      <c r="AY1023" s="263"/>
      <c r="AZ1023" s="127"/>
      <c r="BA1023" s="127"/>
      <c r="BB1023" s="127"/>
      <c r="BC1023" s="127"/>
      <c r="BJ1023" s="91"/>
      <c r="BL1023" s="76" t="str">
        <f t="shared" si="412"/>
        <v>TJTW-156</v>
      </c>
      <c r="BM1023" s="76" t="str">
        <f t="shared" si="413"/>
        <v>NF</v>
      </c>
      <c r="BN1023" s="76">
        <f>C1023</f>
        <v>0</v>
      </c>
      <c r="BO1023" s="76" t="str">
        <f t="shared" si="427"/>
        <v>TFS EOE 72.9 BPAni FREE 300#</v>
      </c>
      <c r="BP1023" s="129">
        <f t="shared" si="416"/>
        <v>1960400</v>
      </c>
      <c r="BQ1023" s="387">
        <f t="shared" si="417"/>
        <v>46287</v>
      </c>
    </row>
    <row r="1024" s="79" customFormat="1" ht="14.45" customHeight="1" spans="1:69">
      <c r="A1024" s="79" t="s">
        <v>142</v>
      </c>
      <c r="B1024" s="79" t="s">
        <v>440</v>
      </c>
      <c r="C1024" s="599"/>
      <c r="D1024" s="79" t="s">
        <v>1244</v>
      </c>
      <c r="E1024" s="79" t="s">
        <v>912</v>
      </c>
      <c r="G1024" s="486"/>
      <c r="H1024" s="79" t="s">
        <v>142</v>
      </c>
      <c r="J1024" s="579">
        <v>1960400</v>
      </c>
      <c r="K1024" s="194"/>
      <c r="L1024" s="194">
        <f>L1023</f>
        <v>37247.6</v>
      </c>
      <c r="M1024" s="194"/>
      <c r="O1024" s="192">
        <f>O1023</f>
        <v>29798.08</v>
      </c>
      <c r="P1024" s="91"/>
      <c r="Q1024" s="91"/>
      <c r="R1024" s="463" t="s">
        <v>88</v>
      </c>
      <c r="T1024" s="463">
        <f t="shared" ref="T1024:Y1024" si="431">T1023</f>
        <v>46272</v>
      </c>
      <c r="U1024" s="463"/>
      <c r="V1024" s="463">
        <f t="shared" si="431"/>
        <v>46310</v>
      </c>
      <c r="X1024" s="193"/>
      <c r="Y1024" s="79">
        <f t="shared" si="431"/>
        <v>1960400</v>
      </c>
      <c r="Z1024" s="192"/>
      <c r="AA1024" s="192">
        <f>AA1023</f>
        <v>262693.6</v>
      </c>
      <c r="AB1024" s="192"/>
      <c r="AC1024" s="192"/>
      <c r="AD1024" s="196"/>
      <c r="AE1024" s="192"/>
      <c r="AF1024" s="192"/>
      <c r="AG1024" s="192"/>
      <c r="AH1024" s="192"/>
      <c r="AM1024" s="192"/>
      <c r="AN1024" s="192"/>
      <c r="AQ1024" s="463"/>
      <c r="AR1024" s="463"/>
      <c r="AS1024" s="463"/>
      <c r="AT1024" s="463"/>
      <c r="AW1024" s="463"/>
      <c r="AX1024" s="194"/>
      <c r="AY1024" s="192"/>
      <c r="AZ1024" s="150"/>
      <c r="BA1024" s="150"/>
      <c r="BB1024" s="150"/>
      <c r="BC1024" s="150"/>
      <c r="BI1024" s="494"/>
    </row>
    <row r="1025" s="76" customFormat="1" customHeight="1" spans="1:69">
      <c r="A1025" s="76" t="s">
        <v>744</v>
      </c>
      <c r="B1025" s="76" t="s">
        <v>440</v>
      </c>
      <c r="C1025" s="387"/>
      <c r="D1025" s="76" t="s">
        <v>1246</v>
      </c>
      <c r="E1025" s="76" t="s">
        <v>1161</v>
      </c>
      <c r="F1025" s="76">
        <v>27</v>
      </c>
      <c r="G1025" s="479">
        <v>13</v>
      </c>
      <c r="H1025" s="76" t="s">
        <v>93</v>
      </c>
      <c r="J1025" s="129">
        <v>27</v>
      </c>
      <c r="K1025" s="129">
        <f t="shared" ref="K1025:K1028" si="432">Z1025+250</f>
        <v>5950</v>
      </c>
      <c r="L1025" s="129">
        <f t="shared" si="423"/>
        <v>160650</v>
      </c>
      <c r="M1025" s="129"/>
      <c r="P1025" s="91"/>
      <c r="Q1025" s="91"/>
      <c r="R1025" s="76" t="s">
        <v>88</v>
      </c>
      <c r="S1025" s="76" t="s">
        <v>1247</v>
      </c>
      <c r="T1025" s="387">
        <v>46283</v>
      </c>
      <c r="U1025" s="387">
        <f t="shared" ref="U1025:U1028" si="433">T1025+45</f>
        <v>46328</v>
      </c>
      <c r="V1025" s="746"/>
      <c r="W1025" s="76">
        <f t="shared" si="424"/>
        <v>-46328</v>
      </c>
      <c r="X1025" s="133"/>
      <c r="Y1025" s="129">
        <v>27</v>
      </c>
      <c r="Z1025" s="114">
        <v>5700</v>
      </c>
      <c r="AA1025" s="114">
        <f t="shared" si="425"/>
        <v>153900</v>
      </c>
      <c r="AB1025" s="114"/>
      <c r="AC1025" s="114">
        <f t="shared" si="429"/>
        <v>153900</v>
      </c>
      <c r="AD1025" s="140"/>
      <c r="AE1025" s="114"/>
      <c r="AF1025" s="114"/>
      <c r="AG1025" s="114"/>
      <c r="AH1025" s="114"/>
      <c r="AM1025" s="114"/>
      <c r="AN1025" s="114"/>
      <c r="AQ1025" s="746">
        <f t="shared" si="430"/>
        <v>0</v>
      </c>
      <c r="AR1025" s="387">
        <f t="shared" si="426"/>
        <v>-30</v>
      </c>
      <c r="AS1025" s="387"/>
      <c r="AT1025" s="387"/>
      <c r="AW1025" s="387"/>
      <c r="AX1025" s="129"/>
      <c r="AY1025" s="114"/>
      <c r="AZ1025" s="127"/>
      <c r="BA1025" s="127"/>
      <c r="BB1025" s="127"/>
      <c r="BC1025" s="127"/>
      <c r="BI1025" s="75"/>
      <c r="BJ1025" s="91"/>
      <c r="BL1025" s="76" t="str">
        <f t="shared" ref="BL1025:BL1035" si="434">D1025</f>
        <v>TJTW-157</v>
      </c>
      <c r="BM1025" s="76" t="str">
        <f t="shared" ref="BM1025:BM1035" si="435">A1025</f>
        <v>SKARDA</v>
      </c>
      <c r="BO1025" s="76" t="str">
        <f t="shared" si="427"/>
        <v>0.18*862*782 Scroll Sheets Т5 2.8/2.8 Stone, BA</v>
      </c>
      <c r="BP1025" s="129">
        <f t="shared" ref="BP1025:BP1032" si="436">J1025</f>
        <v>27</v>
      </c>
      <c r="BQ1025" s="387">
        <f t="shared" ref="BQ1025:BQ1032" si="437">U1025</f>
        <v>46328</v>
      </c>
    </row>
    <row r="1026" s="76" customFormat="1" customHeight="1" spans="1:69">
      <c r="A1026" s="76" t="s">
        <v>744</v>
      </c>
      <c r="B1026" s="76" t="s">
        <v>440</v>
      </c>
      <c r="C1026" s="387"/>
      <c r="D1026" s="76" t="s">
        <v>1246</v>
      </c>
      <c r="E1026" s="76" t="s">
        <v>1142</v>
      </c>
      <c r="F1026" s="76">
        <v>27</v>
      </c>
      <c r="G1026" s="479">
        <v>10</v>
      </c>
      <c r="H1026" s="76" t="s">
        <v>93</v>
      </c>
      <c r="J1026" s="129">
        <v>54</v>
      </c>
      <c r="K1026" s="129">
        <f t="shared" si="432"/>
        <v>5950</v>
      </c>
      <c r="L1026" s="129">
        <f t="shared" si="423"/>
        <v>321300</v>
      </c>
      <c r="M1026" s="129"/>
      <c r="P1026" s="91"/>
      <c r="Q1026" s="91"/>
      <c r="R1026" s="76" t="s">
        <v>88</v>
      </c>
      <c r="S1026" s="76" t="s">
        <v>1247</v>
      </c>
      <c r="T1026" s="387">
        <v>46283</v>
      </c>
      <c r="U1026" s="387">
        <f t="shared" si="433"/>
        <v>46328</v>
      </c>
      <c r="V1026" s="745"/>
      <c r="W1026" s="76">
        <f t="shared" si="424"/>
        <v>-46328</v>
      </c>
      <c r="X1026" s="133"/>
      <c r="Y1026" s="129">
        <v>54</v>
      </c>
      <c r="Z1026" s="114">
        <v>5700</v>
      </c>
      <c r="AA1026" s="114">
        <f t="shared" si="425"/>
        <v>307800</v>
      </c>
      <c r="AB1026" s="114"/>
      <c r="AC1026" s="114">
        <f t="shared" si="429"/>
        <v>307800</v>
      </c>
      <c r="AD1026" s="140"/>
      <c r="AE1026" s="114"/>
      <c r="AF1026" s="114"/>
      <c r="AG1026" s="114"/>
      <c r="AH1026" s="114"/>
      <c r="AM1026" s="114"/>
      <c r="AN1026" s="114"/>
      <c r="AQ1026" s="746">
        <f t="shared" si="430"/>
        <v>0</v>
      </c>
      <c r="AR1026" s="387">
        <f t="shared" si="426"/>
        <v>-30</v>
      </c>
      <c r="AS1026" s="387"/>
      <c r="AT1026" s="387"/>
      <c r="AW1026" s="387"/>
      <c r="AX1026" s="129"/>
      <c r="AY1026" s="114"/>
      <c r="AZ1026" s="127"/>
      <c r="BA1026" s="127"/>
      <c r="BB1026" s="127"/>
      <c r="BC1026" s="127"/>
      <c r="BI1026" s="75"/>
      <c r="BJ1026" s="91"/>
      <c r="BL1026" s="76" t="str">
        <f t="shared" si="434"/>
        <v>TJTW-157</v>
      </c>
      <c r="BM1026" s="76" t="str">
        <f t="shared" si="435"/>
        <v>SKARDA</v>
      </c>
      <c r="BO1026" s="76" t="str">
        <f t="shared" si="427"/>
        <v>0.18*890*807.3 Scroll Sheets Т5 2.8/2.8 Stone, BA</v>
      </c>
      <c r="BP1026" s="129">
        <f t="shared" si="436"/>
        <v>54</v>
      </c>
      <c r="BQ1026" s="387">
        <f t="shared" si="437"/>
        <v>46328</v>
      </c>
    </row>
    <row r="1027" s="76" customFormat="1" customHeight="1" spans="1:69">
      <c r="A1027" s="76" t="s">
        <v>744</v>
      </c>
      <c r="B1027" s="76" t="s">
        <v>440</v>
      </c>
      <c r="C1027" s="387"/>
      <c r="D1027" s="76" t="s">
        <v>1246</v>
      </c>
      <c r="E1027" s="76" t="s">
        <v>1139</v>
      </c>
      <c r="F1027" s="76">
        <v>54</v>
      </c>
      <c r="G1027" s="479"/>
      <c r="H1027" s="76" t="s">
        <v>93</v>
      </c>
      <c r="J1027" s="129">
        <v>54</v>
      </c>
      <c r="K1027" s="129">
        <f t="shared" si="432"/>
        <v>6100</v>
      </c>
      <c r="L1027" s="129">
        <f t="shared" si="423"/>
        <v>329400</v>
      </c>
      <c r="M1027" s="129"/>
      <c r="P1027" s="91"/>
      <c r="Q1027" s="91"/>
      <c r="R1027" s="76" t="s">
        <v>88</v>
      </c>
      <c r="S1027" s="76" t="s">
        <v>1247</v>
      </c>
      <c r="T1027" s="387">
        <v>46283</v>
      </c>
      <c r="U1027" s="387">
        <f t="shared" si="433"/>
        <v>46328</v>
      </c>
      <c r="V1027" s="746"/>
      <c r="W1027" s="76">
        <f t="shared" si="424"/>
        <v>-46328</v>
      </c>
      <c r="X1027" s="133"/>
      <c r="Y1027" s="129">
        <v>54</v>
      </c>
      <c r="Z1027" s="114">
        <v>5850</v>
      </c>
      <c r="AA1027" s="114">
        <f t="shared" si="425"/>
        <v>315900</v>
      </c>
      <c r="AB1027" s="114"/>
      <c r="AC1027" s="114">
        <f t="shared" si="429"/>
        <v>315900</v>
      </c>
      <c r="AD1027" s="140"/>
      <c r="AE1027" s="114"/>
      <c r="AF1027" s="114"/>
      <c r="AG1027" s="114"/>
      <c r="AH1027" s="114"/>
      <c r="AI1027" s="91"/>
      <c r="AM1027" s="114"/>
      <c r="AN1027" s="114"/>
      <c r="AP1027" s="91"/>
      <c r="AQ1027" s="746">
        <f t="shared" si="430"/>
        <v>0</v>
      </c>
      <c r="AR1027" s="387">
        <f t="shared" si="426"/>
        <v>-30</v>
      </c>
      <c r="AS1027" s="387"/>
      <c r="AT1027" s="387"/>
      <c r="AW1027" s="387"/>
      <c r="AX1027" s="129"/>
      <c r="AY1027" s="114"/>
      <c r="AZ1027" s="127"/>
      <c r="BA1027" s="127"/>
      <c r="BB1027" s="127"/>
      <c r="BC1027" s="127"/>
      <c r="BI1027" s="75"/>
      <c r="BJ1027" s="91"/>
      <c r="BL1027" s="76" t="str">
        <f t="shared" si="434"/>
        <v>TJTW-157</v>
      </c>
      <c r="BM1027" s="76" t="str">
        <f t="shared" si="435"/>
        <v>SKARDA</v>
      </c>
      <c r="BO1027" s="76" t="str">
        <f t="shared" si="427"/>
        <v>0.17*944*795 Sheets Т4 2.8/2.8 Stone, BA</v>
      </c>
      <c r="BP1027" s="129">
        <f t="shared" si="436"/>
        <v>54</v>
      </c>
      <c r="BQ1027" s="387">
        <f t="shared" si="437"/>
        <v>46328</v>
      </c>
    </row>
    <row r="1028" s="76" customFormat="1" customHeight="1" spans="1:69">
      <c r="A1028" s="76" t="s">
        <v>744</v>
      </c>
      <c r="B1028" s="76" t="s">
        <v>440</v>
      </c>
      <c r="C1028" s="387"/>
      <c r="D1028" s="76" t="s">
        <v>1246</v>
      </c>
      <c r="E1028" s="76" t="s">
        <v>1144</v>
      </c>
      <c r="F1028" s="76">
        <v>27</v>
      </c>
      <c r="G1028" s="479">
        <v>12</v>
      </c>
      <c r="H1028" s="76" t="s">
        <v>93</v>
      </c>
      <c r="J1028" s="129">
        <v>27</v>
      </c>
      <c r="K1028" s="129">
        <f t="shared" si="432"/>
        <v>5950</v>
      </c>
      <c r="L1028" s="129">
        <f t="shared" si="423"/>
        <v>160650</v>
      </c>
      <c r="M1028" s="129"/>
      <c r="P1028" s="91"/>
      <c r="Q1028" s="91"/>
      <c r="R1028" s="76" t="s">
        <v>88</v>
      </c>
      <c r="S1028" s="76" t="s">
        <v>1247</v>
      </c>
      <c r="T1028" s="387">
        <v>46283</v>
      </c>
      <c r="U1028" s="387">
        <f t="shared" si="433"/>
        <v>46328</v>
      </c>
      <c r="V1028" s="745"/>
      <c r="W1028" s="76">
        <f t="shared" si="424"/>
        <v>-46328</v>
      </c>
      <c r="X1028" s="133"/>
      <c r="Y1028" s="129">
        <v>27</v>
      </c>
      <c r="Z1028" s="114">
        <v>5700</v>
      </c>
      <c r="AA1028" s="114">
        <f t="shared" si="425"/>
        <v>153900</v>
      </c>
      <c r="AB1028" s="114"/>
      <c r="AC1028" s="114">
        <f t="shared" si="429"/>
        <v>153900</v>
      </c>
      <c r="AD1028" s="140"/>
      <c r="AE1028" s="114"/>
      <c r="AF1028" s="114"/>
      <c r="AG1028" s="114"/>
      <c r="AH1028" s="114"/>
      <c r="AM1028" s="114"/>
      <c r="AN1028" s="114"/>
      <c r="AQ1028" s="746">
        <f t="shared" si="430"/>
        <v>0</v>
      </c>
      <c r="AR1028" s="387">
        <f t="shared" si="426"/>
        <v>-30</v>
      </c>
      <c r="AS1028" s="387"/>
      <c r="AT1028" s="387"/>
      <c r="AW1028" s="387"/>
      <c r="AX1028" s="129"/>
      <c r="AY1028" s="114"/>
      <c r="AZ1028" s="127"/>
      <c r="BA1028" s="127"/>
      <c r="BB1028" s="127"/>
      <c r="BC1028" s="127"/>
      <c r="BI1028" s="75"/>
      <c r="BJ1028" s="91"/>
      <c r="BL1028" s="76" t="str">
        <f t="shared" si="434"/>
        <v>TJTW-157</v>
      </c>
      <c r="BM1028" s="76" t="str">
        <f t="shared" si="435"/>
        <v>SKARDA</v>
      </c>
      <c r="BO1028" s="76" t="str">
        <f t="shared" si="427"/>
        <v>0.18*928*934.7 Scroll Sheets Т5 2.8/2.8 Stone, BA</v>
      </c>
      <c r="BP1028" s="129">
        <f t="shared" si="436"/>
        <v>27</v>
      </c>
      <c r="BQ1028" s="387">
        <f t="shared" si="437"/>
        <v>46328</v>
      </c>
    </row>
    <row r="1029" s="79" customFormat="1" customHeight="1" spans="1:69">
      <c r="A1029" s="79" t="s">
        <v>1013</v>
      </c>
      <c r="C1029" s="463"/>
      <c r="D1029" s="79" t="s">
        <v>1246</v>
      </c>
      <c r="G1029" s="486"/>
      <c r="J1029" s="748">
        <f>SUM(J1025:J1028)</f>
        <v>162</v>
      </c>
      <c r="K1029" s="194"/>
      <c r="L1029" s="748">
        <f>SUM(L1025:L1028)</f>
        <v>972000</v>
      </c>
      <c r="M1029" s="194"/>
      <c r="N1029" s="748">
        <f>SUM(N1025:N1028)</f>
        <v>0</v>
      </c>
      <c r="R1029" s="463" t="s">
        <v>88</v>
      </c>
      <c r="T1029" s="463"/>
      <c r="U1029" s="463"/>
      <c r="V1029" s="463"/>
      <c r="X1029" s="193"/>
      <c r="Y1029" s="748">
        <f>SUM(Y1025:Y1028)</f>
        <v>162</v>
      </c>
      <c r="Z1029" s="192"/>
      <c r="AA1029" s="748">
        <f>SUM(AA1025:AA1028)</f>
        <v>931500</v>
      </c>
      <c r="AB1029" s="192"/>
      <c r="AC1029" s="192"/>
      <c r="AD1029" s="196"/>
      <c r="AE1029" s="192"/>
      <c r="AF1029" s="192"/>
      <c r="AG1029" s="192"/>
      <c r="AH1029" s="192"/>
      <c r="AM1029" s="192"/>
      <c r="AN1029" s="192"/>
      <c r="AQ1029" s="463"/>
      <c r="AR1029" s="463"/>
      <c r="AS1029" s="463"/>
      <c r="AT1029" s="463"/>
      <c r="AW1029" s="463"/>
      <c r="AX1029" s="194"/>
      <c r="AY1029" s="192"/>
      <c r="AZ1029" s="150"/>
      <c r="BA1029" s="150"/>
      <c r="BB1029" s="150"/>
      <c r="BC1029" s="150"/>
      <c r="BI1029" s="151"/>
      <c r="BL1029" s="79" t="str">
        <f t="shared" si="434"/>
        <v>TJTW-157</v>
      </c>
      <c r="BM1029" s="79" t="str">
        <f t="shared" si="435"/>
        <v>ETALON</v>
      </c>
      <c r="BO1029" s="79">
        <f t="shared" si="427"/>
        <v>0</v>
      </c>
      <c r="BP1029" s="79">
        <f t="shared" si="436"/>
        <v>162</v>
      </c>
      <c r="BQ1029" s="79">
        <f t="shared" si="437"/>
        <v>0</v>
      </c>
    </row>
    <row r="1030" s="76" customFormat="1" customHeight="1" spans="1:69">
      <c r="A1030" s="76" t="s">
        <v>933</v>
      </c>
      <c r="B1030" s="76" t="s">
        <v>456</v>
      </c>
      <c r="C1030" s="387"/>
      <c r="D1030" s="76" t="s">
        <v>1248</v>
      </c>
      <c r="E1030" s="76" t="s">
        <v>1078</v>
      </c>
      <c r="G1030" s="479"/>
      <c r="H1030" s="76" t="s">
        <v>93</v>
      </c>
      <c r="J1030" s="129">
        <v>108</v>
      </c>
      <c r="K1030" s="129"/>
      <c r="L1030" s="129">
        <f t="shared" ref="L1030:L1034" si="438">J1030*K1030</f>
        <v>0</v>
      </c>
      <c r="M1030" s="129"/>
      <c r="N1030" s="76">
        <v>467822.15</v>
      </c>
      <c r="P1030" s="91"/>
      <c r="Q1030" s="91"/>
      <c r="T1030" s="387"/>
      <c r="U1030" s="387">
        <f t="shared" ref="U1030:U1034" si="439">T1030+60</f>
        <v>60</v>
      </c>
      <c r="V1030" s="387"/>
      <c r="W1030" s="76">
        <f t="shared" ref="W1030:W1034" si="440">V1030-U1030</f>
        <v>-60</v>
      </c>
      <c r="X1030" s="133"/>
      <c r="Y1030" s="129"/>
      <c r="Z1030" s="114"/>
      <c r="AA1030" s="114">
        <f t="shared" ref="AA1030:AA1034" si="441">Y1030*Z1030</f>
        <v>0</v>
      </c>
      <c r="AB1030" s="114"/>
      <c r="AC1030" s="114"/>
      <c r="AD1030" s="140"/>
      <c r="AE1030" s="114"/>
      <c r="AF1030" s="114"/>
      <c r="AG1030" s="114"/>
      <c r="AH1030" s="114"/>
      <c r="AM1030" s="114"/>
      <c r="AN1030" s="76">
        <v>467822.15</v>
      </c>
      <c r="AQ1030" s="746">
        <f t="shared" ref="AQ1030:AQ1034" si="442">V1030</f>
        <v>0</v>
      </c>
      <c r="AR1030" s="387">
        <f t="shared" ref="AR1030:AR1034" si="443">V1030-30</f>
        <v>-30</v>
      </c>
      <c r="AS1030" s="387"/>
      <c r="AT1030" s="387"/>
      <c r="AW1030" s="387"/>
      <c r="AX1030" s="129"/>
      <c r="AY1030" s="114"/>
      <c r="AZ1030" s="127"/>
      <c r="BA1030" s="127"/>
      <c r="BB1030" s="127"/>
      <c r="BC1030" s="127"/>
      <c r="BI1030" s="75"/>
      <c r="BJ1030" s="91"/>
      <c r="BL1030" s="76" t="str">
        <f t="shared" si="434"/>
        <v>TJTW-158</v>
      </c>
      <c r="BM1030" s="76" t="str">
        <f t="shared" si="435"/>
        <v>KALMETA</v>
      </c>
      <c r="BO1030" s="76" t="str">
        <f t="shared" si="427"/>
        <v>0.17*818*913 T4 2.8/2.8   VARNISHED</v>
      </c>
      <c r="BP1030" s="129">
        <f t="shared" si="436"/>
        <v>108</v>
      </c>
      <c r="BQ1030" s="387">
        <f t="shared" si="437"/>
        <v>60</v>
      </c>
    </row>
    <row r="1031" s="76" customFormat="1" customHeight="1" spans="1:69">
      <c r="A1031" s="76" t="s">
        <v>933</v>
      </c>
      <c r="B1031" s="76" t="s">
        <v>456</v>
      </c>
      <c r="C1031" s="387"/>
      <c r="D1031" s="76" t="s">
        <v>1248</v>
      </c>
      <c r="E1031" s="76" t="s">
        <v>1080</v>
      </c>
      <c r="G1031" s="479"/>
      <c r="H1031" s="76" t="s">
        <v>93</v>
      </c>
      <c r="J1031" s="129">
        <v>80</v>
      </c>
      <c r="K1031" s="129">
        <f t="shared" ref="K1030:K1034" si="444">Z1031+250</f>
        <v>6550</v>
      </c>
      <c r="L1031" s="129">
        <f t="shared" si="438"/>
        <v>524000</v>
      </c>
      <c r="M1031" s="129"/>
      <c r="P1031" s="91"/>
      <c r="Q1031" s="91"/>
      <c r="R1031" s="76" t="s">
        <v>88</v>
      </c>
      <c r="S1031" s="76" t="s">
        <v>1249</v>
      </c>
      <c r="T1031" s="387"/>
      <c r="U1031" s="387">
        <f t="shared" si="439"/>
        <v>60</v>
      </c>
      <c r="V1031" s="387"/>
      <c r="W1031" s="76">
        <f t="shared" si="440"/>
        <v>-60</v>
      </c>
      <c r="X1031" s="133"/>
      <c r="Y1031" s="129">
        <v>80</v>
      </c>
      <c r="Z1031" s="114">
        <v>6300</v>
      </c>
      <c r="AA1031" s="114">
        <f t="shared" si="441"/>
        <v>504000</v>
      </c>
      <c r="AB1031" s="114"/>
      <c r="AC1031" s="114"/>
      <c r="AD1031" s="140"/>
      <c r="AE1031" s="114"/>
      <c r="AF1031" s="114"/>
      <c r="AG1031" s="114"/>
      <c r="AH1031" s="114"/>
      <c r="AM1031" s="114"/>
      <c r="AN1031" s="114"/>
      <c r="AQ1031" s="746">
        <f t="shared" si="442"/>
        <v>0</v>
      </c>
      <c r="AR1031" s="387">
        <f t="shared" si="443"/>
        <v>-30</v>
      </c>
      <c r="AS1031" s="387"/>
      <c r="AT1031" s="387"/>
      <c r="AW1031" s="387"/>
      <c r="AX1031" s="129"/>
      <c r="AY1031" s="114"/>
      <c r="AZ1031" s="127"/>
      <c r="BA1031" s="127"/>
      <c r="BB1031" s="127"/>
      <c r="BC1031" s="127"/>
      <c r="BI1031" s="75"/>
      <c r="BJ1031" s="91"/>
      <c r="BL1031" s="76" t="str">
        <f t="shared" si="434"/>
        <v>TJTW-158</v>
      </c>
      <c r="BM1031" s="76" t="str">
        <f t="shared" si="435"/>
        <v>KALMETA</v>
      </c>
      <c r="BO1031" s="76" t="str">
        <f t="shared" si="427"/>
        <v>0.18*900*712 T3 2.8/2.8    VARNISHED</v>
      </c>
      <c r="BP1031" s="129">
        <f t="shared" si="436"/>
        <v>80</v>
      </c>
      <c r="BQ1031" s="387">
        <f t="shared" si="437"/>
        <v>60</v>
      </c>
    </row>
    <row r="1032" s="76" customFormat="1" customHeight="1" spans="1:69">
      <c r="A1032" s="76" t="s">
        <v>933</v>
      </c>
      <c r="B1032" s="76" t="s">
        <v>456</v>
      </c>
      <c r="C1032" s="387"/>
      <c r="D1032" s="76" t="s">
        <v>1248</v>
      </c>
      <c r="E1032" s="76" t="s">
        <v>1081</v>
      </c>
      <c r="G1032" s="479"/>
      <c r="H1032" s="76" t="s">
        <v>93</v>
      </c>
      <c r="J1032" s="129">
        <v>210</v>
      </c>
      <c r="K1032" s="129">
        <f t="shared" si="444"/>
        <v>6750</v>
      </c>
      <c r="L1032" s="129">
        <f t="shared" si="438"/>
        <v>1417500</v>
      </c>
      <c r="M1032" s="129"/>
      <c r="P1032" s="91"/>
      <c r="Q1032" s="91"/>
      <c r="R1032" s="76" t="s">
        <v>88</v>
      </c>
      <c r="S1032" s="76" t="s">
        <v>1249</v>
      </c>
      <c r="T1032" s="387"/>
      <c r="U1032" s="387">
        <f t="shared" si="439"/>
        <v>60</v>
      </c>
      <c r="V1032" s="387"/>
      <c r="W1032" s="76">
        <f t="shared" si="440"/>
        <v>-60</v>
      </c>
      <c r="X1032" s="133"/>
      <c r="Y1032" s="129">
        <v>210</v>
      </c>
      <c r="Z1032" s="114">
        <v>6500</v>
      </c>
      <c r="AA1032" s="114">
        <f t="shared" si="441"/>
        <v>1365000</v>
      </c>
      <c r="AB1032" s="114"/>
      <c r="AC1032" s="114"/>
      <c r="AD1032" s="140"/>
      <c r="AE1032" s="114"/>
      <c r="AF1032" s="114"/>
      <c r="AG1032" s="114"/>
      <c r="AH1032" s="114"/>
      <c r="AM1032" s="114"/>
      <c r="AN1032" s="114"/>
      <c r="AQ1032" s="746">
        <f t="shared" si="442"/>
        <v>0</v>
      </c>
      <c r="AR1032" s="387">
        <f t="shared" si="443"/>
        <v>-30</v>
      </c>
      <c r="AS1032" s="387"/>
      <c r="AT1032" s="387"/>
      <c r="AW1032" s="387"/>
      <c r="AX1032" s="129"/>
      <c r="AY1032" s="114"/>
      <c r="AZ1032" s="127"/>
      <c r="BA1032" s="127"/>
      <c r="BB1032" s="127"/>
      <c r="BC1032" s="127"/>
      <c r="BI1032" s="75"/>
      <c r="BJ1032" s="91"/>
      <c r="BL1032" s="76" t="str">
        <f t="shared" si="434"/>
        <v>TJTW-158</v>
      </c>
      <c r="BM1032" s="76" t="str">
        <f t="shared" si="435"/>
        <v>KALMETA</v>
      </c>
      <c r="BO1032" s="76" t="str">
        <f t="shared" si="427"/>
        <v>0.17*905*836.5 T4 2.8/2.8   VARNISHED</v>
      </c>
      <c r="BP1032" s="129">
        <f t="shared" si="436"/>
        <v>210</v>
      </c>
      <c r="BQ1032" s="387">
        <f t="shared" si="437"/>
        <v>60</v>
      </c>
    </row>
    <row r="1033" s="76" customFormat="1" customHeight="1" spans="1:69">
      <c r="A1033" s="76" t="s">
        <v>933</v>
      </c>
      <c r="B1033" s="76" t="s">
        <v>456</v>
      </c>
      <c r="C1033" s="387"/>
      <c r="D1033" s="76" t="s">
        <v>1248</v>
      </c>
      <c r="E1033" s="76" t="s">
        <v>1173</v>
      </c>
      <c r="G1033" s="479"/>
      <c r="H1033" s="76" t="s">
        <v>93</v>
      </c>
      <c r="J1033" s="129">
        <v>90</v>
      </c>
      <c r="K1033" s="129"/>
      <c r="L1033" s="129">
        <f t="shared" si="438"/>
        <v>0</v>
      </c>
      <c r="M1033" s="129"/>
      <c r="P1033" s="91"/>
      <c r="Q1033" s="91"/>
      <c r="T1033" s="387"/>
      <c r="U1033" s="387">
        <f t="shared" si="439"/>
        <v>60</v>
      </c>
      <c r="V1033" s="387"/>
      <c r="W1033" s="76">
        <f t="shared" si="440"/>
        <v>-60</v>
      </c>
      <c r="X1033" s="133"/>
      <c r="Y1033" s="129"/>
      <c r="Z1033" s="114"/>
      <c r="AA1033" s="114">
        <f t="shared" si="441"/>
        <v>0</v>
      </c>
      <c r="AB1033" s="114"/>
      <c r="AC1033" s="114"/>
      <c r="AD1033" s="140"/>
      <c r="AE1033" s="114"/>
      <c r="AF1033" s="114"/>
      <c r="AG1033" s="114"/>
      <c r="AH1033" s="114"/>
      <c r="AM1033" s="114"/>
      <c r="AN1033" s="114"/>
      <c r="AQ1033" s="746">
        <f t="shared" si="442"/>
        <v>0</v>
      </c>
      <c r="AR1033" s="387">
        <f t="shared" si="443"/>
        <v>-30</v>
      </c>
      <c r="AS1033" s="387"/>
      <c r="AT1033" s="387"/>
      <c r="AW1033" s="387"/>
      <c r="AX1033" s="129"/>
      <c r="AY1033" s="114"/>
      <c r="AZ1033" s="127"/>
      <c r="BA1033" s="127"/>
      <c r="BB1033" s="127"/>
      <c r="BC1033" s="127"/>
      <c r="BI1033" s="75"/>
      <c r="BJ1033" s="91"/>
      <c r="BL1033" s="76" t="str">
        <f t="shared" si="434"/>
        <v>TJTW-158</v>
      </c>
      <c r="BM1033" s="76" t="str">
        <f t="shared" si="435"/>
        <v>KALMETA</v>
      </c>
      <c r="BP1033" s="129"/>
      <c r="BQ1033" s="387"/>
    </row>
    <row r="1034" s="76" customFormat="1" customHeight="1" spans="1:69">
      <c r="A1034" s="76" t="s">
        <v>933</v>
      </c>
      <c r="B1034" s="76" t="s">
        <v>456</v>
      </c>
      <c r="C1034" s="387"/>
      <c r="D1034" s="76" t="s">
        <v>1248</v>
      </c>
      <c r="E1034" s="76" t="s">
        <v>1174</v>
      </c>
      <c r="G1034" s="479"/>
      <c r="H1034" s="76" t="s">
        <v>93</v>
      </c>
      <c r="J1034" s="129">
        <v>100</v>
      </c>
      <c r="K1034" s="129">
        <f>Z1034+340</f>
        <v>6445</v>
      </c>
      <c r="L1034" s="129">
        <f t="shared" si="438"/>
        <v>644500</v>
      </c>
      <c r="M1034" s="129"/>
      <c r="P1034" s="91"/>
      <c r="Q1034" s="91"/>
      <c r="R1034" s="76" t="s">
        <v>1140</v>
      </c>
      <c r="S1034" s="76" t="s">
        <v>1250</v>
      </c>
      <c r="T1034" s="387">
        <v>46294</v>
      </c>
      <c r="U1034" s="387">
        <f t="shared" si="439"/>
        <v>46354</v>
      </c>
      <c r="V1034" s="387"/>
      <c r="W1034" s="76">
        <f t="shared" si="440"/>
        <v>-46354</v>
      </c>
      <c r="X1034" s="133"/>
      <c r="Y1034" s="129">
        <v>90</v>
      </c>
      <c r="Z1034" s="114">
        <v>6105</v>
      </c>
      <c r="AA1034" s="114">
        <f t="shared" si="441"/>
        <v>549450</v>
      </c>
      <c r="AB1034" s="114"/>
      <c r="AC1034" s="114"/>
      <c r="AD1034" s="140"/>
      <c r="AE1034" s="114"/>
      <c r="AF1034" s="114"/>
      <c r="AG1034" s="114"/>
      <c r="AH1034" s="114"/>
      <c r="AM1034" s="114"/>
      <c r="AN1034" s="114"/>
      <c r="AQ1034" s="746">
        <f t="shared" si="442"/>
        <v>0</v>
      </c>
      <c r="AR1034" s="387">
        <f t="shared" si="443"/>
        <v>-30</v>
      </c>
      <c r="AS1034" s="387"/>
      <c r="AT1034" s="387"/>
      <c r="AW1034" s="387"/>
      <c r="AX1034" s="129"/>
      <c r="AY1034" s="114"/>
      <c r="AZ1034" s="127"/>
      <c r="BA1034" s="127"/>
      <c r="BB1034" s="127"/>
      <c r="BC1034" s="127"/>
      <c r="BI1034" s="75"/>
      <c r="BJ1034" s="91"/>
      <c r="BL1034" s="76" t="str">
        <f t="shared" si="434"/>
        <v>TJTW-158</v>
      </c>
      <c r="BM1034" s="76" t="str">
        <f t="shared" si="435"/>
        <v>KALMETA</v>
      </c>
      <c r="BP1034" s="129"/>
      <c r="BQ1034" s="387"/>
    </row>
    <row r="1035" s="79" customFormat="1" customHeight="1" spans="1:69">
      <c r="A1035" s="79" t="s">
        <v>933</v>
      </c>
      <c r="C1035" s="463"/>
      <c r="D1035" s="79" t="s">
        <v>1248</v>
      </c>
      <c r="G1035" s="486"/>
      <c r="J1035" s="194">
        <f>SUM(J1030:J1034)</f>
        <v>588</v>
      </c>
      <c r="K1035" s="194"/>
      <c r="L1035" s="748">
        <f>SUM(L1030:L1034)</f>
        <v>2586000</v>
      </c>
      <c r="M1035" s="194"/>
      <c r="N1035" s="79">
        <f>SUM(N1030:N1034)</f>
        <v>467822.15</v>
      </c>
      <c r="T1035" s="463"/>
      <c r="U1035" s="463"/>
      <c r="V1035" s="463"/>
      <c r="X1035" s="193"/>
      <c r="Y1035" s="194">
        <f>SUM(Y1030:Y1034)</f>
        <v>380</v>
      </c>
      <c r="Z1035" s="192"/>
      <c r="AA1035" s="192">
        <f>SUM(AA1030:AA1034)</f>
        <v>2418450</v>
      </c>
      <c r="AB1035" s="192"/>
      <c r="AC1035" s="192"/>
      <c r="AD1035" s="196"/>
      <c r="AE1035" s="192"/>
      <c r="AF1035" s="192"/>
      <c r="AG1035" s="192"/>
      <c r="AH1035" s="192"/>
      <c r="AM1035" s="192"/>
      <c r="AN1035" s="192"/>
      <c r="AQ1035" s="463"/>
      <c r="AR1035" s="463"/>
      <c r="AS1035" s="463"/>
      <c r="AT1035" s="463"/>
      <c r="AW1035" s="463"/>
      <c r="AX1035" s="194"/>
      <c r="AY1035" s="192"/>
      <c r="AZ1035" s="150"/>
      <c r="BA1035" s="150"/>
      <c r="BB1035" s="150"/>
      <c r="BC1035" s="150"/>
      <c r="BI1035" s="151"/>
      <c r="BL1035" s="79" t="str">
        <f t="shared" si="434"/>
        <v>TJTW-158</v>
      </c>
      <c r="BM1035" s="79" t="str">
        <f t="shared" si="435"/>
        <v>KALMETA</v>
      </c>
      <c r="BO1035" s="79">
        <f>E1035</f>
        <v>0</v>
      </c>
      <c r="BP1035" s="194">
        <f>J1035</f>
        <v>588</v>
      </c>
      <c r="BQ1035" s="463">
        <f>U1035</f>
        <v>0</v>
      </c>
    </row>
    <row r="1036" s="77" customFormat="1" customHeight="1" spans="1:69">
      <c r="A1036" s="76" t="s">
        <v>414</v>
      </c>
      <c r="B1036" s="76" t="s">
        <v>578</v>
      </c>
      <c r="C1036" s="569" t="s">
        <v>1251</v>
      </c>
      <c r="D1036" s="190" t="s">
        <v>1252</v>
      </c>
      <c r="E1036" s="190" t="s">
        <v>1253</v>
      </c>
      <c r="G1036" s="570"/>
      <c r="H1036" s="76" t="s">
        <v>75</v>
      </c>
      <c r="J1036" s="190">
        <v>7.146</v>
      </c>
      <c r="K1036" s="190">
        <v>5870</v>
      </c>
      <c r="L1036" s="114">
        <f t="shared" ref="L1036:L1046" si="445">J1036*K1036</f>
        <v>41947.02</v>
      </c>
      <c r="M1036" s="168"/>
      <c r="P1036" s="160"/>
      <c r="Q1036" s="160"/>
      <c r="R1036" s="76" t="s">
        <v>88</v>
      </c>
      <c r="S1036" s="76" t="s">
        <v>1254</v>
      </c>
      <c r="T1036" s="387">
        <v>46284</v>
      </c>
      <c r="U1036" s="387"/>
      <c r="V1036" s="387"/>
      <c r="W1036" s="76">
        <f t="shared" ref="W1036:W1046" si="446">V1036-U1036</f>
        <v>0</v>
      </c>
      <c r="X1036" s="133"/>
      <c r="Y1036" s="190">
        <v>7.146</v>
      </c>
      <c r="Z1036" s="155">
        <v>5470</v>
      </c>
      <c r="AA1036" s="114">
        <f t="shared" ref="AA1036:AA1046" si="447">Y1036*Z1036</f>
        <v>39088.62</v>
      </c>
      <c r="AB1036" s="155"/>
      <c r="AC1036" s="155"/>
      <c r="AD1036" s="163"/>
      <c r="AE1036" s="155"/>
      <c r="AF1036" s="155"/>
      <c r="AG1036" s="155"/>
      <c r="AH1036" s="155"/>
      <c r="AM1036" s="155"/>
      <c r="AN1036" s="155"/>
      <c r="AQ1036" s="760"/>
      <c r="AR1036" s="569"/>
      <c r="AS1036" s="569"/>
      <c r="AT1036" s="569"/>
      <c r="AW1036" s="569"/>
      <c r="AX1036" s="157"/>
      <c r="AY1036" s="155"/>
      <c r="AZ1036" s="168"/>
      <c r="BA1036" s="168"/>
      <c r="BB1036" s="168"/>
      <c r="BC1036" s="168"/>
      <c r="BI1036" s="169"/>
      <c r="BJ1036" s="160"/>
      <c r="BP1036" s="157"/>
      <c r="BQ1036" s="569"/>
    </row>
    <row r="1037" s="422" customFormat="1" ht="14.4" spans="1:69">
      <c r="A1037" s="422" t="s">
        <v>414</v>
      </c>
      <c r="C1037" s="619"/>
      <c r="D1037" s="422" t="s">
        <v>1252</v>
      </c>
      <c r="G1037" s="686"/>
      <c r="H1037" s="422" t="s">
        <v>75</v>
      </c>
      <c r="J1037" s="687">
        <f>J1036</f>
        <v>7.146</v>
      </c>
      <c r="K1037" s="687"/>
      <c r="L1037" s="687">
        <f>L1036</f>
        <v>41947.02</v>
      </c>
      <c r="M1037" s="693">
        <f t="shared" ref="M1037:O1037" si="448">SUM(M1028:M1036)</f>
        <v>0</v>
      </c>
      <c r="N1037" s="693">
        <f>SUM(N1036)</f>
        <v>0</v>
      </c>
      <c r="O1037" s="693">
        <f t="shared" si="448"/>
        <v>0</v>
      </c>
      <c r="R1037" s="79" t="s">
        <v>88</v>
      </c>
      <c r="T1037" s="688"/>
      <c r="U1037" s="688"/>
      <c r="V1037" s="688"/>
      <c r="X1037" s="689"/>
      <c r="Y1037" s="687">
        <f>Y1036</f>
        <v>7.146</v>
      </c>
      <c r="Z1037" s="690"/>
      <c r="AA1037" s="687">
        <f>SUM(AA1031:AA1036)</f>
        <v>4875988.62</v>
      </c>
      <c r="AB1037" s="690"/>
      <c r="AC1037" s="690"/>
      <c r="AD1037" s="692"/>
      <c r="AE1037" s="690"/>
      <c r="AF1037" s="690"/>
      <c r="AG1037" s="690"/>
      <c r="AH1037" s="690"/>
      <c r="AM1037" s="690"/>
      <c r="AN1037" s="690"/>
      <c r="AQ1037" s="619"/>
      <c r="AR1037" s="619"/>
      <c r="AS1037" s="688"/>
      <c r="AT1037" s="688"/>
      <c r="AW1037" s="688"/>
      <c r="AX1037" s="687"/>
      <c r="AY1037" s="690"/>
      <c r="AZ1037" s="693"/>
      <c r="BA1037" s="693"/>
      <c r="BB1037" s="693"/>
      <c r="BC1037" s="693"/>
      <c r="BI1037" s="743"/>
    </row>
    <row r="1038" s="77" customFormat="1" customHeight="1" spans="1:69">
      <c r="A1038" s="76" t="s">
        <v>414</v>
      </c>
      <c r="B1038" s="76" t="s">
        <v>578</v>
      </c>
      <c r="C1038" s="569" t="s">
        <v>1222</v>
      </c>
      <c r="D1038" s="190" t="s">
        <v>1255</v>
      </c>
      <c r="E1038" s="269" t="s">
        <v>1256</v>
      </c>
      <c r="G1038" s="570"/>
      <c r="H1038" s="76" t="s">
        <v>75</v>
      </c>
      <c r="J1038" s="269">
        <v>17</v>
      </c>
      <c r="K1038" s="269">
        <v>6135</v>
      </c>
      <c r="L1038" s="114">
        <f t="shared" si="445"/>
        <v>104295</v>
      </c>
      <c r="M1038" s="168"/>
      <c r="P1038" s="160"/>
      <c r="Q1038" s="160"/>
      <c r="R1038" s="76" t="s">
        <v>1140</v>
      </c>
      <c r="S1038" s="76" t="s">
        <v>1257</v>
      </c>
      <c r="T1038" s="387">
        <v>46288</v>
      </c>
      <c r="U1038" s="569"/>
      <c r="V1038" s="569"/>
      <c r="W1038" s="76">
        <f t="shared" si="446"/>
        <v>0</v>
      </c>
      <c r="X1038" s="161"/>
      <c r="Y1038" s="269">
        <v>17</v>
      </c>
      <c r="Z1038" s="155">
        <v>5535</v>
      </c>
      <c r="AA1038" s="114">
        <f t="shared" si="447"/>
        <v>94095</v>
      </c>
      <c r="AB1038" s="155"/>
      <c r="AC1038" s="155"/>
      <c r="AD1038" s="163"/>
      <c r="AE1038" s="155"/>
      <c r="AF1038" s="155"/>
      <c r="AG1038" s="155"/>
      <c r="AH1038" s="155"/>
      <c r="AM1038" s="155"/>
      <c r="AN1038" s="155"/>
      <c r="AQ1038" s="760"/>
      <c r="AR1038" s="569"/>
      <c r="AS1038" s="569"/>
      <c r="AT1038" s="569"/>
      <c r="AW1038" s="569"/>
      <c r="AX1038" s="157"/>
      <c r="AY1038" s="155"/>
      <c r="AZ1038" s="168"/>
      <c r="BA1038" s="168"/>
      <c r="BB1038" s="168"/>
      <c r="BC1038" s="168"/>
      <c r="BI1038" s="169"/>
      <c r="BJ1038" s="160"/>
      <c r="BP1038" s="157"/>
      <c r="BQ1038" s="569"/>
    </row>
    <row r="1039" s="77" customFormat="1" customHeight="1" spans="1:69">
      <c r="A1039" s="76" t="s">
        <v>414</v>
      </c>
      <c r="B1039" s="76" t="s">
        <v>578</v>
      </c>
      <c r="C1039" s="569" t="s">
        <v>1222</v>
      </c>
      <c r="D1039" s="190" t="s">
        <v>1255</v>
      </c>
      <c r="E1039" s="269" t="s">
        <v>1258</v>
      </c>
      <c r="G1039" s="570"/>
      <c r="H1039" s="76" t="s">
        <v>75</v>
      </c>
      <c r="J1039" s="269">
        <v>50</v>
      </c>
      <c r="K1039" s="269">
        <v>5786</v>
      </c>
      <c r="L1039" s="114">
        <f t="shared" si="445"/>
        <v>289300</v>
      </c>
      <c r="M1039" s="168"/>
      <c r="P1039" s="160"/>
      <c r="Q1039" s="160"/>
      <c r="R1039" s="76" t="s">
        <v>1140</v>
      </c>
      <c r="S1039" s="76" t="s">
        <v>1257</v>
      </c>
      <c r="T1039" s="387">
        <v>46288</v>
      </c>
      <c r="U1039" s="569"/>
      <c r="V1039" s="569"/>
      <c r="W1039" s="76">
        <f t="shared" si="446"/>
        <v>0</v>
      </c>
      <c r="X1039" s="161"/>
      <c r="Y1039" s="269">
        <v>50</v>
      </c>
      <c r="Z1039" s="155">
        <v>5195</v>
      </c>
      <c r="AA1039" s="114">
        <f t="shared" si="447"/>
        <v>259750</v>
      </c>
      <c r="AB1039" s="155"/>
      <c r="AC1039" s="155"/>
      <c r="AD1039" s="163"/>
      <c r="AE1039" s="155"/>
      <c r="AF1039" s="155"/>
      <c r="AG1039" s="155"/>
      <c r="AH1039" s="155"/>
      <c r="AM1039" s="155"/>
      <c r="AN1039" s="155"/>
      <c r="AQ1039" s="760"/>
      <c r="AR1039" s="569"/>
      <c r="AS1039" s="569"/>
      <c r="AT1039" s="569"/>
      <c r="AW1039" s="569"/>
      <c r="AX1039" s="157"/>
      <c r="AY1039" s="155"/>
      <c r="AZ1039" s="168"/>
      <c r="BA1039" s="168"/>
      <c r="BB1039" s="168"/>
      <c r="BC1039" s="168"/>
      <c r="BI1039" s="169"/>
      <c r="BJ1039" s="160"/>
      <c r="BP1039" s="157"/>
      <c r="BQ1039" s="569"/>
    </row>
    <row r="1040" s="77" customFormat="1" customHeight="1" spans="1:69">
      <c r="A1040" s="76" t="s">
        <v>414</v>
      </c>
      <c r="B1040" s="76" t="s">
        <v>578</v>
      </c>
      <c r="C1040" s="569" t="s">
        <v>1222</v>
      </c>
      <c r="D1040" s="190" t="s">
        <v>1255</v>
      </c>
      <c r="E1040" s="269" t="s">
        <v>1259</v>
      </c>
      <c r="G1040" s="570"/>
      <c r="H1040" s="76" t="s">
        <v>75</v>
      </c>
      <c r="J1040" s="269">
        <v>15</v>
      </c>
      <c r="K1040" s="269">
        <v>5828</v>
      </c>
      <c r="L1040" s="114">
        <f t="shared" si="445"/>
        <v>87420</v>
      </c>
      <c r="M1040" s="168"/>
      <c r="P1040" s="160"/>
      <c r="Q1040" s="160"/>
      <c r="R1040" s="76" t="s">
        <v>1140</v>
      </c>
      <c r="S1040" s="76" t="s">
        <v>1257</v>
      </c>
      <c r="T1040" s="387">
        <v>46288</v>
      </c>
      <c r="U1040" s="569"/>
      <c r="V1040" s="569"/>
      <c r="W1040" s="76">
        <f t="shared" si="446"/>
        <v>0</v>
      </c>
      <c r="X1040" s="161"/>
      <c r="Y1040" s="269">
        <v>15</v>
      </c>
      <c r="Z1040" s="155">
        <v>5235</v>
      </c>
      <c r="AA1040" s="114">
        <f t="shared" si="447"/>
        <v>78525</v>
      </c>
      <c r="AB1040" s="155"/>
      <c r="AC1040" s="155"/>
      <c r="AD1040" s="163"/>
      <c r="AE1040" s="155"/>
      <c r="AF1040" s="155"/>
      <c r="AG1040" s="155"/>
      <c r="AH1040" s="155"/>
      <c r="AM1040" s="155"/>
      <c r="AN1040" s="155"/>
      <c r="AQ1040" s="760"/>
      <c r="AR1040" s="569"/>
      <c r="AS1040" s="569"/>
      <c r="AT1040" s="569"/>
      <c r="AW1040" s="569"/>
      <c r="AX1040" s="157"/>
      <c r="AY1040" s="155"/>
      <c r="AZ1040" s="168"/>
      <c r="BA1040" s="168"/>
      <c r="BB1040" s="168"/>
      <c r="BC1040" s="168"/>
      <c r="BI1040" s="169"/>
      <c r="BJ1040" s="160"/>
      <c r="BP1040" s="157"/>
      <c r="BQ1040" s="569"/>
    </row>
    <row r="1041" s="77" customFormat="1" customHeight="1" spans="1:69">
      <c r="A1041" s="76" t="s">
        <v>414</v>
      </c>
      <c r="B1041" s="76" t="s">
        <v>578</v>
      </c>
      <c r="C1041" s="569" t="s">
        <v>1222</v>
      </c>
      <c r="D1041" s="190" t="s">
        <v>1255</v>
      </c>
      <c r="E1041" s="269" t="s">
        <v>1260</v>
      </c>
      <c r="G1041" s="570"/>
      <c r="H1041" s="76" t="s">
        <v>75</v>
      </c>
      <c r="J1041" s="269">
        <v>22</v>
      </c>
      <c r="K1041" s="269">
        <v>5868</v>
      </c>
      <c r="L1041" s="114">
        <f t="shared" si="445"/>
        <v>129096</v>
      </c>
      <c r="M1041" s="168"/>
      <c r="P1041" s="160"/>
      <c r="Q1041" s="160"/>
      <c r="R1041" s="76" t="s">
        <v>1140</v>
      </c>
      <c r="S1041" s="76" t="s">
        <v>1257</v>
      </c>
      <c r="T1041" s="387">
        <v>46288</v>
      </c>
      <c r="U1041" s="569"/>
      <c r="V1041" s="569"/>
      <c r="W1041" s="76">
        <f t="shared" si="446"/>
        <v>0</v>
      </c>
      <c r="X1041" s="161"/>
      <c r="Y1041" s="269">
        <v>22</v>
      </c>
      <c r="Z1041" s="155">
        <v>5275</v>
      </c>
      <c r="AA1041" s="114">
        <f t="shared" si="447"/>
        <v>116050</v>
      </c>
      <c r="AB1041" s="155"/>
      <c r="AC1041" s="155"/>
      <c r="AD1041" s="163"/>
      <c r="AE1041" s="155"/>
      <c r="AF1041" s="155"/>
      <c r="AG1041" s="155"/>
      <c r="AH1041" s="155"/>
      <c r="AM1041" s="155"/>
      <c r="AN1041" s="155"/>
      <c r="AQ1041" s="760"/>
      <c r="AR1041" s="569"/>
      <c r="AS1041" s="569"/>
      <c r="AT1041" s="569"/>
      <c r="AW1041" s="569"/>
      <c r="AX1041" s="157"/>
      <c r="AY1041" s="155"/>
      <c r="AZ1041" s="168"/>
      <c r="BA1041" s="168"/>
      <c r="BB1041" s="168"/>
      <c r="BC1041" s="168"/>
      <c r="BI1041" s="169"/>
      <c r="BJ1041" s="160"/>
      <c r="BP1041" s="157"/>
      <c r="BQ1041" s="569"/>
    </row>
    <row r="1042" s="77" customFormat="1" customHeight="1" spans="1:69">
      <c r="A1042" s="76" t="s">
        <v>414</v>
      </c>
      <c r="B1042" s="76" t="s">
        <v>578</v>
      </c>
      <c r="C1042" s="569" t="s">
        <v>1222</v>
      </c>
      <c r="D1042" s="190" t="s">
        <v>1255</v>
      </c>
      <c r="E1042" s="269" t="s">
        <v>1261</v>
      </c>
      <c r="G1042" s="570"/>
      <c r="H1042" s="76" t="s">
        <v>75</v>
      </c>
      <c r="J1042" s="269">
        <v>56</v>
      </c>
      <c r="K1042" s="269">
        <v>5868</v>
      </c>
      <c r="L1042" s="114">
        <f t="shared" si="445"/>
        <v>328608</v>
      </c>
      <c r="M1042" s="168"/>
      <c r="P1042" s="160"/>
      <c r="Q1042" s="160"/>
      <c r="R1042" s="76" t="s">
        <v>1140</v>
      </c>
      <c r="S1042" s="76" t="s">
        <v>1257</v>
      </c>
      <c r="T1042" s="387">
        <v>46288</v>
      </c>
      <c r="U1042" s="569"/>
      <c r="V1042" s="569"/>
      <c r="W1042" s="76">
        <f t="shared" si="446"/>
        <v>0</v>
      </c>
      <c r="X1042" s="161"/>
      <c r="Y1042" s="269">
        <v>56</v>
      </c>
      <c r="Z1042" s="155">
        <v>5275</v>
      </c>
      <c r="AA1042" s="114">
        <f t="shared" si="447"/>
        <v>295400</v>
      </c>
      <c r="AB1042" s="155"/>
      <c r="AC1042" s="155"/>
      <c r="AD1042" s="163"/>
      <c r="AE1042" s="155"/>
      <c r="AF1042" s="155"/>
      <c r="AG1042" s="155"/>
      <c r="AH1042" s="155"/>
      <c r="AM1042" s="155"/>
      <c r="AN1042" s="155"/>
      <c r="AQ1042" s="760"/>
      <c r="AR1042" s="569"/>
      <c r="AS1042" s="569"/>
      <c r="AT1042" s="569"/>
      <c r="AW1042" s="569"/>
      <c r="AX1042" s="157"/>
      <c r="AY1042" s="155"/>
      <c r="AZ1042" s="168"/>
      <c r="BA1042" s="168"/>
      <c r="BB1042" s="168"/>
      <c r="BC1042" s="168"/>
      <c r="BI1042" s="169"/>
      <c r="BJ1042" s="160"/>
      <c r="BP1042" s="157"/>
      <c r="BQ1042" s="569"/>
    </row>
    <row r="1043" s="77" customFormat="1" customHeight="1" spans="1:69">
      <c r="A1043" s="76" t="s">
        <v>414</v>
      </c>
      <c r="B1043" s="76" t="s">
        <v>578</v>
      </c>
      <c r="C1043" s="569" t="s">
        <v>1222</v>
      </c>
      <c r="D1043" s="190" t="s">
        <v>1255</v>
      </c>
      <c r="E1043" s="269" t="s">
        <v>1262</v>
      </c>
      <c r="G1043" s="570"/>
      <c r="H1043" s="76" t="s">
        <v>75</v>
      </c>
      <c r="J1043" s="269">
        <v>25</v>
      </c>
      <c r="K1043" s="269">
        <v>6005</v>
      </c>
      <c r="L1043" s="114">
        <f t="shared" si="445"/>
        <v>150125</v>
      </c>
      <c r="M1043" s="168"/>
      <c r="P1043" s="160"/>
      <c r="Q1043" s="160"/>
      <c r="R1043" s="76" t="s">
        <v>1140</v>
      </c>
      <c r="S1043" s="76" t="s">
        <v>1257</v>
      </c>
      <c r="T1043" s="387">
        <v>46288</v>
      </c>
      <c r="U1043" s="569"/>
      <c r="V1043" s="569"/>
      <c r="W1043" s="76">
        <f t="shared" si="446"/>
        <v>0</v>
      </c>
      <c r="X1043" s="161"/>
      <c r="Y1043" s="269">
        <v>25</v>
      </c>
      <c r="Z1043" s="155">
        <v>5380</v>
      </c>
      <c r="AA1043" s="114">
        <f t="shared" si="447"/>
        <v>134500</v>
      </c>
      <c r="AB1043" s="155"/>
      <c r="AC1043" s="155"/>
      <c r="AD1043" s="163"/>
      <c r="AE1043" s="155"/>
      <c r="AF1043" s="155"/>
      <c r="AG1043" s="155"/>
      <c r="AH1043" s="155"/>
      <c r="AM1043" s="155"/>
      <c r="AN1043" s="155"/>
      <c r="AQ1043" s="760"/>
      <c r="AR1043" s="569"/>
      <c r="AS1043" s="569"/>
      <c r="AT1043" s="569"/>
      <c r="AW1043" s="569"/>
      <c r="AX1043" s="157"/>
      <c r="AY1043" s="155"/>
      <c r="AZ1043" s="168"/>
      <c r="BA1043" s="168"/>
      <c r="BB1043" s="168"/>
      <c r="BC1043" s="168"/>
      <c r="BI1043" s="169"/>
      <c r="BJ1043" s="160"/>
      <c r="BP1043" s="157"/>
      <c r="BQ1043" s="569"/>
    </row>
    <row r="1044" s="77" customFormat="1" customHeight="1" spans="1:69">
      <c r="A1044" s="76" t="s">
        <v>414</v>
      </c>
      <c r="B1044" s="76" t="s">
        <v>578</v>
      </c>
      <c r="C1044" s="569" t="s">
        <v>1222</v>
      </c>
      <c r="D1044" s="190" t="s">
        <v>1255</v>
      </c>
      <c r="E1044" s="269" t="s">
        <v>1263</v>
      </c>
      <c r="G1044" s="570"/>
      <c r="H1044" s="76" t="s">
        <v>75</v>
      </c>
      <c r="J1044" s="269">
        <v>10</v>
      </c>
      <c r="K1044" s="269">
        <v>6005</v>
      </c>
      <c r="L1044" s="114">
        <f t="shared" si="445"/>
        <v>60050</v>
      </c>
      <c r="M1044" s="168"/>
      <c r="P1044" s="160"/>
      <c r="Q1044" s="160"/>
      <c r="R1044" s="76" t="s">
        <v>1140</v>
      </c>
      <c r="S1044" s="76" t="s">
        <v>1257</v>
      </c>
      <c r="T1044" s="387">
        <v>46288</v>
      </c>
      <c r="U1044" s="569"/>
      <c r="V1044" s="569"/>
      <c r="W1044" s="76">
        <f t="shared" si="446"/>
        <v>0</v>
      </c>
      <c r="X1044" s="161"/>
      <c r="Y1044" s="269">
        <v>10</v>
      </c>
      <c r="Z1044" s="155">
        <v>5380</v>
      </c>
      <c r="AA1044" s="114">
        <f t="shared" si="447"/>
        <v>53800</v>
      </c>
      <c r="AB1044" s="155"/>
      <c r="AC1044" s="155"/>
      <c r="AD1044" s="163"/>
      <c r="AE1044" s="155"/>
      <c r="AF1044" s="155"/>
      <c r="AG1044" s="155"/>
      <c r="AH1044" s="155"/>
      <c r="AM1044" s="155"/>
      <c r="AN1044" s="155"/>
      <c r="AQ1044" s="760"/>
      <c r="AR1044" s="569"/>
      <c r="AS1044" s="569"/>
      <c r="AT1044" s="569"/>
      <c r="AW1044" s="569"/>
      <c r="AX1044" s="157"/>
      <c r="AY1044" s="155"/>
      <c r="AZ1044" s="168"/>
      <c r="BA1044" s="168"/>
      <c r="BB1044" s="168"/>
      <c r="BC1044" s="168"/>
      <c r="BI1044" s="169"/>
      <c r="BJ1044" s="160"/>
      <c r="BP1044" s="157"/>
      <c r="BQ1044" s="569"/>
    </row>
    <row r="1045" s="77" customFormat="1" customHeight="1" spans="1:69">
      <c r="A1045" s="76" t="s">
        <v>414</v>
      </c>
      <c r="B1045" s="76" t="s">
        <v>578</v>
      </c>
      <c r="C1045" s="569" t="s">
        <v>1222</v>
      </c>
      <c r="D1045" s="190" t="s">
        <v>1255</v>
      </c>
      <c r="E1045" s="269" t="s">
        <v>1264</v>
      </c>
      <c r="G1045" s="570"/>
      <c r="H1045" s="76" t="s">
        <v>75</v>
      </c>
      <c r="J1045" s="269">
        <v>12</v>
      </c>
      <c r="K1045" s="269">
        <v>5463</v>
      </c>
      <c r="L1045" s="114">
        <f t="shared" si="445"/>
        <v>65556</v>
      </c>
      <c r="M1045" s="168"/>
      <c r="P1045" s="160"/>
      <c r="Q1045" s="160"/>
      <c r="R1045" s="76" t="s">
        <v>1140</v>
      </c>
      <c r="S1045" s="76" t="s">
        <v>1257</v>
      </c>
      <c r="T1045" s="387">
        <v>46288</v>
      </c>
      <c r="U1045" s="569"/>
      <c r="V1045" s="569"/>
      <c r="W1045" s="76">
        <f t="shared" si="446"/>
        <v>0</v>
      </c>
      <c r="X1045" s="161"/>
      <c r="Y1045" s="269">
        <v>12</v>
      </c>
      <c r="Z1045" s="155">
        <v>4880</v>
      </c>
      <c r="AA1045" s="114">
        <f t="shared" si="447"/>
        <v>58560</v>
      </c>
      <c r="AB1045" s="155"/>
      <c r="AC1045" s="155"/>
      <c r="AD1045" s="163"/>
      <c r="AE1045" s="155"/>
      <c r="AF1045" s="155"/>
      <c r="AG1045" s="155"/>
      <c r="AH1045" s="155"/>
      <c r="AM1045" s="155"/>
      <c r="AN1045" s="155"/>
      <c r="AQ1045" s="760"/>
      <c r="AR1045" s="569"/>
      <c r="AS1045" s="569"/>
      <c r="AT1045" s="569"/>
      <c r="AW1045" s="569"/>
      <c r="AX1045" s="157"/>
      <c r="AY1045" s="155"/>
      <c r="AZ1045" s="168"/>
      <c r="BA1045" s="168"/>
      <c r="BB1045" s="168"/>
      <c r="BC1045" s="168"/>
      <c r="BI1045" s="169"/>
      <c r="BJ1045" s="160"/>
      <c r="BP1045" s="157"/>
      <c r="BQ1045" s="569"/>
    </row>
    <row r="1046" s="77" customFormat="1" customHeight="1" spans="1:69">
      <c r="A1046" s="76" t="s">
        <v>414</v>
      </c>
      <c r="B1046" s="76" t="s">
        <v>578</v>
      </c>
      <c r="C1046" s="569" t="s">
        <v>1222</v>
      </c>
      <c r="D1046" s="190" t="s">
        <v>1255</v>
      </c>
      <c r="E1046" s="269" t="s">
        <v>1265</v>
      </c>
      <c r="G1046" s="570"/>
      <c r="H1046" s="76" t="s">
        <v>75</v>
      </c>
      <c r="J1046" s="190">
        <v>26</v>
      </c>
      <c r="K1046" s="190">
        <v>5463</v>
      </c>
      <c r="L1046" s="114">
        <f t="shared" si="445"/>
        <v>142038</v>
      </c>
      <c r="M1046" s="168"/>
      <c r="P1046" s="160"/>
      <c r="Q1046" s="160"/>
      <c r="R1046" s="76" t="s">
        <v>1140</v>
      </c>
      <c r="S1046" s="76" t="s">
        <v>1257</v>
      </c>
      <c r="T1046" s="387">
        <v>46288</v>
      </c>
      <c r="U1046" s="387"/>
      <c r="V1046" s="387"/>
      <c r="W1046" s="76">
        <f t="shared" si="446"/>
        <v>0</v>
      </c>
      <c r="X1046" s="133"/>
      <c r="Y1046" s="190">
        <v>26</v>
      </c>
      <c r="Z1046" s="155">
        <v>4880</v>
      </c>
      <c r="AA1046" s="114">
        <f t="shared" si="447"/>
        <v>126880</v>
      </c>
      <c r="AB1046" s="155"/>
      <c r="AC1046" s="155"/>
      <c r="AD1046" s="163"/>
      <c r="AE1046" s="155"/>
      <c r="AF1046" s="155"/>
      <c r="AG1046" s="155"/>
      <c r="AH1046" s="155"/>
      <c r="AM1046" s="155"/>
      <c r="AN1046" s="155"/>
      <c r="AQ1046" s="760"/>
      <c r="AR1046" s="569"/>
      <c r="AS1046" s="569"/>
      <c r="AT1046" s="569"/>
      <c r="AW1046" s="569"/>
      <c r="AX1046" s="157"/>
      <c r="AY1046" s="155"/>
      <c r="AZ1046" s="168"/>
      <c r="BA1046" s="168"/>
      <c r="BB1046" s="168"/>
      <c r="BC1046" s="168"/>
      <c r="BI1046" s="169"/>
      <c r="BJ1046" s="160"/>
      <c r="BP1046" s="157"/>
      <c r="BQ1046" s="569"/>
    </row>
    <row r="1047" s="422" customFormat="1" ht="14.4" spans="1:69">
      <c r="A1047" s="422" t="s">
        <v>414</v>
      </c>
      <c r="C1047" s="619"/>
      <c r="D1047" s="422" t="s">
        <v>1255</v>
      </c>
      <c r="G1047" s="686"/>
      <c r="H1047" s="422" t="s">
        <v>75</v>
      </c>
      <c r="J1047" s="687">
        <f>SUM(J1038:J1046)</f>
        <v>233</v>
      </c>
      <c r="K1047" s="687"/>
      <c r="L1047" s="687">
        <f>SUM(L1038:L1046)</f>
        <v>1356488</v>
      </c>
      <c r="M1047" s="693">
        <f>SUM(M1030:M1046)</f>
        <v>0</v>
      </c>
      <c r="N1047" s="693">
        <f>SUM(N1038:N1046)</f>
        <v>0</v>
      </c>
      <c r="O1047" s="693">
        <f>SUM(O1030:O1046)</f>
        <v>0</v>
      </c>
      <c r="R1047" s="79" t="s">
        <v>1140</v>
      </c>
      <c r="T1047" s="688"/>
      <c r="U1047" s="688"/>
      <c r="V1047" s="688"/>
      <c r="W1047" s="687"/>
      <c r="X1047" s="689"/>
      <c r="Y1047" s="687">
        <f>SUM(Y1038:Y1046)</f>
        <v>233</v>
      </c>
      <c r="Z1047" s="690"/>
      <c r="AA1047" s="687">
        <f>SUM(AA1038:AA1046)</f>
        <v>1217560</v>
      </c>
      <c r="AB1047" s="690"/>
      <c r="AC1047" s="690"/>
      <c r="AD1047" s="692"/>
      <c r="AE1047" s="690"/>
      <c r="AF1047" s="690"/>
      <c r="AG1047" s="690"/>
      <c r="AH1047" s="690"/>
      <c r="AM1047" s="690"/>
      <c r="AN1047" s="690"/>
      <c r="AQ1047" s="619"/>
      <c r="AR1047" s="619"/>
      <c r="AS1047" s="688"/>
      <c r="AT1047" s="688"/>
      <c r="AW1047" s="688"/>
      <c r="AX1047" s="687"/>
      <c r="AY1047" s="690"/>
      <c r="AZ1047" s="693"/>
      <c r="BA1047" s="693"/>
      <c r="BB1047" s="693"/>
      <c r="BC1047" s="693"/>
      <c r="BI1047" s="743"/>
    </row>
    <row r="1048" s="76" customFormat="1" ht="30.95" customHeight="1" spans="1:69">
      <c r="A1048" s="76" t="s">
        <v>451</v>
      </c>
      <c r="C1048" s="387"/>
      <c r="D1048" s="76" t="s">
        <v>1266</v>
      </c>
      <c r="E1048" s="76" t="s">
        <v>1143</v>
      </c>
      <c r="G1048" s="479"/>
      <c r="H1048" s="76" t="s">
        <v>93</v>
      </c>
      <c r="J1048" s="264">
        <v>54</v>
      </c>
      <c r="K1048" s="373">
        <f t="shared" ref="K1048:K1051" si="449">Z1048+340</f>
        <v>5970</v>
      </c>
      <c r="L1048" s="129">
        <f t="shared" ref="L1048:L1051" si="450">J1048*K1048</f>
        <v>322380</v>
      </c>
      <c r="M1048" s="129"/>
      <c r="P1048" s="91"/>
      <c r="Q1048" s="91"/>
      <c r="R1048" s="76" t="s">
        <v>1140</v>
      </c>
      <c r="S1048" s="76" t="s">
        <v>1267</v>
      </c>
      <c r="T1048" s="387">
        <v>46289</v>
      </c>
      <c r="U1048" s="387"/>
      <c r="V1048" s="387"/>
      <c r="W1048" s="76">
        <f t="shared" ref="W1048:W1051" si="451">V1048-U1048</f>
        <v>0</v>
      </c>
      <c r="X1048" s="133"/>
      <c r="Y1048" s="76">
        <v>54</v>
      </c>
      <c r="Z1048" s="140">
        <v>5630</v>
      </c>
      <c r="AA1048" s="114">
        <f t="shared" ref="AA1048:AA1051" si="452">Y1048*Z1048</f>
        <v>304020</v>
      </c>
      <c r="AB1048" s="114"/>
      <c r="AC1048" s="114"/>
      <c r="AD1048" s="140"/>
      <c r="AE1048" s="114"/>
      <c r="AF1048" s="114"/>
      <c r="AG1048" s="114"/>
      <c r="AH1048" s="114"/>
      <c r="AM1048" s="114"/>
      <c r="AN1048" s="114"/>
      <c r="AQ1048" s="387"/>
      <c r="AR1048" s="387"/>
      <c r="AS1048" s="387"/>
      <c r="AT1048" s="387"/>
      <c r="AW1048" s="387"/>
      <c r="AX1048" s="129"/>
      <c r="AY1048" s="114"/>
      <c r="AZ1048" s="127"/>
      <c r="BA1048" s="127"/>
      <c r="BB1048" s="127"/>
      <c r="BC1048" s="127"/>
      <c r="BI1048" s="75"/>
      <c r="BJ1048" s="91"/>
    </row>
    <row r="1049" s="79" customFormat="1" customHeight="1" spans="1:69">
      <c r="A1049" s="79" t="s">
        <v>451</v>
      </c>
      <c r="C1049" s="463"/>
      <c r="D1049" s="79" t="s">
        <v>1266</v>
      </c>
      <c r="G1049" s="486"/>
      <c r="H1049" s="419" t="s">
        <v>93</v>
      </c>
      <c r="J1049" s="579">
        <f t="shared" ref="J1049:N1049" si="453">SUM(J1048)</f>
        <v>54</v>
      </c>
      <c r="K1049" s="194"/>
      <c r="L1049" s="748">
        <f t="shared" si="453"/>
        <v>322380</v>
      </c>
      <c r="M1049" s="194"/>
      <c r="N1049" s="79">
        <f t="shared" si="453"/>
        <v>0</v>
      </c>
      <c r="R1049" s="463"/>
      <c r="T1049" s="463"/>
      <c r="U1049" s="463"/>
      <c r="V1049" s="463"/>
      <c r="X1049" s="193"/>
      <c r="Y1049" s="79">
        <f>SUM(Y1048)</f>
        <v>54</v>
      </c>
      <c r="Z1049" s="192"/>
      <c r="AA1049" s="79">
        <f>SUM(AA1048)</f>
        <v>304020</v>
      </c>
      <c r="AB1049" s="192"/>
      <c r="AC1049" s="192"/>
      <c r="AD1049" s="196"/>
      <c r="AE1049" s="192"/>
      <c r="AF1049" s="192"/>
      <c r="AG1049" s="192"/>
      <c r="AH1049" s="192"/>
      <c r="AM1049" s="192"/>
      <c r="AN1049" s="192"/>
      <c r="AQ1049" s="463"/>
      <c r="AR1049" s="463"/>
      <c r="AS1049" s="463"/>
      <c r="AT1049" s="463"/>
      <c r="AW1049" s="463"/>
      <c r="AX1049" s="194"/>
      <c r="AY1049" s="192"/>
      <c r="AZ1049" s="150"/>
      <c r="BA1049" s="150"/>
      <c r="BB1049" s="150"/>
      <c r="BC1049" s="150"/>
      <c r="BI1049" s="151"/>
      <c r="BL1049" s="79" t="str">
        <f t="shared" ref="BL1049:BL1051" si="454">D1049</f>
        <v>TJTW-159</v>
      </c>
      <c r="BM1049" s="79" t="str">
        <f t="shared" ref="BM1049:BM1051" si="455">A1049</f>
        <v>SKARDENES</v>
      </c>
      <c r="BP1049" s="79">
        <f t="shared" ref="BP1049:BP1051" si="456">J1049</f>
        <v>54</v>
      </c>
      <c r="BQ1049" s="79">
        <f t="shared" ref="BQ1049:BQ1051" si="457">U1049</f>
        <v>0</v>
      </c>
    </row>
    <row r="1050" s="76" customFormat="1" ht="14.4" spans="1:69">
      <c r="A1050" s="76" t="s">
        <v>797</v>
      </c>
      <c r="B1050" s="76" t="s">
        <v>578</v>
      </c>
      <c r="C1050" s="387"/>
      <c r="D1050" s="76" t="s">
        <v>1268</v>
      </c>
      <c r="E1050" s="76" t="s">
        <v>1269</v>
      </c>
      <c r="G1050" s="479"/>
      <c r="H1050" s="76" t="s">
        <v>93</v>
      </c>
      <c r="J1050" s="129">
        <v>15</v>
      </c>
      <c r="K1050" s="129">
        <f t="shared" si="449"/>
        <v>5400</v>
      </c>
      <c r="L1050" s="129">
        <f t="shared" si="450"/>
        <v>81000</v>
      </c>
      <c r="M1050" s="129"/>
      <c r="N1050" s="114"/>
      <c r="O1050" s="199">
        <f>L1050-N1050</f>
        <v>81000</v>
      </c>
      <c r="P1050" s="91"/>
      <c r="Q1050" s="91"/>
      <c r="R1050" s="76" t="s">
        <v>1140</v>
      </c>
      <c r="S1050" s="76" t="s">
        <v>1270</v>
      </c>
      <c r="T1050" s="387">
        <v>46301</v>
      </c>
      <c r="U1050" s="387"/>
      <c r="V1050" s="387"/>
      <c r="W1050" s="76">
        <f t="shared" si="451"/>
        <v>0</v>
      </c>
      <c r="X1050" s="133"/>
      <c r="Y1050" s="750">
        <v>15</v>
      </c>
      <c r="Z1050" s="114">
        <v>5060</v>
      </c>
      <c r="AA1050" s="114">
        <f>Y1050*Z1050</f>
        <v>75900</v>
      </c>
      <c r="AB1050" s="114"/>
      <c r="AC1050" s="114">
        <f>AA1050-AB1050</f>
        <v>75900</v>
      </c>
      <c r="AD1050" s="140"/>
      <c r="AE1050" s="114"/>
      <c r="AF1050" s="114"/>
      <c r="AG1050" s="114"/>
      <c r="AH1050" s="114"/>
      <c r="AI1050" s="91"/>
      <c r="AM1050" s="114"/>
      <c r="AN1050" s="114"/>
      <c r="AP1050" s="91"/>
      <c r="AQ1050" s="746">
        <f>V1050</f>
        <v>0</v>
      </c>
      <c r="AR1050" s="387">
        <f>V1050-30</f>
        <v>-30</v>
      </c>
      <c r="AS1050" s="387"/>
      <c r="AT1050" s="387"/>
      <c r="AW1050" s="387"/>
      <c r="AX1050" s="129"/>
      <c r="AY1050" s="114"/>
      <c r="AZ1050" s="127"/>
      <c r="BA1050" s="127"/>
      <c r="BB1050" s="127"/>
      <c r="BC1050" s="127"/>
      <c r="BI1050" s="75"/>
      <c r="BJ1050" s="91"/>
      <c r="BL1050" s="76" t="str">
        <f t="shared" si="454"/>
        <v>TJTW-160</v>
      </c>
      <c r="BM1050" s="76" t="str">
        <f t="shared" si="455"/>
        <v>INTEX</v>
      </c>
      <c r="BO1050" s="76" t="str">
        <f>E1050</f>
        <v>0.30*790*855 2.0/2.0 TS 275 BA</v>
      </c>
      <c r="BP1050" s="129">
        <f t="shared" si="456"/>
        <v>15</v>
      </c>
      <c r="BQ1050" s="387">
        <f t="shared" si="457"/>
        <v>0</v>
      </c>
    </row>
    <row r="1051" s="76" customFormat="1" ht="14.4" spans="1:69">
      <c r="A1051" s="76" t="s">
        <v>797</v>
      </c>
      <c r="B1051" s="76" t="s">
        <v>578</v>
      </c>
      <c r="C1051" s="387"/>
      <c r="D1051" s="76" t="s">
        <v>1268</v>
      </c>
      <c r="E1051" s="76" t="s">
        <v>1136</v>
      </c>
      <c r="G1051" s="479"/>
      <c r="H1051" s="76" t="s">
        <v>93</v>
      </c>
      <c r="J1051" s="129">
        <v>10</v>
      </c>
      <c r="K1051" s="129">
        <f t="shared" si="449"/>
        <v>5400</v>
      </c>
      <c r="L1051" s="129">
        <f t="shared" si="450"/>
        <v>54000</v>
      </c>
      <c r="M1051" s="129"/>
      <c r="O1051" s="199">
        <f>L1051-N1051</f>
        <v>54000</v>
      </c>
      <c r="P1051" s="91"/>
      <c r="Q1051" s="91"/>
      <c r="R1051" s="76" t="s">
        <v>1140</v>
      </c>
      <c r="S1051" s="76" t="s">
        <v>1270</v>
      </c>
      <c r="T1051" s="387">
        <v>46301</v>
      </c>
      <c r="U1051" s="387"/>
      <c r="V1051" s="387"/>
      <c r="W1051" s="76">
        <f t="shared" si="451"/>
        <v>0</v>
      </c>
      <c r="X1051" s="133"/>
      <c r="Y1051" s="750">
        <v>10</v>
      </c>
      <c r="Z1051" s="114">
        <v>5060</v>
      </c>
      <c r="AA1051" s="114">
        <f t="shared" si="452"/>
        <v>50600</v>
      </c>
      <c r="AB1051" s="114"/>
      <c r="AC1051" s="114">
        <f>AA1051-AB1051</f>
        <v>50600</v>
      </c>
      <c r="AD1051" s="140"/>
      <c r="AE1051" s="114"/>
      <c r="AF1051" s="114"/>
      <c r="AG1051" s="114"/>
      <c r="AH1051" s="114"/>
      <c r="AI1051" s="91"/>
      <c r="AM1051" s="114"/>
      <c r="AN1051" s="114"/>
      <c r="AP1051" s="91"/>
      <c r="AQ1051" s="746"/>
      <c r="AR1051" s="387"/>
      <c r="AS1051" s="387"/>
      <c r="AT1051" s="387"/>
      <c r="AW1051" s="387"/>
      <c r="AX1051" s="129"/>
      <c r="AY1051" s="114"/>
      <c r="AZ1051" s="127"/>
      <c r="BA1051" s="127"/>
      <c r="BB1051" s="127"/>
      <c r="BC1051" s="127"/>
      <c r="BI1051" s="75"/>
      <c r="BJ1051" s="91"/>
      <c r="BL1051" s="76" t="str">
        <f t="shared" si="454"/>
        <v>TJTW-160</v>
      </c>
      <c r="BM1051" s="76" t="str">
        <f t="shared" si="455"/>
        <v>INTEX</v>
      </c>
      <c r="BO1051" s="76" t="str">
        <f>E1051</f>
        <v>0.30*1000*665 2.0/2.0 BA TS 275</v>
      </c>
      <c r="BP1051" s="129">
        <f t="shared" si="456"/>
        <v>10</v>
      </c>
      <c r="BQ1051" s="387">
        <f t="shared" si="457"/>
        <v>0</v>
      </c>
    </row>
    <row r="1052" s="79" customFormat="1" ht="14.4" spans="1:69">
      <c r="A1052" s="79" t="s">
        <v>797</v>
      </c>
      <c r="B1052" s="79" t="s">
        <v>578</v>
      </c>
      <c r="C1052" s="517"/>
      <c r="D1052" s="79" t="s">
        <v>1268</v>
      </c>
      <c r="G1052" s="486"/>
      <c r="H1052" s="79" t="s">
        <v>93</v>
      </c>
      <c r="J1052" s="194">
        <f t="shared" ref="J1052:O1052" si="458">SUM(J1050:J1051)</f>
        <v>25</v>
      </c>
      <c r="K1052" s="194"/>
      <c r="L1052" s="194">
        <f>SUM(L1050:L1051)</f>
        <v>135000</v>
      </c>
      <c r="M1052" s="194">
        <f>SUM(M1050:M1050)</f>
        <v>0</v>
      </c>
      <c r="N1052" s="194">
        <f t="shared" si="458"/>
        <v>0</v>
      </c>
      <c r="O1052" s="194">
        <f t="shared" si="458"/>
        <v>135000</v>
      </c>
      <c r="R1052" s="79" t="s">
        <v>88</v>
      </c>
      <c r="T1052" s="463"/>
      <c r="U1052" s="463"/>
      <c r="V1052" s="463"/>
      <c r="X1052" s="193"/>
      <c r="Y1052" s="194">
        <f t="shared" ref="Y1052:AC1052" si="459">SUM(Y1050:Y1051)</f>
        <v>25</v>
      </c>
      <c r="Z1052" s="194"/>
      <c r="AA1052" s="194">
        <f>SUM(AA1050:AA1051)</f>
        <v>126500</v>
      </c>
      <c r="AB1052" s="194">
        <f>SUM(AB1050:AB1050)</f>
        <v>0</v>
      </c>
      <c r="AC1052" s="194">
        <f t="shared" si="459"/>
        <v>126500</v>
      </c>
      <c r="AD1052" s="196"/>
      <c r="AE1052" s="192"/>
      <c r="AF1052" s="192"/>
      <c r="AG1052" s="192"/>
      <c r="AH1052" s="192"/>
      <c r="AK1052" s="194">
        <f>SUM(AK1050:AK1050)</f>
        <v>0</v>
      </c>
      <c r="AM1052" s="192"/>
      <c r="AN1052" s="192"/>
      <c r="AQ1052" s="463"/>
      <c r="AR1052" s="463"/>
      <c r="AS1052" s="463"/>
      <c r="AT1052" s="463"/>
      <c r="AW1052" s="463"/>
      <c r="AX1052" s="194"/>
      <c r="AY1052" s="192"/>
      <c r="AZ1052" s="150"/>
      <c r="BA1052" s="150"/>
      <c r="BB1052" s="150"/>
      <c r="BC1052" s="150"/>
      <c r="BI1052" s="151"/>
    </row>
    <row r="1053" s="76" customFormat="1" ht="30.95" customHeight="1" spans="1:69">
      <c r="A1053" s="76" t="s">
        <v>706</v>
      </c>
      <c r="C1053" s="387"/>
      <c r="D1053" s="76" t="s">
        <v>1271</v>
      </c>
      <c r="E1053" s="113" t="s">
        <v>1272</v>
      </c>
      <c r="G1053" s="479"/>
      <c r="H1053" s="76" t="s">
        <v>93</v>
      </c>
      <c r="J1053" s="264">
        <v>232000</v>
      </c>
      <c r="K1053" s="373">
        <v>0.224</v>
      </c>
      <c r="L1053" s="129">
        <f>J1053*K1053</f>
        <v>51968</v>
      </c>
      <c r="M1053" s="129"/>
      <c r="P1053" s="91"/>
      <c r="Q1053" s="91"/>
      <c r="R1053" s="76" t="s">
        <v>88</v>
      </c>
      <c r="S1053" s="76" t="s">
        <v>1273</v>
      </c>
      <c r="T1053" s="387">
        <v>46302</v>
      </c>
      <c r="U1053" s="387"/>
      <c r="V1053" s="387"/>
      <c r="W1053" s="76">
        <f>V1053-U1053</f>
        <v>0</v>
      </c>
      <c r="X1053" s="133"/>
      <c r="Y1053" s="76">
        <v>232000</v>
      </c>
      <c r="Z1053" s="140">
        <v>0.24</v>
      </c>
      <c r="AA1053" s="114">
        <f>Y1053*Z1053</f>
        <v>55680</v>
      </c>
      <c r="AB1053" s="114"/>
      <c r="AC1053" s="114"/>
      <c r="AD1053" s="140"/>
      <c r="AE1053" s="114"/>
      <c r="AF1053" s="114"/>
      <c r="AG1053" s="114"/>
      <c r="AH1053" s="114"/>
      <c r="AM1053" s="114"/>
      <c r="AN1053" s="114"/>
      <c r="AQ1053" s="387"/>
      <c r="AR1053" s="387"/>
      <c r="AS1053" s="387"/>
      <c r="AT1053" s="387"/>
      <c r="AW1053" s="387"/>
      <c r="AX1053" s="129"/>
      <c r="AY1053" s="114"/>
      <c r="AZ1053" s="127"/>
      <c r="BA1053" s="127"/>
      <c r="BB1053" s="127"/>
      <c r="BC1053" s="127"/>
      <c r="BI1053" s="75"/>
      <c r="BJ1053" s="91"/>
    </row>
    <row r="1054" s="79" customFormat="1" customHeight="1" spans="1:69">
      <c r="A1054" s="79" t="s">
        <v>706</v>
      </c>
      <c r="C1054" s="463"/>
      <c r="D1054" s="79" t="s">
        <v>1266</v>
      </c>
      <c r="G1054" s="486"/>
      <c r="H1054" s="419" t="s">
        <v>93</v>
      </c>
      <c r="J1054" s="579">
        <f t="shared" ref="J1054:N1054" si="460">SUM(J1053)</f>
        <v>232000</v>
      </c>
      <c r="K1054" s="194"/>
      <c r="L1054" s="748">
        <f t="shared" si="460"/>
        <v>51968</v>
      </c>
      <c r="M1054" s="194"/>
      <c r="N1054" s="79">
        <f t="shared" si="460"/>
        <v>0</v>
      </c>
      <c r="R1054" s="463"/>
      <c r="T1054" s="463"/>
      <c r="U1054" s="463"/>
      <c r="V1054" s="463"/>
      <c r="X1054" s="193"/>
      <c r="Y1054" s="79">
        <f>SUM(Y1053)</f>
        <v>232000</v>
      </c>
      <c r="Z1054" s="192"/>
      <c r="AA1054" s="79">
        <f>SUM(AA1053)</f>
        <v>55680</v>
      </c>
      <c r="AB1054" s="192"/>
      <c r="AC1054" s="192"/>
      <c r="AD1054" s="196"/>
      <c r="AE1054" s="192"/>
      <c r="AF1054" s="192"/>
      <c r="AG1054" s="192"/>
      <c r="AH1054" s="192"/>
      <c r="AM1054" s="192"/>
      <c r="AN1054" s="192"/>
      <c r="AQ1054" s="463"/>
      <c r="AR1054" s="463"/>
      <c r="AS1054" s="463"/>
      <c r="AT1054" s="463"/>
      <c r="AW1054" s="463"/>
      <c r="AX1054" s="194"/>
      <c r="AY1054" s="192"/>
      <c r="AZ1054" s="150"/>
      <c r="BA1054" s="150"/>
      <c r="BB1054" s="150"/>
      <c r="BC1054" s="150"/>
      <c r="BI1054" s="151"/>
      <c r="BL1054" s="79" t="str">
        <f>D1054</f>
        <v>TJTW-159</v>
      </c>
      <c r="BM1054" s="79" t="str">
        <f>A1054</f>
        <v>SPC</v>
      </c>
      <c r="BP1054" s="79">
        <f>J1054</f>
        <v>232000</v>
      </c>
      <c r="BQ1054" s="79">
        <f>U1054</f>
        <v>0</v>
      </c>
    </row>
  </sheetData>
  <autoFilter xmlns:etc="http://www.wps.cn/officeDocument/2017/etCustomData" ref="A1:BR1054" etc:filterBottomFollowUsedRange="0">
    <extLst/>
  </autoFilter>
  <mergeCells count="3">
    <mergeCell ref="R1:AC1"/>
    <mergeCell ref="AK1:AO1"/>
    <mergeCell ref="AX1:BI1"/>
  </mergeCells>
  <conditionalFormatting sqref="BC31">
    <cfRule type="cellIs" dxfId="0" priority="157" operator="greaterThan">
      <formula>0.1</formula>
    </cfRule>
    <cfRule type="cellIs" dxfId="1" priority="158" operator="lessThan">
      <formula>-0.1</formula>
    </cfRule>
    <cfRule type="cellIs" dxfId="2" priority="159" operator="equal">
      <formula>0</formula>
    </cfRule>
  </conditionalFormatting>
  <conditionalFormatting sqref="BC42">
    <cfRule type="cellIs" dxfId="0" priority="160" operator="greaterThan">
      <formula>0.1</formula>
    </cfRule>
    <cfRule type="cellIs" dxfId="1" priority="161" operator="lessThan">
      <formula>-0.1</formula>
    </cfRule>
    <cfRule type="cellIs" dxfId="2" priority="162" operator="equal">
      <formula>0</formula>
    </cfRule>
  </conditionalFormatting>
  <conditionalFormatting sqref="BC282">
    <cfRule type="cellIs" dxfId="0" priority="211" operator="greaterThan">
      <formula>0.1</formula>
    </cfRule>
    <cfRule type="cellIs" dxfId="1" priority="212" operator="lessThan">
      <formula>-0.1</formula>
    </cfRule>
    <cfRule type="cellIs" dxfId="2" priority="213" operator="equal">
      <formula>0</formula>
    </cfRule>
  </conditionalFormatting>
  <conditionalFormatting sqref="BC289">
    <cfRule type="cellIs" dxfId="0" priority="208" operator="greaterThan">
      <formula>0.1</formula>
    </cfRule>
    <cfRule type="cellIs" dxfId="1" priority="209" operator="lessThan">
      <formula>-0.1</formula>
    </cfRule>
    <cfRule type="cellIs" dxfId="2" priority="210" operator="equal">
      <formula>0</formula>
    </cfRule>
  </conditionalFormatting>
  <conditionalFormatting sqref="BC300">
    <cfRule type="cellIs" dxfId="0" priority="223" operator="greaterThan">
      <formula>0.1</formula>
    </cfRule>
    <cfRule type="cellIs" dxfId="1" priority="224" operator="lessThan">
      <formula>-0.1</formula>
    </cfRule>
    <cfRule type="cellIs" dxfId="2" priority="225" operator="equal">
      <formula>0</formula>
    </cfRule>
  </conditionalFormatting>
  <conditionalFormatting sqref="BC304">
    <cfRule type="cellIs" dxfId="0" priority="172" operator="greaterThan">
      <formula>0.1</formula>
    </cfRule>
    <cfRule type="cellIs" dxfId="1" priority="173" operator="lessThan">
      <formula>-0.1</formula>
    </cfRule>
    <cfRule type="cellIs" dxfId="2" priority="174" operator="equal">
      <formula>0</formula>
    </cfRule>
  </conditionalFormatting>
  <conditionalFormatting sqref="BC309">
    <cfRule type="cellIs" dxfId="0" priority="202" operator="greaterThan">
      <formula>0.1</formula>
    </cfRule>
    <cfRule type="cellIs" dxfId="1" priority="203" operator="lessThan">
      <formula>-0.1</formula>
    </cfRule>
    <cfRule type="cellIs" dxfId="2" priority="204" operator="equal">
      <formula>0</formula>
    </cfRule>
  </conditionalFormatting>
  <conditionalFormatting sqref="BC329">
    <cfRule type="cellIs" dxfId="0" priority="175" operator="greaterThan">
      <formula>0.1</formula>
    </cfRule>
    <cfRule type="cellIs" dxfId="1" priority="176" operator="lessThan">
      <formula>-0.1</formula>
    </cfRule>
    <cfRule type="cellIs" dxfId="2" priority="177" operator="equal">
      <formula>0</formula>
    </cfRule>
  </conditionalFormatting>
  <conditionalFormatting sqref="BC361">
    <cfRule type="cellIs" dxfId="0" priority="124" operator="greaterThan">
      <formula>0.1</formula>
    </cfRule>
    <cfRule type="cellIs" dxfId="1" priority="125" operator="lessThan">
      <formula>-0.1</formula>
    </cfRule>
    <cfRule type="cellIs" dxfId="2" priority="126" operator="equal">
      <formula>0</formula>
    </cfRule>
  </conditionalFormatting>
  <conditionalFormatting sqref="BC366">
    <cfRule type="cellIs" dxfId="0" priority="121" operator="greaterThan">
      <formula>0.1</formula>
    </cfRule>
    <cfRule type="cellIs" dxfId="1" priority="122" operator="lessThan">
      <formula>-0.1</formula>
    </cfRule>
    <cfRule type="cellIs" dxfId="2" priority="123" operator="equal">
      <formula>0</formula>
    </cfRule>
  </conditionalFormatting>
  <conditionalFormatting sqref="BC427">
    <cfRule type="cellIs" dxfId="0" priority="118" operator="greaterThan">
      <formula>0.1</formula>
    </cfRule>
    <cfRule type="cellIs" dxfId="1" priority="119" operator="lessThan">
      <formula>-0.1</formula>
    </cfRule>
    <cfRule type="cellIs" dxfId="2" priority="120" operator="equal">
      <formula>0</formula>
    </cfRule>
  </conditionalFormatting>
  <conditionalFormatting sqref="BC430">
    <cfRule type="cellIs" dxfId="0" priority="139" operator="greaterThan">
      <formula>0.1</formula>
    </cfRule>
    <cfRule type="cellIs" dxfId="1" priority="140" operator="lessThan">
      <formula>-0.1</formula>
    </cfRule>
    <cfRule type="cellIs" dxfId="2" priority="141" operator="equal">
      <formula>0</formula>
    </cfRule>
  </conditionalFormatting>
  <conditionalFormatting sqref="BC432">
    <cfRule type="cellIs" dxfId="0" priority="136" operator="greaterThan">
      <formula>0.1</formula>
    </cfRule>
    <cfRule type="cellIs" dxfId="1" priority="137" operator="lessThan">
      <formula>-0.1</formula>
    </cfRule>
    <cfRule type="cellIs" dxfId="2" priority="138" operator="equal">
      <formula>0</formula>
    </cfRule>
  </conditionalFormatting>
  <conditionalFormatting sqref="BC435">
    <cfRule type="cellIs" dxfId="0" priority="163" operator="greaterThan">
      <formula>0.1</formula>
    </cfRule>
    <cfRule type="cellIs" dxfId="1" priority="164" operator="lessThan">
      <formula>-0.1</formula>
    </cfRule>
    <cfRule type="cellIs" dxfId="2" priority="165" operator="equal">
      <formula>0</formula>
    </cfRule>
  </conditionalFormatting>
  <conditionalFormatting sqref="BC458">
    <cfRule type="cellIs" dxfId="0" priority="166" operator="greaterThan">
      <formula>0.1</formula>
    </cfRule>
    <cfRule type="cellIs" dxfId="1" priority="167" operator="lessThan">
      <formula>-0.1</formula>
    </cfRule>
    <cfRule type="cellIs" dxfId="2" priority="168" operator="equal">
      <formula>0</formula>
    </cfRule>
  </conditionalFormatting>
  <conditionalFormatting sqref="BC461">
    <cfRule type="cellIs" dxfId="0" priority="112" operator="greaterThan">
      <formula>0.1</formula>
    </cfRule>
    <cfRule type="cellIs" dxfId="1" priority="113" operator="lessThan">
      <formula>-0.1</formula>
    </cfRule>
    <cfRule type="cellIs" dxfId="2" priority="114" operator="equal">
      <formula>0</formula>
    </cfRule>
  </conditionalFormatting>
  <conditionalFormatting sqref="BC475">
    <cfRule type="cellIs" dxfId="0" priority="127" operator="greaterThan">
      <formula>0.1</formula>
    </cfRule>
    <cfRule type="cellIs" dxfId="1" priority="128" operator="lessThan">
      <formula>-0.1</formula>
    </cfRule>
    <cfRule type="cellIs" dxfId="2" priority="129" operator="equal">
      <formula>0</formula>
    </cfRule>
  </conditionalFormatting>
  <conditionalFormatting sqref="AR833">
    <cfRule type="aboveAverage" dxfId="3" priority="108"/>
  </conditionalFormatting>
  <conditionalFormatting sqref="AR844">
    <cfRule type="aboveAverage" dxfId="3" priority="109"/>
  </conditionalFormatting>
  <conditionalFormatting sqref="AR855">
    <cfRule type="aboveAverage" dxfId="3" priority="107"/>
  </conditionalFormatting>
  <conditionalFormatting sqref="AJ858">
    <cfRule type="aboveAverage" dxfId="3" priority="106"/>
  </conditionalFormatting>
  <conditionalFormatting sqref="AJ861">
    <cfRule type="aboveAverage" dxfId="3" priority="105"/>
  </conditionalFormatting>
  <conditionalFormatting sqref="AJ865">
    <cfRule type="aboveAverage" dxfId="3" priority="104"/>
  </conditionalFormatting>
  <conditionalFormatting sqref="AR874">
    <cfRule type="aboveAverage" dxfId="3" priority="100"/>
  </conditionalFormatting>
  <conditionalFormatting sqref="AR877">
    <cfRule type="aboveAverage" dxfId="3" priority="97"/>
  </conditionalFormatting>
  <conditionalFormatting sqref="AR878">
    <cfRule type="aboveAverage" dxfId="3" priority="89"/>
  </conditionalFormatting>
  <conditionalFormatting sqref="AR879">
    <cfRule type="aboveAverage" dxfId="3" priority="95"/>
  </conditionalFormatting>
  <conditionalFormatting sqref="AR880">
    <cfRule type="aboveAverage" dxfId="3" priority="91"/>
  </conditionalFormatting>
  <conditionalFormatting sqref="AR881">
    <cfRule type="aboveAverage" dxfId="3" priority="94"/>
  </conditionalFormatting>
  <conditionalFormatting sqref="AJ884">
    <cfRule type="aboveAverage" dxfId="3" priority="92"/>
  </conditionalFormatting>
  <conditionalFormatting sqref="AR898">
    <cfRule type="aboveAverage" dxfId="3" priority="74"/>
  </conditionalFormatting>
  <conditionalFormatting sqref="BC898">
    <cfRule type="cellIs" dxfId="0" priority="82" operator="greaterThan">
      <formula>0.1</formula>
    </cfRule>
    <cfRule type="cellIs" dxfId="1" priority="83" operator="lessThan">
      <formula>-0.1</formula>
    </cfRule>
    <cfRule type="cellIs" dxfId="2" priority="84" operator="equal">
      <formula>0</formula>
    </cfRule>
  </conditionalFormatting>
  <conditionalFormatting sqref="AR899">
    <cfRule type="aboveAverage" dxfId="3" priority="81"/>
  </conditionalFormatting>
  <conditionalFormatting sqref="AR900">
    <cfRule type="aboveAverage" dxfId="3" priority="73"/>
  </conditionalFormatting>
  <conditionalFormatting sqref="AR901">
    <cfRule type="aboveAverage" dxfId="3" priority="80"/>
  </conditionalFormatting>
  <conditionalFormatting sqref="AR904">
    <cfRule type="aboveAverage" dxfId="3" priority="78"/>
  </conditionalFormatting>
  <conditionalFormatting sqref="AR905">
    <cfRule type="aboveAverage" dxfId="3" priority="71"/>
  </conditionalFormatting>
  <conditionalFormatting sqref="AR906">
    <cfRule type="aboveAverage" dxfId="3" priority="77"/>
  </conditionalFormatting>
  <conditionalFormatting sqref="AR907">
    <cfRule type="aboveAverage" dxfId="3" priority="70"/>
  </conditionalFormatting>
  <conditionalFormatting sqref="AR908">
    <cfRule type="aboveAverage" dxfId="3" priority="76"/>
  </conditionalFormatting>
  <conditionalFormatting sqref="AR920">
    <cfRule type="aboveAverage" dxfId="3" priority="68"/>
  </conditionalFormatting>
  <conditionalFormatting sqref="AR930">
    <cfRule type="aboveAverage" dxfId="3" priority="66"/>
  </conditionalFormatting>
  <conditionalFormatting sqref="AR938">
    <cfRule type="aboveAverage" dxfId="3" priority="64"/>
  </conditionalFormatting>
  <conditionalFormatting sqref="AR946">
    <cfRule type="aboveAverage" dxfId="3" priority="58"/>
  </conditionalFormatting>
  <conditionalFormatting sqref="AR947">
    <cfRule type="aboveAverage" dxfId="3" priority="57"/>
  </conditionalFormatting>
  <conditionalFormatting sqref="AR948">
    <cfRule type="aboveAverage" dxfId="3" priority="59"/>
  </conditionalFormatting>
  <conditionalFormatting sqref="AR955">
    <cfRule type="aboveAverage" dxfId="3" priority="55"/>
  </conditionalFormatting>
  <conditionalFormatting sqref="AR956">
    <cfRule type="aboveAverage" dxfId="3" priority="53"/>
  </conditionalFormatting>
  <conditionalFormatting sqref="AR957">
    <cfRule type="aboveAverage" dxfId="3" priority="54"/>
  </conditionalFormatting>
  <conditionalFormatting sqref="AR965">
    <cfRule type="aboveAverage" dxfId="3" priority="50"/>
  </conditionalFormatting>
  <conditionalFormatting sqref="AR966">
    <cfRule type="aboveAverage" dxfId="3" priority="49"/>
  </conditionalFormatting>
  <conditionalFormatting sqref="AR967">
    <cfRule type="aboveAverage" dxfId="3" priority="52"/>
  </conditionalFormatting>
  <conditionalFormatting sqref="AR973">
    <cfRule type="aboveAverage" dxfId="3" priority="46"/>
  </conditionalFormatting>
  <conditionalFormatting sqref="AR983">
    <cfRule type="aboveAverage" dxfId="3" priority="44"/>
  </conditionalFormatting>
  <conditionalFormatting sqref="AR984">
    <cfRule type="aboveAverage" dxfId="3" priority="42"/>
  </conditionalFormatting>
  <conditionalFormatting sqref="AR985">
    <cfRule type="aboveAverage" dxfId="3" priority="43"/>
  </conditionalFormatting>
  <conditionalFormatting sqref="AR994">
    <cfRule type="aboveAverage" dxfId="3" priority="37"/>
  </conditionalFormatting>
  <conditionalFormatting sqref="AJ995">
    <cfRule type="aboveAverage" dxfId="3" priority="38"/>
  </conditionalFormatting>
  <conditionalFormatting sqref="AR998">
    <cfRule type="aboveAverage" dxfId="3" priority="35"/>
  </conditionalFormatting>
  <conditionalFormatting sqref="AR999">
    <cfRule type="aboveAverage" dxfId="3" priority="34"/>
  </conditionalFormatting>
  <conditionalFormatting sqref="AR1000">
    <cfRule type="aboveAverage" dxfId="3" priority="33"/>
  </conditionalFormatting>
  <conditionalFormatting sqref="AR1001">
    <cfRule type="aboveAverage" dxfId="3" priority="32"/>
  </conditionalFormatting>
  <conditionalFormatting sqref="AR1002">
    <cfRule type="aboveAverage" dxfId="3" priority="30"/>
  </conditionalFormatting>
  <conditionalFormatting sqref="AR1003">
    <cfRule type="aboveAverage" dxfId="3" priority="31"/>
  </conditionalFormatting>
  <conditionalFormatting sqref="AR1007">
    <cfRule type="aboveAverage" dxfId="3" priority="29"/>
  </conditionalFormatting>
  <conditionalFormatting sqref="AR1014">
    <cfRule type="aboveAverage" dxfId="3" priority="27"/>
  </conditionalFormatting>
  <conditionalFormatting sqref="AR1015">
    <cfRule type="aboveAverage" dxfId="3" priority="24"/>
  </conditionalFormatting>
  <conditionalFormatting sqref="AR1016">
    <cfRule type="aboveAverage" dxfId="3" priority="25"/>
  </conditionalFormatting>
  <conditionalFormatting sqref="AR1017">
    <cfRule type="aboveAverage" dxfId="3" priority="22"/>
  </conditionalFormatting>
  <conditionalFormatting sqref="AR1018">
    <cfRule type="aboveAverage" dxfId="3" priority="23"/>
  </conditionalFormatting>
  <conditionalFormatting sqref="AR1019">
    <cfRule type="aboveAverage" dxfId="3" priority="20"/>
  </conditionalFormatting>
  <conditionalFormatting sqref="AR1020">
    <cfRule type="aboveAverage" dxfId="3" priority="21"/>
  </conditionalFormatting>
  <conditionalFormatting sqref="AR1021">
    <cfRule type="aboveAverage" dxfId="3" priority="18"/>
  </conditionalFormatting>
  <conditionalFormatting sqref="AR1022">
    <cfRule type="aboveAverage" dxfId="3" priority="19"/>
  </conditionalFormatting>
  <conditionalFormatting sqref="AR1028">
    <cfRule type="aboveAverage" dxfId="3" priority="15"/>
  </conditionalFormatting>
  <conditionalFormatting sqref="AR1029">
    <cfRule type="aboveAverage" dxfId="3" priority="14"/>
  </conditionalFormatting>
  <conditionalFormatting sqref="AR1033">
    <cfRule type="aboveAverage" dxfId="3" priority="11"/>
  </conditionalFormatting>
  <conditionalFormatting sqref="AR1034">
    <cfRule type="aboveAverage" dxfId="3" priority="10"/>
  </conditionalFormatting>
  <conditionalFormatting sqref="AR1035">
    <cfRule type="aboveAverage" dxfId="3" priority="12"/>
  </conditionalFormatting>
  <conditionalFormatting sqref="AR1036">
    <cfRule type="aboveAverage" dxfId="3" priority="8"/>
  </conditionalFormatting>
  <conditionalFormatting sqref="AR1046">
    <cfRule type="aboveAverage" dxfId="3" priority="6"/>
  </conditionalFormatting>
  <conditionalFormatting sqref="AR1047">
    <cfRule type="aboveAverage" dxfId="3" priority="7"/>
  </conditionalFormatting>
  <conditionalFormatting sqref="AR1048">
    <cfRule type="aboveAverage" dxfId="3" priority="5"/>
  </conditionalFormatting>
  <conditionalFormatting sqref="AR1049">
    <cfRule type="aboveAverage" dxfId="3" priority="4"/>
  </conditionalFormatting>
  <conditionalFormatting sqref="AR1053">
    <cfRule type="aboveAverage" dxfId="3" priority="2"/>
  </conditionalFormatting>
  <conditionalFormatting sqref="AR1054">
    <cfRule type="aboveAverage" dxfId="3" priority="1"/>
  </conditionalFormatting>
  <conditionalFormatting sqref="AQ875:AQ876">
    <cfRule type="aboveAverage" dxfId="3" priority="96"/>
  </conditionalFormatting>
  <conditionalFormatting sqref="AR851:AR852">
    <cfRule type="aboveAverage" dxfId="3" priority="110"/>
  </conditionalFormatting>
  <conditionalFormatting sqref="AR853:AR854">
    <cfRule type="aboveAverage" dxfId="3" priority="103"/>
  </conditionalFormatting>
  <conditionalFormatting sqref="AR866:AR867">
    <cfRule type="aboveAverage" dxfId="3" priority="102"/>
  </conditionalFormatting>
  <conditionalFormatting sqref="AR868:AR869">
    <cfRule type="aboveAverage" dxfId="3" priority="101"/>
  </conditionalFormatting>
  <conditionalFormatting sqref="AR882:AR883">
    <cfRule type="aboveAverage" dxfId="3" priority="90"/>
  </conditionalFormatting>
  <conditionalFormatting sqref="AR885:AR890">
    <cfRule type="aboveAverage" dxfId="3" priority="86"/>
  </conditionalFormatting>
  <conditionalFormatting sqref="AR892:AR893">
    <cfRule type="aboveAverage" dxfId="3" priority="88"/>
  </conditionalFormatting>
  <conditionalFormatting sqref="AR894:AR895">
    <cfRule type="aboveAverage" dxfId="3" priority="87"/>
  </conditionalFormatting>
  <conditionalFormatting sqref="AR896:AR897">
    <cfRule type="aboveAverage" dxfId="3" priority="85"/>
  </conditionalFormatting>
  <conditionalFormatting sqref="AR902:AR903">
    <cfRule type="aboveAverage" dxfId="3" priority="72"/>
  </conditionalFormatting>
  <conditionalFormatting sqref="AR909:AR911">
    <cfRule type="aboveAverage" dxfId="3" priority="75"/>
  </conditionalFormatting>
  <conditionalFormatting sqref="AR912:AR914">
    <cfRule type="aboveAverage" dxfId="3" priority="69"/>
  </conditionalFormatting>
  <conditionalFormatting sqref="AR915:AR919">
    <cfRule type="aboveAverage" dxfId="3" priority="67"/>
  </conditionalFormatting>
  <conditionalFormatting sqref="AR921:AR929">
    <cfRule type="aboveAverage" dxfId="3" priority="65"/>
  </conditionalFormatting>
  <conditionalFormatting sqref="AR931:AR937">
    <cfRule type="aboveAverage" dxfId="3" priority="63"/>
  </conditionalFormatting>
  <conditionalFormatting sqref="AR939:AR940">
    <cfRule type="aboveAverage" dxfId="3" priority="62"/>
  </conditionalFormatting>
  <conditionalFormatting sqref="AR941:AR942">
    <cfRule type="aboveAverage" dxfId="3" priority="61"/>
  </conditionalFormatting>
  <conditionalFormatting sqref="AR943:AR945">
    <cfRule type="aboveAverage" dxfId="3" priority="60"/>
  </conditionalFormatting>
  <conditionalFormatting sqref="AR949:AR950">
    <cfRule type="aboveAverage" dxfId="3" priority="56"/>
  </conditionalFormatting>
  <conditionalFormatting sqref="AR958:AR964">
    <cfRule type="aboveAverage" dxfId="3" priority="51"/>
  </conditionalFormatting>
  <conditionalFormatting sqref="AR968:AR969">
    <cfRule type="aboveAverage" dxfId="3" priority="47"/>
  </conditionalFormatting>
  <conditionalFormatting sqref="AR970:AR971">
    <cfRule type="aboveAverage" dxfId="3" priority="48"/>
  </conditionalFormatting>
  <conditionalFormatting sqref="AR974:AR976">
    <cfRule type="aboveAverage" dxfId="3" priority="45"/>
  </conditionalFormatting>
  <conditionalFormatting sqref="AR987:AR989">
    <cfRule type="aboveAverage" dxfId="3" priority="41"/>
  </conditionalFormatting>
  <conditionalFormatting sqref="AR990:AR991">
    <cfRule type="aboveAverage" dxfId="3" priority="40"/>
  </conditionalFormatting>
  <conditionalFormatting sqref="AR992:AR993">
    <cfRule type="aboveAverage" dxfId="3" priority="39"/>
  </conditionalFormatting>
  <conditionalFormatting sqref="AR996:AR997">
    <cfRule type="aboveAverage" dxfId="3" priority="36"/>
  </conditionalFormatting>
  <conditionalFormatting sqref="AR1004:AR1006">
    <cfRule type="aboveAverage" dxfId="3" priority="28"/>
  </conditionalFormatting>
  <conditionalFormatting sqref="AR1008:AR1013">
    <cfRule type="aboveAverage" dxfId="3" priority="26"/>
  </conditionalFormatting>
  <conditionalFormatting sqref="AR1023:AR1024">
    <cfRule type="aboveAverage" dxfId="3" priority="17"/>
  </conditionalFormatting>
  <conditionalFormatting sqref="AR1025:AR1027">
    <cfRule type="aboveAverage" dxfId="3" priority="16"/>
  </conditionalFormatting>
  <conditionalFormatting sqref="AR1030:AR1032">
    <cfRule type="aboveAverage" dxfId="3" priority="13"/>
  </conditionalFormatting>
  <conditionalFormatting sqref="AR1037:AR1045">
    <cfRule type="aboveAverage" dxfId="3" priority="9"/>
  </conditionalFormatting>
  <conditionalFormatting sqref="AR1050:AR1052">
    <cfRule type="aboveAverage" dxfId="3" priority="3"/>
  </conditionalFormatting>
  <conditionalFormatting sqref="BC56:BC159">
    <cfRule type="cellIs" dxfId="0" priority="205" operator="greaterThan">
      <formula>0.1</formula>
    </cfRule>
    <cfRule type="cellIs" dxfId="1" priority="206" operator="lessThan">
      <formula>-0.1</formula>
    </cfRule>
    <cfRule type="cellIs" dxfId="2" priority="207" operator="equal">
      <formula>0</formula>
    </cfRule>
  </conditionalFormatting>
  <conditionalFormatting sqref="BC161:BC197">
    <cfRule type="cellIs" dxfId="0" priority="217" operator="greaterThan">
      <formula>0.1</formula>
    </cfRule>
    <cfRule type="cellIs" dxfId="1" priority="218" operator="lessThan">
      <formula>-0.1</formula>
    </cfRule>
    <cfRule type="cellIs" dxfId="2" priority="219" operator="equal">
      <formula>0</formula>
    </cfRule>
  </conditionalFormatting>
  <conditionalFormatting sqref="BC231:BC257">
    <cfRule type="cellIs" dxfId="0" priority="229" operator="greaterThan">
      <formula>0.1</formula>
    </cfRule>
    <cfRule type="cellIs" dxfId="1" priority="230" operator="lessThan">
      <formula>-0.1</formula>
    </cfRule>
    <cfRule type="cellIs" dxfId="2" priority="231" operator="equal">
      <formula>0</formula>
    </cfRule>
  </conditionalFormatting>
  <conditionalFormatting sqref="BC259:BC275">
    <cfRule type="cellIs" dxfId="0" priority="214" operator="greaterThan">
      <formula>0.1</formula>
    </cfRule>
    <cfRule type="cellIs" dxfId="1" priority="215" operator="lessThan">
      <formula>-0.1</formula>
    </cfRule>
    <cfRule type="cellIs" dxfId="2" priority="216" operator="equal">
      <formula>0</formula>
    </cfRule>
  </conditionalFormatting>
  <conditionalFormatting sqref="BC333:BC344">
    <cfRule type="cellIs" dxfId="0" priority="151" operator="greaterThan">
      <formula>0.1</formula>
    </cfRule>
    <cfRule type="cellIs" dxfId="1" priority="152" operator="lessThan">
      <formula>-0.1</formula>
    </cfRule>
    <cfRule type="cellIs" dxfId="2" priority="153" operator="equal">
      <formula>0</formula>
    </cfRule>
  </conditionalFormatting>
  <conditionalFormatting sqref="BC346:BC349">
    <cfRule type="cellIs" dxfId="0" priority="184" operator="greaterThan">
      <formula>0.1</formula>
    </cfRule>
    <cfRule type="cellIs" dxfId="1" priority="185" operator="lessThan">
      <formula>-0.1</formula>
    </cfRule>
    <cfRule type="cellIs" dxfId="2" priority="186" operator="equal">
      <formula>0</formula>
    </cfRule>
  </conditionalFormatting>
  <conditionalFormatting sqref="BC352:BC359">
    <cfRule type="cellIs" dxfId="0" priority="148" operator="greaterThan">
      <formula>0.1</formula>
    </cfRule>
    <cfRule type="cellIs" dxfId="1" priority="149" operator="lessThan">
      <formula>-0.1</formula>
    </cfRule>
    <cfRule type="cellIs" dxfId="2" priority="150" operator="equal">
      <formula>0</formula>
    </cfRule>
  </conditionalFormatting>
  <conditionalFormatting sqref="BC383:BC392">
    <cfRule type="cellIs" dxfId="0" priority="130" operator="greaterThan">
      <formula>0.1</formula>
    </cfRule>
    <cfRule type="cellIs" dxfId="1" priority="131" operator="lessThan">
      <formula>-0.1</formula>
    </cfRule>
    <cfRule type="cellIs" dxfId="2" priority="132" operator="equal">
      <formula>0</formula>
    </cfRule>
  </conditionalFormatting>
  <conditionalFormatting sqref="AR1:AR832 AR834:AR843 AR845:AR850 AR856:AR857 AR859:AR860 AR862:AR864 AR870:AR873 AR875:AR876 AR891 AR951:AR954 AR972 AR977:AR982 AR986 AR1055:AR1048576">
    <cfRule type="aboveAverage" dxfId="3" priority="111"/>
  </conditionalFormatting>
  <conditionalFormatting sqref="BC29 BC203:BC229">
    <cfRule type="cellIs" dxfId="0" priority="220" operator="greaterThan">
      <formula>0.1</formula>
    </cfRule>
    <cfRule type="cellIs" dxfId="1" priority="221" operator="lessThan">
      <formula>-0.1</formula>
    </cfRule>
    <cfRule type="cellIs" dxfId="2" priority="222" operator="equal">
      <formula>0</formula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I24"/>
  <sheetViews>
    <sheetView zoomScale="115" zoomScaleNormal="115" workbookViewId="0">
      <selection activeCell="D11" sqref="D11"/>
    </sheetView>
  </sheetViews>
  <sheetFormatPr defaultColWidth="8.87962962962963" defaultRowHeight="14.4"/>
  <cols>
    <col min="1" max="2" width="8.87962962962963" style="1"/>
    <col min="3" max="3" width="14.6296296296296" style="1" customWidth="1"/>
    <col min="4" max="4" width="11.5" style="1" customWidth="1"/>
    <col min="5" max="5" width="19" style="1" customWidth="1"/>
    <col min="6" max="6" width="24.6296296296296" style="1" customWidth="1"/>
    <col min="7" max="15" width="8.87962962962963" style="1" customWidth="1"/>
    <col min="16" max="17" width="9.62962962962963" style="1" customWidth="1"/>
    <col min="18" max="22" width="9.62962962962963" style="1"/>
    <col min="23" max="23" width="8.12962962962963" style="1" customWidth="1"/>
    <col min="24" max="35" width="8.87962962962963" style="1"/>
    <col min="36" max="36" width="8" style="1" customWidth="1"/>
    <col min="37" max="16384" width="8.87962962962963" style="1"/>
  </cols>
  <sheetData>
    <row r="1" s="411" customFormat="1" spans="1:35">
      <c r="A1" s="412" t="s">
        <v>744</v>
      </c>
    </row>
    <row r="2" s="412" customFormat="1" spans="1:35">
      <c r="A2" s="412" t="s">
        <v>1274</v>
      </c>
      <c r="B2" s="412" t="s">
        <v>1275</v>
      </c>
      <c r="C2" s="412" t="s">
        <v>1276</v>
      </c>
      <c r="E2" s="412" t="s">
        <v>1277</v>
      </c>
      <c r="F2" s="412" t="s">
        <v>1278</v>
      </c>
      <c r="H2" s="412" t="s">
        <v>1279</v>
      </c>
      <c r="I2" s="412" t="s">
        <v>1280</v>
      </c>
      <c r="J2" s="412" t="s">
        <v>1281</v>
      </c>
      <c r="K2" s="412" t="s">
        <v>1282</v>
      </c>
      <c r="L2" s="412" t="s">
        <v>760</v>
      </c>
      <c r="M2" s="412" t="s">
        <v>718</v>
      </c>
      <c r="N2" s="412" t="s">
        <v>746</v>
      </c>
      <c r="O2" s="412" t="s">
        <v>784</v>
      </c>
      <c r="P2" s="412" t="s">
        <v>901</v>
      </c>
      <c r="Q2" s="412" t="s">
        <v>948</v>
      </c>
      <c r="R2" s="412" t="s">
        <v>1070</v>
      </c>
      <c r="S2" s="412" t="s">
        <v>1100</v>
      </c>
      <c r="T2" s="412" t="s">
        <v>1138</v>
      </c>
      <c r="U2" s="412" t="s">
        <v>1159</v>
      </c>
      <c r="V2" s="412" t="s">
        <v>1188</v>
      </c>
    </row>
    <row r="3" spans="1:35">
      <c r="A3" s="1">
        <v>13</v>
      </c>
      <c r="B3" s="1">
        <v>96</v>
      </c>
      <c r="C3" s="1" t="s">
        <v>1283</v>
      </c>
      <c r="D3" s="1" t="s">
        <v>1284</v>
      </c>
      <c r="E3" s="1" t="s">
        <v>1285</v>
      </c>
      <c r="F3" s="1">
        <v>1493</v>
      </c>
      <c r="G3" s="1" t="s">
        <v>1286</v>
      </c>
      <c r="H3" s="413">
        <f>SUM(I3:V3)</f>
        <v>362.939</v>
      </c>
      <c r="J3" s="1">
        <v>25.585</v>
      </c>
      <c r="K3" s="1">
        <v>24.956</v>
      </c>
      <c r="N3" s="1">
        <v>27.566</v>
      </c>
      <c r="O3" s="1">
        <v>30.576</v>
      </c>
      <c r="P3" s="1">
        <v>59.371</v>
      </c>
      <c r="R3" s="1">
        <v>54.18</v>
      </c>
      <c r="S3" s="1">
        <v>59.705</v>
      </c>
      <c r="T3" s="414"/>
      <c r="U3" s="414">
        <v>54</v>
      </c>
      <c r="V3" s="414">
        <v>27</v>
      </c>
    </row>
    <row r="4" spans="1:35">
      <c r="A4" s="1">
        <v>8</v>
      </c>
      <c r="B4" s="1">
        <v>107.8</v>
      </c>
      <c r="C4" s="1">
        <v>0.18</v>
      </c>
      <c r="D4" s="1" t="s">
        <v>1287</v>
      </c>
      <c r="E4" s="1" t="s">
        <v>1288</v>
      </c>
      <c r="F4" s="1">
        <v>1760</v>
      </c>
      <c r="G4" s="1" t="s">
        <v>1289</v>
      </c>
      <c r="H4" s="413">
        <f t="shared" ref="H3:H11" si="0">SUM(I4:V4)</f>
        <v>1171.068</v>
      </c>
      <c r="I4" s="1">
        <v>24.544</v>
      </c>
      <c r="J4" s="1">
        <v>76.278</v>
      </c>
      <c r="K4" s="1">
        <v>118.963</v>
      </c>
      <c r="M4" s="1">
        <v>153.728</v>
      </c>
      <c r="N4" s="1">
        <v>139.77</v>
      </c>
      <c r="O4" s="1">
        <v>57.168</v>
      </c>
      <c r="P4" s="1">
        <v>107.273</v>
      </c>
      <c r="Q4" s="1">
        <v>60.12</v>
      </c>
      <c r="S4" s="1">
        <v>55.224</v>
      </c>
      <c r="T4" s="414">
        <v>108</v>
      </c>
      <c r="U4" s="414">
        <v>135</v>
      </c>
      <c r="V4" s="414">
        <v>135</v>
      </c>
    </row>
    <row r="5" spans="1:35">
      <c r="A5" s="1">
        <v>12</v>
      </c>
      <c r="B5" s="1">
        <v>115.5</v>
      </c>
      <c r="C5" s="1" t="s">
        <v>1283</v>
      </c>
      <c r="D5" s="1" t="s">
        <v>1290</v>
      </c>
      <c r="E5" s="1" t="s">
        <v>1291</v>
      </c>
      <c r="G5" s="1" t="s">
        <v>1286</v>
      </c>
      <c r="H5" s="413">
        <f t="shared" si="0"/>
        <v>167.954</v>
      </c>
      <c r="J5" s="1">
        <v>32.594</v>
      </c>
      <c r="S5" s="1">
        <v>27.36</v>
      </c>
      <c r="T5" s="414">
        <v>27</v>
      </c>
      <c r="U5" s="414">
        <v>54</v>
      </c>
      <c r="V5" s="414">
        <v>27</v>
      </c>
    </row>
    <row r="6" spans="1:35">
      <c r="A6" s="1" t="s">
        <v>1163</v>
      </c>
      <c r="C6" s="1" t="s">
        <v>1283</v>
      </c>
      <c r="D6" s="1" t="s">
        <v>1292</v>
      </c>
      <c r="E6" s="1" t="s">
        <v>1293</v>
      </c>
      <c r="H6" s="413">
        <f t="shared" si="0"/>
        <v>54</v>
      </c>
      <c r="J6" s="1">
        <v>0</v>
      </c>
      <c r="T6" s="414"/>
      <c r="U6" s="414">
        <v>27</v>
      </c>
      <c r="V6" s="414">
        <v>27</v>
      </c>
    </row>
    <row r="7" spans="1:35">
      <c r="A7" s="1">
        <v>7</v>
      </c>
      <c r="B7" s="1">
        <v>99.8</v>
      </c>
      <c r="C7" s="1" t="s">
        <v>1294</v>
      </c>
      <c r="D7" s="1" t="s">
        <v>1295</v>
      </c>
      <c r="E7" s="1" t="s">
        <v>1296</v>
      </c>
      <c r="G7" s="1" t="s">
        <v>1289</v>
      </c>
      <c r="H7" s="413">
        <f t="shared" si="0"/>
        <v>814.936</v>
      </c>
      <c r="I7" s="1">
        <v>146.338</v>
      </c>
      <c r="J7" s="1">
        <v>150.579</v>
      </c>
      <c r="K7" s="1">
        <v>19.808</v>
      </c>
      <c r="M7" s="1">
        <v>82.987</v>
      </c>
      <c r="N7" s="1">
        <v>114.386</v>
      </c>
      <c r="O7" s="1">
        <v>116.556</v>
      </c>
      <c r="P7" s="1">
        <f>47.856+27.984</f>
        <v>75.84</v>
      </c>
      <c r="Q7" s="1">
        <v>27.442</v>
      </c>
      <c r="T7" s="414"/>
      <c r="U7" s="414"/>
      <c r="V7" s="414">
        <f>54+27</f>
        <v>81</v>
      </c>
    </row>
    <row r="8" spans="1:35">
      <c r="A8" s="1">
        <v>11</v>
      </c>
      <c r="B8" s="1">
        <v>162.8</v>
      </c>
      <c r="C8" s="1" t="s">
        <v>1283</v>
      </c>
      <c r="D8" s="1" t="s">
        <v>1292</v>
      </c>
      <c r="E8" s="1" t="s">
        <v>1297</v>
      </c>
      <c r="F8" s="1">
        <v>1493</v>
      </c>
      <c r="G8" s="1" t="s">
        <v>1286</v>
      </c>
      <c r="H8" s="413">
        <f t="shared" si="0"/>
        <v>375.095</v>
      </c>
      <c r="J8" s="1">
        <v>21.729</v>
      </c>
      <c r="R8" s="1">
        <v>55.79</v>
      </c>
      <c r="S8" s="1">
        <v>54.576</v>
      </c>
      <c r="T8" s="414">
        <v>81</v>
      </c>
      <c r="U8" s="414">
        <v>81</v>
      </c>
      <c r="V8" s="414">
        <v>81</v>
      </c>
    </row>
    <row r="9" spans="1:35">
      <c r="A9" s="1">
        <v>10</v>
      </c>
      <c r="B9" s="1">
        <v>99.54</v>
      </c>
      <c r="C9" s="1" t="s">
        <v>1283</v>
      </c>
      <c r="D9" s="414" t="s">
        <v>1298</v>
      </c>
      <c r="E9" s="1" t="s">
        <v>1299</v>
      </c>
      <c r="G9" s="1" t="s">
        <v>1286</v>
      </c>
      <c r="H9" s="413">
        <f t="shared" si="0"/>
        <v>299.506</v>
      </c>
      <c r="J9" s="1">
        <v>0</v>
      </c>
      <c r="K9" s="1">
        <v>37.343</v>
      </c>
      <c r="N9" s="1">
        <v>30.582</v>
      </c>
      <c r="O9" s="1">
        <v>26.388</v>
      </c>
      <c r="P9" s="1">
        <v>48.457</v>
      </c>
      <c r="S9" s="1">
        <v>48.736</v>
      </c>
      <c r="T9" s="414">
        <v>54</v>
      </c>
      <c r="U9" s="414">
        <v>27</v>
      </c>
      <c r="V9" s="414">
        <v>27</v>
      </c>
    </row>
    <row r="10" spans="1:35">
      <c r="A10" s="1">
        <v>9</v>
      </c>
      <c r="B10" s="1">
        <v>90.5</v>
      </c>
      <c r="C10" s="1">
        <v>0.15</v>
      </c>
      <c r="D10" s="414" t="s">
        <v>1300</v>
      </c>
      <c r="E10" s="1" t="s">
        <v>1301</v>
      </c>
      <c r="H10" s="413">
        <f t="shared" si="0"/>
        <v>119.015</v>
      </c>
      <c r="K10" s="1">
        <v>33.392</v>
      </c>
      <c r="N10" s="1">
        <v>28.054</v>
      </c>
      <c r="O10" s="1">
        <v>57.5689999999999</v>
      </c>
      <c r="T10" s="414"/>
      <c r="U10" s="414"/>
      <c r="V10" s="414"/>
    </row>
    <row r="11" spans="1:35">
      <c r="A11" s="415" t="s">
        <v>1302</v>
      </c>
      <c r="H11" s="413">
        <f t="shared" si="0"/>
        <v>3127.798</v>
      </c>
      <c r="I11" s="1">
        <f>SUM(I3:I10)</f>
        <v>170.882</v>
      </c>
      <c r="J11" s="1">
        <f>SUM(J3:J10)</f>
        <v>306.765</v>
      </c>
      <c r="K11" s="1">
        <f>SUM(K3:K10)</f>
        <v>234.462</v>
      </c>
      <c r="L11" s="1">
        <f>SUM(L3:L10)</f>
        <v>0</v>
      </c>
      <c r="N11" s="1">
        <f t="shared" ref="N11:V11" si="1">SUM(N3:N10)</f>
        <v>340.358</v>
      </c>
      <c r="O11" s="1">
        <f t="shared" si="1"/>
        <v>288.257</v>
      </c>
      <c r="P11" s="1">
        <f t="shared" si="1"/>
        <v>290.941</v>
      </c>
      <c r="Q11" s="1">
        <f t="shared" si="1"/>
        <v>87.562</v>
      </c>
      <c r="R11" s="1">
        <f t="shared" si="1"/>
        <v>109.97</v>
      </c>
      <c r="S11" s="1">
        <f t="shared" si="1"/>
        <v>245.601</v>
      </c>
      <c r="T11" s="414">
        <f t="shared" si="1"/>
        <v>270</v>
      </c>
      <c r="U11" s="414">
        <f t="shared" si="1"/>
        <v>378</v>
      </c>
      <c r="V11" s="414">
        <f t="shared" si="1"/>
        <v>405</v>
      </c>
    </row>
    <row r="12" spans="1:35">
      <c r="T12" s="414"/>
      <c r="U12" s="414"/>
      <c r="V12" s="414"/>
    </row>
    <row r="13" s="411" customFormat="1" spans="1:35">
      <c r="A13" s="412" t="s">
        <v>1303</v>
      </c>
      <c r="T13" s="416"/>
      <c r="U13" s="416"/>
      <c r="V13" s="416"/>
    </row>
    <row r="14" s="412" customFormat="1" spans="1:35">
      <c r="A14" s="412" t="s">
        <v>1274</v>
      </c>
      <c r="B14" s="412" t="s">
        <v>1275</v>
      </c>
      <c r="C14" s="412" t="s">
        <v>1276</v>
      </c>
      <c r="D14" s="412" t="s">
        <v>1304</v>
      </c>
      <c r="E14" s="412" t="s">
        <v>1277</v>
      </c>
      <c r="H14" s="412" t="s">
        <v>1279</v>
      </c>
      <c r="I14" s="412" t="s">
        <v>1305</v>
      </c>
      <c r="J14" s="412" t="s">
        <v>1306</v>
      </c>
      <c r="K14" s="412" t="s">
        <v>426</v>
      </c>
      <c r="L14" s="412" t="s">
        <v>1307</v>
      </c>
      <c r="M14" s="412" t="s">
        <v>112</v>
      </c>
      <c r="N14" s="412" t="s">
        <v>165</v>
      </c>
      <c r="O14" s="412" t="s">
        <v>1308</v>
      </c>
      <c r="P14" s="412" t="s">
        <v>184</v>
      </c>
      <c r="Q14" s="412" t="s">
        <v>1309</v>
      </c>
      <c r="R14" s="412" t="s">
        <v>1310</v>
      </c>
      <c r="S14" s="412" t="s">
        <v>1311</v>
      </c>
      <c r="T14" s="412" t="s">
        <v>193</v>
      </c>
      <c r="U14" s="412" t="s">
        <v>247</v>
      </c>
      <c r="V14" s="412" t="s">
        <v>1312</v>
      </c>
      <c r="W14" s="412" t="s">
        <v>253</v>
      </c>
      <c r="X14" s="412" t="s">
        <v>224</v>
      </c>
      <c r="Y14" s="412" t="s">
        <v>302</v>
      </c>
      <c r="Z14" s="412" t="s">
        <v>307</v>
      </c>
      <c r="AA14" s="412" t="s">
        <v>339</v>
      </c>
      <c r="AB14" s="412" t="s">
        <v>383</v>
      </c>
      <c r="AC14" s="412" t="s">
        <v>604</v>
      </c>
      <c r="AD14" s="412" t="s">
        <v>591</v>
      </c>
      <c r="AE14" s="412" t="s">
        <v>708</v>
      </c>
      <c r="AF14" s="412" t="s">
        <v>609</v>
      </c>
      <c r="AG14" s="412" t="s">
        <v>678</v>
      </c>
      <c r="AH14" s="412" t="s">
        <v>1077</v>
      </c>
      <c r="AI14" s="412" t="s">
        <v>995</v>
      </c>
    </row>
    <row r="15" spans="1:35">
      <c r="A15" s="1">
        <v>1</v>
      </c>
      <c r="B15" s="1">
        <v>99.8</v>
      </c>
      <c r="C15" s="1" t="s">
        <v>1313</v>
      </c>
      <c r="D15" s="414" t="s">
        <v>1314</v>
      </c>
      <c r="E15" s="1" t="s">
        <v>1315</v>
      </c>
      <c r="H15" s="413">
        <f>SUM(I15:AI15)</f>
        <v>86.859</v>
      </c>
      <c r="I15" s="1">
        <v>44.146</v>
      </c>
      <c r="J15" s="1">
        <v>42.713</v>
      </c>
    </row>
    <row r="16" spans="1:35">
      <c r="A16" s="1">
        <v>2</v>
      </c>
      <c r="B16" s="1">
        <v>116.7</v>
      </c>
      <c r="C16" s="417">
        <v>0.2</v>
      </c>
      <c r="D16" s="414" t="s">
        <v>1316</v>
      </c>
      <c r="E16" s="1" t="s">
        <v>1317</v>
      </c>
      <c r="H16" s="413">
        <f t="shared" ref="H15:H24" si="2">SUM(I16:AI16)</f>
        <v>14.79</v>
      </c>
      <c r="K16" s="1">
        <v>14.79</v>
      </c>
    </row>
    <row r="17" spans="1:35">
      <c r="A17" s="1">
        <v>3</v>
      </c>
      <c r="B17" s="1">
        <v>151</v>
      </c>
      <c r="C17" s="1">
        <v>0.18</v>
      </c>
      <c r="D17" s="414" t="s">
        <v>1318</v>
      </c>
      <c r="E17" s="1" t="s">
        <v>1319</v>
      </c>
      <c r="H17" s="413">
        <f t="shared" si="2"/>
        <v>501.812</v>
      </c>
      <c r="N17" s="1">
        <v>27.896</v>
      </c>
      <c r="P17" s="1">
        <v>41.472</v>
      </c>
      <c r="Q17" s="1">
        <v>52.984</v>
      </c>
      <c r="X17" s="1">
        <v>41.339</v>
      </c>
      <c r="Y17" s="1">
        <v>83.654</v>
      </c>
      <c r="AB17" s="1">
        <v>81.355</v>
      </c>
      <c r="AD17" s="1">
        <v>122.112</v>
      </c>
      <c r="AF17" s="1">
        <v>36</v>
      </c>
      <c r="AG17" s="1">
        <v>15</v>
      </c>
    </row>
    <row r="18" spans="1:35">
      <c r="A18" s="1">
        <v>5</v>
      </c>
      <c r="B18" s="1">
        <v>108</v>
      </c>
      <c r="C18" s="1">
        <v>0.16</v>
      </c>
      <c r="D18" s="414" t="s">
        <v>1320</v>
      </c>
      <c r="E18" s="1" t="s">
        <v>1321</v>
      </c>
      <c r="H18" s="413">
        <f t="shared" si="2"/>
        <v>23.49</v>
      </c>
      <c r="I18" s="1">
        <v>23.49</v>
      </c>
    </row>
    <row r="19" spans="1:35">
      <c r="A19" s="1">
        <v>6</v>
      </c>
      <c r="B19" s="1">
        <v>149</v>
      </c>
      <c r="C19" s="1">
        <v>0.17</v>
      </c>
      <c r="D19" s="414" t="s">
        <v>1322</v>
      </c>
      <c r="E19" s="1" t="s">
        <v>1323</v>
      </c>
      <c r="H19" s="413">
        <f t="shared" si="2"/>
        <v>640.616</v>
      </c>
      <c r="L19" s="1">
        <v>4.503</v>
      </c>
      <c r="N19" s="1">
        <v>54.171</v>
      </c>
      <c r="P19" s="1">
        <v>40.155</v>
      </c>
      <c r="W19" s="1">
        <v>14.243</v>
      </c>
      <c r="Y19" s="1">
        <v>13.59</v>
      </c>
      <c r="AA19" s="1">
        <v>118.484</v>
      </c>
      <c r="AB19" s="1">
        <v>88.986</v>
      </c>
      <c r="AD19" s="1">
        <v>134.423</v>
      </c>
      <c r="AF19" s="1">
        <v>138.284</v>
      </c>
      <c r="AG19" s="1">
        <v>33.777</v>
      </c>
    </row>
    <row r="20" spans="1:35">
      <c r="A20" s="1">
        <v>14</v>
      </c>
      <c r="B20" s="1">
        <v>118</v>
      </c>
      <c r="D20" s="414" t="s">
        <v>1324</v>
      </c>
      <c r="E20" s="1" t="s">
        <v>1325</v>
      </c>
      <c r="H20" s="413">
        <f t="shared" si="2"/>
        <v>0</v>
      </c>
    </row>
    <row r="21" spans="1:35">
      <c r="A21" s="1">
        <v>15</v>
      </c>
      <c r="B21" s="1">
        <v>117.5</v>
      </c>
      <c r="C21" s="417">
        <v>0.2</v>
      </c>
      <c r="D21" s="414" t="s">
        <v>1316</v>
      </c>
      <c r="E21" s="1" t="s">
        <v>1326</v>
      </c>
      <c r="H21" s="413">
        <f t="shared" si="2"/>
        <v>76.054</v>
      </c>
      <c r="AE21" s="1">
        <v>56.307</v>
      </c>
      <c r="AI21" s="1">
        <v>19.747</v>
      </c>
    </row>
    <row r="22" spans="1:35">
      <c r="A22" s="1">
        <v>16</v>
      </c>
      <c r="B22" s="1">
        <v>160.8</v>
      </c>
      <c r="C22" s="1">
        <v>0.22</v>
      </c>
      <c r="D22" s="414" t="s">
        <v>1316</v>
      </c>
      <c r="E22" s="1" t="s">
        <v>1327</v>
      </c>
      <c r="H22" s="413">
        <f t="shared" si="2"/>
        <v>205.875</v>
      </c>
      <c r="AE22" s="1">
        <v>205.875</v>
      </c>
    </row>
    <row r="23" spans="1:35">
      <c r="A23" s="1">
        <v>17</v>
      </c>
      <c r="B23" s="1">
        <v>164.5</v>
      </c>
      <c r="C23" s="1" t="s">
        <v>1328</v>
      </c>
      <c r="D23" s="414" t="s">
        <v>1329</v>
      </c>
      <c r="E23" s="1" t="s">
        <v>1330</v>
      </c>
      <c r="G23" s="1" t="s">
        <v>1331</v>
      </c>
      <c r="H23" s="413">
        <f t="shared" si="2"/>
        <v>3622</v>
      </c>
      <c r="L23" s="1">
        <v>38.81</v>
      </c>
      <c r="M23" s="1">
        <v>6.711</v>
      </c>
      <c r="N23" s="1">
        <v>316.478</v>
      </c>
      <c r="O23" s="1">
        <v>26.906</v>
      </c>
      <c r="P23" s="1">
        <v>163.523</v>
      </c>
      <c r="Q23" s="1">
        <v>120.322</v>
      </c>
      <c r="R23" s="1">
        <v>79.587</v>
      </c>
      <c r="S23" s="1">
        <v>17.06</v>
      </c>
      <c r="T23" s="1">
        <v>162.968</v>
      </c>
      <c r="U23" s="1">
        <v>31.318</v>
      </c>
      <c r="V23" s="1">
        <v>157.852</v>
      </c>
      <c r="W23" s="1">
        <v>325.052</v>
      </c>
      <c r="Z23" s="1">
        <v>368.543</v>
      </c>
      <c r="AB23" s="1">
        <v>466.824</v>
      </c>
      <c r="AC23" s="1">
        <v>136.35</v>
      </c>
      <c r="AD23" s="1">
        <v>522.537</v>
      </c>
      <c r="AF23" s="1">
        <v>276.964</v>
      </c>
      <c r="AG23" s="1">
        <v>228.682</v>
      </c>
      <c r="AH23" s="1">
        <v>175.513</v>
      </c>
    </row>
    <row r="24" spans="1:35">
      <c r="A24" s="1" t="s">
        <v>1302</v>
      </c>
      <c r="H24" s="413">
        <f t="shared" si="2"/>
        <v>5171.496</v>
      </c>
      <c r="I24" s="1">
        <f t="shared" ref="I24:AI24" si="3">SUM(I15:I23)</f>
        <v>67.636</v>
      </c>
      <c r="J24" s="1">
        <f t="shared" si="3"/>
        <v>42.713</v>
      </c>
      <c r="K24" s="1">
        <f t="shared" si="3"/>
        <v>14.79</v>
      </c>
      <c r="L24" s="1">
        <f t="shared" si="3"/>
        <v>43.313</v>
      </c>
      <c r="M24" s="1">
        <f t="shared" si="3"/>
        <v>6.711</v>
      </c>
      <c r="N24" s="1">
        <f t="shared" si="3"/>
        <v>398.545</v>
      </c>
      <c r="O24" s="1">
        <f t="shared" si="3"/>
        <v>26.906</v>
      </c>
      <c r="P24" s="1">
        <f t="shared" si="3"/>
        <v>245.15</v>
      </c>
      <c r="Q24" s="1">
        <f t="shared" si="3"/>
        <v>173.306</v>
      </c>
      <c r="R24" s="1">
        <f t="shared" si="3"/>
        <v>79.587</v>
      </c>
      <c r="S24" s="1">
        <f t="shared" si="3"/>
        <v>17.06</v>
      </c>
      <c r="T24" s="1">
        <f t="shared" si="3"/>
        <v>162.968</v>
      </c>
      <c r="U24" s="1">
        <f t="shared" si="3"/>
        <v>31.318</v>
      </c>
      <c r="V24" s="1">
        <f t="shared" si="3"/>
        <v>157.852</v>
      </c>
      <c r="W24" s="1">
        <f t="shared" si="3"/>
        <v>339.295</v>
      </c>
      <c r="X24" s="1">
        <f t="shared" si="3"/>
        <v>41.339</v>
      </c>
      <c r="Y24" s="1">
        <f t="shared" si="3"/>
        <v>97.244</v>
      </c>
      <c r="Z24" s="1">
        <f t="shared" si="3"/>
        <v>368.543</v>
      </c>
      <c r="AA24" s="1">
        <f t="shared" si="3"/>
        <v>118.484</v>
      </c>
      <c r="AB24" s="1">
        <f t="shared" si="3"/>
        <v>637.165</v>
      </c>
      <c r="AC24" s="1">
        <f t="shared" si="3"/>
        <v>136.35</v>
      </c>
      <c r="AD24" s="1">
        <f t="shared" si="3"/>
        <v>779.072</v>
      </c>
      <c r="AE24" s="1">
        <f t="shared" si="3"/>
        <v>262.182</v>
      </c>
      <c r="AF24" s="1">
        <f t="shared" si="3"/>
        <v>451.248</v>
      </c>
      <c r="AG24" s="1">
        <f t="shared" si="3"/>
        <v>277.459</v>
      </c>
      <c r="AH24" s="1">
        <f t="shared" si="3"/>
        <v>175.513</v>
      </c>
      <c r="AI24" s="1">
        <f t="shared" si="3"/>
        <v>19.747</v>
      </c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4"/>
  <dimension ref="A1:AH854"/>
  <sheetViews>
    <sheetView tabSelected="1" workbookViewId="0">
      <pane ySplit="1" topLeftCell="A783" activePane="bottomLeft" state="frozen"/>
      <selection/>
      <selection pane="bottomLeft" activeCell="G786" sqref="G786"/>
    </sheetView>
  </sheetViews>
  <sheetFormatPr defaultColWidth="8.87962962962963" defaultRowHeight="13.5" customHeight="1"/>
  <cols>
    <col min="1" max="1" width="13" style="237" customWidth="1"/>
    <col min="2" max="2" width="21.25" style="237" customWidth="1"/>
    <col min="3" max="3" width="43.25" style="237" customWidth="1"/>
    <col min="4" max="4" width="10.8796296296296" style="237" customWidth="1"/>
    <col min="5" max="5" width="13" style="237" customWidth="1"/>
    <col min="6" max="6" width="13" style="238" customWidth="1"/>
    <col min="7" max="7" width="13.25" style="238" customWidth="1"/>
    <col min="8" max="8" width="13.1296296296296" style="238" customWidth="1"/>
    <col min="9" max="9" width="13.75" style="239" customWidth="1"/>
    <col min="10" max="10" width="14.3796296296296" style="237" customWidth="1"/>
    <col min="11" max="11" width="6.75" style="237" customWidth="1"/>
    <col min="12" max="12" width="20.8796296296296" style="237" customWidth="1"/>
    <col min="13" max="13" width="16.5" style="240" customWidth="1"/>
    <col min="14" max="14" width="4.37962962962963" style="240" customWidth="1"/>
    <col min="15" max="15" width="13.75" style="240" customWidth="1"/>
    <col min="16" max="16" width="7.5" style="241" customWidth="1"/>
    <col min="17" max="17" width="1.87962962962963" style="240" customWidth="1"/>
    <col min="18" max="18" width="5.62962962962963" style="240" customWidth="1"/>
    <col min="19" max="19" width="9.5" style="241" customWidth="1"/>
    <col min="20" max="20" width="1.62962962962963" style="240" customWidth="1"/>
    <col min="21" max="21" width="10.6296296296296" style="240" customWidth="1"/>
    <col min="22" max="22" width="9.12962962962963" style="240" customWidth="1"/>
    <col min="23" max="23" width="4.62962962962963" style="240" customWidth="1"/>
    <col min="24" max="24" width="6.12962962962963" style="240" customWidth="1"/>
    <col min="25" max="25" width="12.5" style="241" customWidth="1"/>
    <col min="26" max="26" width="1.62962962962963" style="240" customWidth="1"/>
    <col min="27" max="27" width="5.75" style="240" customWidth="1"/>
    <col min="28" max="28" width="8.87962962962963" style="241" customWidth="1"/>
    <col min="29" max="29" width="1.87962962962963" style="240" customWidth="1"/>
    <col min="30" max="30" width="6.87962962962963" style="240" customWidth="1"/>
    <col min="31" max="31" width="9.87962962962963" style="241" customWidth="1"/>
    <col min="32" max="32" width="1.75" style="240" customWidth="1"/>
    <col min="33" max="35" width="8.87962962962963" style="240" customWidth="1"/>
    <col min="36" max="16384" width="8.87962962962963" style="240"/>
  </cols>
  <sheetData>
    <row r="1" s="237" customFormat="1" ht="29.45" customHeight="1" spans="1:34">
      <c r="A1" s="242" t="s">
        <v>1332</v>
      </c>
      <c r="B1" s="243" t="s">
        <v>1333</v>
      </c>
      <c r="C1" s="242" t="s">
        <v>1334</v>
      </c>
      <c r="D1" s="242" t="s">
        <v>1335</v>
      </c>
      <c r="E1" s="242" t="s">
        <v>1336</v>
      </c>
      <c r="F1" s="244" t="s">
        <v>1337</v>
      </c>
      <c r="G1" s="244" t="s">
        <v>1338</v>
      </c>
      <c r="H1" s="244" t="s">
        <v>1339</v>
      </c>
      <c r="I1" s="245" t="s">
        <v>1340</v>
      </c>
      <c r="J1" s="246" t="s">
        <v>1341</v>
      </c>
      <c r="K1" s="247" t="s">
        <v>1342</v>
      </c>
      <c r="L1" s="248"/>
      <c r="M1" s="248"/>
      <c r="O1" s="249" t="s">
        <v>1343</v>
      </c>
      <c r="P1" s="250">
        <v>800</v>
      </c>
      <c r="Q1" s="238"/>
      <c r="R1" s="249" t="s">
        <v>1344</v>
      </c>
      <c r="S1" s="251">
        <v>752804.58</v>
      </c>
      <c r="T1" s="238"/>
      <c r="U1" s="252" t="s">
        <v>1345</v>
      </c>
      <c r="V1" s="250">
        <v>30446.9203539823</v>
      </c>
      <c r="W1" s="238"/>
      <c r="X1" s="249" t="s">
        <v>1346</v>
      </c>
      <c r="Y1" s="250">
        <v>443.06</v>
      </c>
      <c r="Z1" s="238"/>
      <c r="AA1" s="249" t="s">
        <v>1347</v>
      </c>
      <c r="AB1" s="250">
        <v>2756671.43</v>
      </c>
      <c r="AC1" s="238"/>
      <c r="AD1" s="249" t="s">
        <v>1348</v>
      </c>
      <c r="AE1" s="250">
        <v>2010</v>
      </c>
      <c r="AF1" s="238"/>
      <c r="AG1" s="249" t="s">
        <v>1349</v>
      </c>
      <c r="AH1" s="250">
        <f>P1+S1+Y1+AB1+AE1</f>
        <v>3512729.07</v>
      </c>
    </row>
    <row r="2" ht="14.4" spans="1:34">
      <c r="A2" s="190" t="s">
        <v>93</v>
      </c>
      <c r="B2" s="190" t="s">
        <v>137</v>
      </c>
      <c r="C2" s="190" t="s">
        <v>92</v>
      </c>
      <c r="D2" s="190">
        <v>957600</v>
      </c>
      <c r="E2" s="190">
        <v>0.2524</v>
      </c>
      <c r="F2" s="253">
        <f>E2*D2</f>
        <v>241698.24</v>
      </c>
      <c r="G2" s="124">
        <f>154931.2+86767.04</f>
        <v>241698.24</v>
      </c>
      <c r="H2" s="253">
        <f t="shared" ref="H2:H11" si="0">F2-G2</f>
        <v>0</v>
      </c>
      <c r="I2" s="254">
        <v>45807</v>
      </c>
      <c r="J2" s="255" t="s">
        <v>441</v>
      </c>
      <c r="K2" s="256"/>
      <c r="L2" s="190"/>
      <c r="M2" s="237"/>
      <c r="V2" s="240">
        <v>576408</v>
      </c>
      <c r="AH2" s="257"/>
    </row>
    <row r="3" ht="14.4" spans="1:34">
      <c r="A3" s="190" t="s">
        <v>93</v>
      </c>
      <c r="B3" s="190" t="s">
        <v>138</v>
      </c>
      <c r="C3" s="190" t="s">
        <v>92</v>
      </c>
      <c r="D3" s="190">
        <v>957600</v>
      </c>
      <c r="E3" s="190">
        <v>0.2524</v>
      </c>
      <c r="F3" s="253">
        <f>E3*D3</f>
        <v>241698.24</v>
      </c>
      <c r="G3" s="124">
        <f>232698.6+9001.44000000001</f>
        <v>241700.04</v>
      </c>
      <c r="H3" s="253">
        <f>F3-G3+1.8</f>
        <v>1.16415765916145e-11</v>
      </c>
      <c r="I3" s="254">
        <v>45807</v>
      </c>
      <c r="J3" s="255" t="s">
        <v>441</v>
      </c>
      <c r="K3" s="256"/>
      <c r="L3" s="190"/>
      <c r="M3" s="237"/>
    </row>
    <row r="4" ht="14.4" spans="1:34">
      <c r="A4" s="190" t="s">
        <v>93</v>
      </c>
      <c r="B4" s="190" t="s">
        <v>143</v>
      </c>
      <c r="C4" s="76" t="s">
        <v>144</v>
      </c>
      <c r="D4" s="76">
        <v>933520</v>
      </c>
      <c r="E4" s="190">
        <v>0.244</v>
      </c>
      <c r="F4" s="253">
        <f>E4*D4</f>
        <v>227778.88</v>
      </c>
      <c r="G4" s="114">
        <f>152976.6+74802.28</f>
        <v>227778.88</v>
      </c>
      <c r="H4" s="253">
        <f t="shared" si="0"/>
        <v>0</v>
      </c>
      <c r="I4" s="254">
        <v>45807</v>
      </c>
      <c r="J4" s="255" t="s">
        <v>441</v>
      </c>
      <c r="K4" s="256"/>
      <c r="L4" s="190"/>
      <c r="M4" s="237"/>
    </row>
    <row r="5" ht="14.4" spans="1:34">
      <c r="A5" s="190" t="s">
        <v>93</v>
      </c>
      <c r="B5" s="190" t="s">
        <v>143</v>
      </c>
      <c r="C5" s="76" t="s">
        <v>145</v>
      </c>
      <c r="D5" s="76">
        <v>478800</v>
      </c>
      <c r="E5" s="190">
        <v>0.24</v>
      </c>
      <c r="F5" s="253">
        <f>E5*D5</f>
        <v>114912</v>
      </c>
      <c r="G5" s="253">
        <v>114912</v>
      </c>
      <c r="H5" s="253">
        <f t="shared" si="0"/>
        <v>0</v>
      </c>
      <c r="I5" s="254">
        <v>45807</v>
      </c>
      <c r="J5" s="255" t="s">
        <v>441</v>
      </c>
      <c r="K5" s="256"/>
      <c r="L5" s="190"/>
      <c r="M5" s="237"/>
    </row>
    <row r="6" ht="14.4" spans="1:34">
      <c r="A6" s="190" t="s">
        <v>93</v>
      </c>
      <c r="B6" s="190" t="s">
        <v>143</v>
      </c>
      <c r="C6" s="76" t="s">
        <v>146</v>
      </c>
      <c r="D6" s="76">
        <v>478800</v>
      </c>
      <c r="E6" s="190">
        <v>0.235</v>
      </c>
      <c r="F6" s="253">
        <f>E6*D6</f>
        <v>112518</v>
      </c>
      <c r="G6" s="253">
        <v>112518</v>
      </c>
      <c r="H6" s="253">
        <f t="shared" si="0"/>
        <v>0</v>
      </c>
      <c r="I6" s="254">
        <v>45807</v>
      </c>
      <c r="J6" s="255" t="s">
        <v>441</v>
      </c>
      <c r="K6" s="256"/>
      <c r="L6" s="190"/>
      <c r="M6" s="237"/>
    </row>
    <row r="7" ht="14.4" spans="1:34">
      <c r="A7" s="190" t="s">
        <v>93</v>
      </c>
      <c r="B7" s="190" t="s">
        <v>165</v>
      </c>
      <c r="C7" s="190" t="s">
        <v>166</v>
      </c>
      <c r="D7" s="190">
        <v>436.345</v>
      </c>
      <c r="E7" s="190"/>
      <c r="F7" s="253">
        <v>3603352.86</v>
      </c>
      <c r="G7" s="258">
        <f>4089971.12-486618.26</f>
        <v>3603352.86</v>
      </c>
      <c r="H7" s="253">
        <f t="shared" si="0"/>
        <v>0</v>
      </c>
      <c r="I7" s="254">
        <v>45807</v>
      </c>
      <c r="J7" s="255" t="s">
        <v>441</v>
      </c>
      <c r="K7" s="256"/>
      <c r="L7" s="190"/>
      <c r="M7" s="237"/>
    </row>
    <row r="8" ht="14.4" spans="1:34">
      <c r="A8" s="190" t="s">
        <v>93</v>
      </c>
      <c r="B8" s="190" t="s">
        <v>184</v>
      </c>
      <c r="C8" s="190" t="s">
        <v>103</v>
      </c>
      <c r="D8" s="190">
        <v>374.036</v>
      </c>
      <c r="E8" s="190"/>
      <c r="F8" s="253">
        <v>2898776.68</v>
      </c>
      <c r="G8" s="253">
        <f>2842096+458.33+56222.35</f>
        <v>2898776.68</v>
      </c>
      <c r="H8" s="253">
        <f t="shared" si="0"/>
        <v>0</v>
      </c>
      <c r="I8" s="254">
        <v>45807</v>
      </c>
      <c r="J8" s="255" t="s">
        <v>441</v>
      </c>
      <c r="K8" s="256"/>
      <c r="L8" s="190"/>
      <c r="M8" s="237"/>
    </row>
    <row r="9" ht="14.4" spans="1:34">
      <c r="A9" s="190" t="s">
        <v>93</v>
      </c>
      <c r="B9" s="190" t="s">
        <v>187</v>
      </c>
      <c r="C9" s="190" t="s">
        <v>92</v>
      </c>
      <c r="D9" s="190">
        <v>2246000</v>
      </c>
      <c r="E9" s="190">
        <v>0.2344</v>
      </c>
      <c r="F9" s="253">
        <f>E9*D9</f>
        <v>526462.4</v>
      </c>
      <c r="G9" s="253">
        <f>521173.68+5288.72</f>
        <v>526462.4</v>
      </c>
      <c r="H9" s="253">
        <f t="shared" si="0"/>
        <v>0</v>
      </c>
      <c r="I9" s="254">
        <v>45807</v>
      </c>
      <c r="J9" s="255" t="s">
        <v>441</v>
      </c>
      <c r="K9" s="256"/>
      <c r="L9" s="190"/>
      <c r="M9" s="237"/>
    </row>
    <row r="10" ht="14.4" spans="1:34">
      <c r="A10" s="190" t="s">
        <v>93</v>
      </c>
      <c r="B10" s="190" t="s">
        <v>193</v>
      </c>
      <c r="C10" s="190" t="s">
        <v>103</v>
      </c>
      <c r="D10" s="190">
        <v>162.968</v>
      </c>
      <c r="E10" s="190"/>
      <c r="F10" s="253">
        <v>1225563.14</v>
      </c>
      <c r="G10" s="253">
        <f>1359750-134186.86</f>
        <v>1225563.14</v>
      </c>
      <c r="H10" s="253">
        <f t="shared" si="0"/>
        <v>0</v>
      </c>
      <c r="I10" s="254">
        <v>45807</v>
      </c>
      <c r="J10" s="255" t="s">
        <v>441</v>
      </c>
      <c r="K10" s="256"/>
      <c r="L10" s="190"/>
      <c r="M10" s="237"/>
    </row>
    <row r="11" ht="14.4" spans="1:34">
      <c r="A11" s="190" t="s">
        <v>93</v>
      </c>
      <c r="B11" s="190" t="s">
        <v>195</v>
      </c>
      <c r="C11" s="190" t="s">
        <v>198</v>
      </c>
      <c r="D11" s="190">
        <v>274.657</v>
      </c>
      <c r="E11" s="190">
        <v>6780</v>
      </c>
      <c r="F11" s="253">
        <f>E11*D11</f>
        <v>1862174.46</v>
      </c>
      <c r="G11" s="258">
        <f>1124880+737294.46</f>
        <v>1862174.46</v>
      </c>
      <c r="H11" s="253">
        <f t="shared" si="0"/>
        <v>0</v>
      </c>
      <c r="I11" s="254">
        <v>45807</v>
      </c>
      <c r="J11" s="255" t="s">
        <v>441</v>
      </c>
      <c r="K11" s="256"/>
      <c r="L11" s="190"/>
      <c r="M11" s="237"/>
    </row>
    <row r="12" ht="14.4" spans="1:34">
      <c r="A12" s="190" t="s">
        <v>93</v>
      </c>
      <c r="B12" s="190" t="s">
        <v>200</v>
      </c>
      <c r="C12" s="113" t="s">
        <v>201</v>
      </c>
      <c r="D12" s="129">
        <v>25.164</v>
      </c>
      <c r="E12" s="259">
        <v>6390</v>
      </c>
      <c r="F12" s="253">
        <f>E12*D12</f>
        <v>160797.96</v>
      </c>
      <c r="G12" s="260">
        <f>146855.7+313226.43</f>
        <v>460082.13</v>
      </c>
      <c r="H12" s="253">
        <f>SUM(F12:F14)-G12</f>
        <v>0</v>
      </c>
      <c r="I12" s="254">
        <v>45807</v>
      </c>
      <c r="J12" s="255" t="s">
        <v>441</v>
      </c>
      <c r="K12" s="256"/>
      <c r="L12" s="190"/>
      <c r="M12" s="237"/>
    </row>
    <row r="13" ht="14.4" spans="1:34">
      <c r="A13" s="190" t="s">
        <v>93</v>
      </c>
      <c r="B13" s="190" t="s">
        <v>200</v>
      </c>
      <c r="C13" s="113" t="s">
        <v>203</v>
      </c>
      <c r="D13" s="129">
        <v>25.153</v>
      </c>
      <c r="E13" s="259">
        <v>6330</v>
      </c>
      <c r="F13" s="253">
        <f>E13*D13</f>
        <v>159218.49</v>
      </c>
      <c r="G13" s="261"/>
      <c r="H13" s="261"/>
      <c r="I13" s="254">
        <v>45807</v>
      </c>
      <c r="J13" s="255" t="s">
        <v>441</v>
      </c>
      <c r="K13" s="256"/>
      <c r="L13" s="190"/>
      <c r="M13" s="237"/>
    </row>
    <row r="14" ht="14.4" spans="1:34">
      <c r="A14" s="190" t="s">
        <v>93</v>
      </c>
      <c r="B14" s="190" t="s">
        <v>200</v>
      </c>
      <c r="C14" s="113" t="s">
        <v>204</v>
      </c>
      <c r="D14" s="129">
        <v>22.812</v>
      </c>
      <c r="E14" s="259">
        <v>6140</v>
      </c>
      <c r="F14" s="253">
        <f>E14*D14</f>
        <v>140065.68</v>
      </c>
      <c r="G14" s="262"/>
      <c r="H14" s="262"/>
      <c r="I14" s="254">
        <v>45807</v>
      </c>
      <c r="J14" s="255" t="s">
        <v>441</v>
      </c>
      <c r="K14" s="256"/>
      <c r="L14" s="190"/>
      <c r="M14" s="237"/>
    </row>
    <row r="15" ht="14.4" spans="1:34">
      <c r="A15" s="190" t="s">
        <v>93</v>
      </c>
      <c r="B15" s="190" t="s">
        <v>206</v>
      </c>
      <c r="C15" s="190" t="s">
        <v>92</v>
      </c>
      <c r="D15" s="190">
        <v>2280000</v>
      </c>
      <c r="E15" s="190">
        <v>0.2329</v>
      </c>
      <c r="F15" s="253">
        <f>E15*D15</f>
        <v>531012</v>
      </c>
      <c r="G15" s="253">
        <f>510000+21012</f>
        <v>531012</v>
      </c>
      <c r="H15" s="253">
        <f>F15-G15</f>
        <v>0</v>
      </c>
      <c r="I15" s="254">
        <v>45807</v>
      </c>
      <c r="J15" s="255" t="s">
        <v>441</v>
      </c>
      <c r="K15" s="256"/>
      <c r="L15" s="190"/>
      <c r="M15" s="237"/>
    </row>
    <row r="16" ht="14.4" spans="1:34">
      <c r="A16" s="190" t="s">
        <v>93</v>
      </c>
      <c r="B16" s="190" t="s">
        <v>212</v>
      </c>
      <c r="C16" s="190" t="s">
        <v>208</v>
      </c>
      <c r="D16" s="190">
        <v>343.195</v>
      </c>
      <c r="E16" s="190"/>
      <c r="F16" s="253">
        <v>1866214.275</v>
      </c>
      <c r="G16" s="253">
        <f>1000000+866214.275</f>
        <v>1866214.275</v>
      </c>
      <c r="H16" s="253">
        <f>F16-G16</f>
        <v>0</v>
      </c>
      <c r="I16" s="254">
        <v>45807</v>
      </c>
      <c r="J16" s="255" t="s">
        <v>441</v>
      </c>
      <c r="K16" s="256"/>
      <c r="L16" s="190"/>
      <c r="M16" s="237"/>
    </row>
    <row r="17" ht="14.4" spans="1:13">
      <c r="A17" s="190" t="s">
        <v>93</v>
      </c>
      <c r="B17" s="190" t="s">
        <v>215</v>
      </c>
      <c r="C17" s="190" t="s">
        <v>208</v>
      </c>
      <c r="D17" s="190">
        <v>70.53</v>
      </c>
      <c r="E17" s="190">
        <v>6841.1</v>
      </c>
      <c r="F17" s="253">
        <f t="shared" ref="F17:F25" si="1">E17*D17</f>
        <v>482502.783</v>
      </c>
      <c r="G17" s="253">
        <f>321750+160752.783</f>
        <v>482502.783</v>
      </c>
      <c r="H17" s="253">
        <f>F17-G17</f>
        <v>0</v>
      </c>
      <c r="I17" s="254">
        <v>45807</v>
      </c>
      <c r="J17" s="255" t="s">
        <v>441</v>
      </c>
      <c r="K17" s="256"/>
      <c r="L17" s="190"/>
      <c r="M17" s="237"/>
    </row>
    <row r="18" ht="14.4" spans="1:13">
      <c r="A18" s="190" t="s">
        <v>93</v>
      </c>
      <c r="B18" s="190" t="s">
        <v>216</v>
      </c>
      <c r="C18" s="76" t="s">
        <v>217</v>
      </c>
      <c r="D18" s="129">
        <v>744</v>
      </c>
      <c r="E18" s="140">
        <v>26.305</v>
      </c>
      <c r="F18" s="253">
        <f t="shared" si="1"/>
        <v>19570.92</v>
      </c>
      <c r="G18" s="253">
        <f>26147.17</f>
        <v>26147.17</v>
      </c>
      <c r="H18" s="253">
        <f>SUM(F18:F19)-G18</f>
        <v>0</v>
      </c>
      <c r="I18" s="254">
        <v>45807</v>
      </c>
      <c r="J18" s="255" t="s">
        <v>441</v>
      </c>
      <c r="K18" s="256"/>
      <c r="L18" s="190"/>
      <c r="M18" s="237"/>
    </row>
    <row r="19" ht="14.4" spans="1:13">
      <c r="A19" s="190" t="s">
        <v>93</v>
      </c>
      <c r="B19" s="190" t="s">
        <v>216</v>
      </c>
      <c r="C19" s="76" t="s">
        <v>221</v>
      </c>
      <c r="D19" s="129">
        <v>250</v>
      </c>
      <c r="E19" s="140">
        <v>26.305</v>
      </c>
      <c r="F19" s="253">
        <f t="shared" si="1"/>
        <v>6576.25</v>
      </c>
      <c r="G19" s="262"/>
      <c r="H19" s="262"/>
      <c r="I19" s="254">
        <v>45807</v>
      </c>
      <c r="J19" s="255" t="s">
        <v>441</v>
      </c>
      <c r="K19" s="256"/>
      <c r="L19" s="190"/>
      <c r="M19" s="237"/>
    </row>
    <row r="20" ht="14.4" spans="1:13">
      <c r="A20" s="190" t="s">
        <v>93</v>
      </c>
      <c r="B20" s="190" t="s">
        <v>222</v>
      </c>
      <c r="C20" s="190" t="s">
        <v>358</v>
      </c>
      <c r="D20" s="190">
        <v>156.698</v>
      </c>
      <c r="E20" s="190">
        <v>6320</v>
      </c>
      <c r="F20" s="253">
        <f t="shared" si="1"/>
        <v>990331.36</v>
      </c>
      <c r="G20" s="253">
        <f>980000+10331.3600000001</f>
        <v>990331.36</v>
      </c>
      <c r="H20" s="253">
        <f>F20-G20</f>
        <v>0</v>
      </c>
      <c r="I20" s="254">
        <v>45807</v>
      </c>
      <c r="J20" s="255" t="s">
        <v>441</v>
      </c>
      <c r="K20" s="256"/>
      <c r="L20" s="190"/>
      <c r="M20" s="237"/>
    </row>
    <row r="21" ht="14.4" spans="1:13">
      <c r="A21" s="190" t="s">
        <v>93</v>
      </c>
      <c r="B21" s="190" t="s">
        <v>224</v>
      </c>
      <c r="C21" s="190" t="s">
        <v>115</v>
      </c>
      <c r="D21" s="190">
        <v>41.339</v>
      </c>
      <c r="E21" s="190">
        <v>6350</v>
      </c>
      <c r="F21" s="253">
        <f t="shared" si="1"/>
        <v>262502.65</v>
      </c>
      <c r="G21" s="258">
        <f>99000+63216.31+100286.34</f>
        <v>262502.65</v>
      </c>
      <c r="H21" s="253">
        <f>F21-G21</f>
        <v>0</v>
      </c>
      <c r="I21" s="254">
        <v>45807</v>
      </c>
      <c r="J21" s="255" t="s">
        <v>441</v>
      </c>
      <c r="K21" s="256"/>
      <c r="L21" s="190"/>
      <c r="M21" s="237"/>
    </row>
    <row r="22" ht="14.4" spans="1:13">
      <c r="A22" s="190" t="s">
        <v>93</v>
      </c>
      <c r="B22" s="190" t="s">
        <v>230</v>
      </c>
      <c r="C22" s="190" t="s">
        <v>92</v>
      </c>
      <c r="D22" s="190">
        <v>2275275</v>
      </c>
      <c r="E22" s="263">
        <v>0.2334</v>
      </c>
      <c r="F22" s="253">
        <f t="shared" si="1"/>
        <v>531049.185</v>
      </c>
      <c r="G22" s="253">
        <f>500000+31049.185</f>
        <v>531049.185</v>
      </c>
      <c r="H22" s="253">
        <f>F22-G22</f>
        <v>0</v>
      </c>
      <c r="I22" s="254">
        <v>45807</v>
      </c>
      <c r="J22" s="255" t="s">
        <v>441</v>
      </c>
      <c r="K22" s="256"/>
      <c r="L22" s="190"/>
      <c r="M22" s="237"/>
    </row>
    <row r="23" ht="14.4" spans="1:13">
      <c r="A23" s="190" t="s">
        <v>93</v>
      </c>
      <c r="B23" s="190" t="s">
        <v>231</v>
      </c>
      <c r="C23" s="76" t="s">
        <v>232</v>
      </c>
      <c r="D23" s="190">
        <v>264.507</v>
      </c>
      <c r="E23" s="190">
        <v>6160</v>
      </c>
      <c r="F23" s="253">
        <f t="shared" si="1"/>
        <v>1629363.12</v>
      </c>
      <c r="G23" s="253">
        <f>1688400-59036.8799999999</f>
        <v>1629363.12</v>
      </c>
      <c r="H23" s="253">
        <f>F23-G23</f>
        <v>0</v>
      </c>
      <c r="I23" s="254">
        <v>45807</v>
      </c>
      <c r="J23" s="255" t="s">
        <v>441</v>
      </c>
      <c r="K23" s="256"/>
      <c r="L23" s="190"/>
      <c r="M23" s="237"/>
    </row>
    <row r="24" ht="14.4" spans="1:13">
      <c r="A24" s="190" t="s">
        <v>93</v>
      </c>
      <c r="B24" s="190" t="s">
        <v>239</v>
      </c>
      <c r="C24" s="190" t="s">
        <v>240</v>
      </c>
      <c r="D24" s="190">
        <v>42.337</v>
      </c>
      <c r="E24" s="190">
        <v>5892</v>
      </c>
      <c r="F24" s="253">
        <f t="shared" si="1"/>
        <v>249449.604</v>
      </c>
      <c r="G24" s="253">
        <f>547057-17480.4519999999</f>
        <v>529576.548</v>
      </c>
      <c r="H24" s="253">
        <f>SUM(F24:F25)-G24</f>
        <v>0</v>
      </c>
      <c r="I24" s="254">
        <v>45807</v>
      </c>
      <c r="J24" s="255" t="s">
        <v>441</v>
      </c>
      <c r="K24" s="256"/>
      <c r="L24" s="190"/>
      <c r="M24" s="237"/>
    </row>
    <row r="25" ht="14.4" spans="1:13">
      <c r="A25" s="190" t="s">
        <v>93</v>
      </c>
      <c r="B25" s="190" t="s">
        <v>239</v>
      </c>
      <c r="C25" s="190" t="s">
        <v>241</v>
      </c>
      <c r="D25" s="190">
        <v>44.592</v>
      </c>
      <c r="E25" s="190">
        <v>6282</v>
      </c>
      <c r="F25" s="253">
        <f t="shared" si="1"/>
        <v>280126.944</v>
      </c>
      <c r="G25" s="262"/>
      <c r="H25" s="262"/>
      <c r="I25" s="254">
        <v>45807</v>
      </c>
      <c r="J25" s="255" t="s">
        <v>441</v>
      </c>
      <c r="K25" s="256"/>
      <c r="L25" s="190"/>
      <c r="M25" s="237"/>
    </row>
    <row r="26" ht="14.4" spans="1:13">
      <c r="A26" s="190" t="s">
        <v>93</v>
      </c>
      <c r="B26" s="190" t="s">
        <v>253</v>
      </c>
      <c r="C26" s="190" t="s">
        <v>103</v>
      </c>
      <c r="D26" s="190">
        <v>339.295</v>
      </c>
      <c r="E26" s="190"/>
      <c r="F26" s="253">
        <v>2337593.35</v>
      </c>
      <c r="G26" s="253">
        <f>2875989-538395.65</f>
        <v>2337593.35</v>
      </c>
      <c r="H26" s="253">
        <f>F26-G26</f>
        <v>0</v>
      </c>
      <c r="I26" s="254">
        <v>45807</v>
      </c>
      <c r="J26" s="255" t="s">
        <v>441</v>
      </c>
      <c r="K26" s="256"/>
      <c r="L26" s="190"/>
      <c r="M26" s="237"/>
    </row>
    <row r="27" ht="14.4" spans="1:13">
      <c r="A27" s="190" t="s">
        <v>93</v>
      </c>
      <c r="B27" s="190" t="s">
        <v>272</v>
      </c>
      <c r="C27" s="190" t="s">
        <v>273</v>
      </c>
      <c r="D27" s="190">
        <v>2280000</v>
      </c>
      <c r="E27" s="190">
        <v>0.2329</v>
      </c>
      <c r="F27" s="253">
        <f t="shared" ref="F27:F44" si="2">E27*D27</f>
        <v>531012</v>
      </c>
      <c r="G27" s="253">
        <f>701780-170768</f>
        <v>531012</v>
      </c>
      <c r="H27" s="253">
        <f>F27-G27</f>
        <v>0</v>
      </c>
      <c r="I27" s="254">
        <v>45807</v>
      </c>
      <c r="J27" s="255" t="s">
        <v>441</v>
      </c>
      <c r="K27" s="256"/>
      <c r="L27" s="190"/>
      <c r="M27" s="237"/>
    </row>
    <row r="28" ht="14.4" spans="1:13">
      <c r="A28" s="190" t="s">
        <v>93</v>
      </c>
      <c r="B28" s="190" t="s">
        <v>284</v>
      </c>
      <c r="C28" s="190" t="s">
        <v>92</v>
      </c>
      <c r="D28" s="264">
        <v>2097600</v>
      </c>
      <c r="E28" s="190">
        <v>0.23</v>
      </c>
      <c r="F28" s="253">
        <f t="shared" si="2"/>
        <v>482448</v>
      </c>
      <c r="G28" s="253">
        <f>499960-17512</f>
        <v>482448</v>
      </c>
      <c r="H28" s="253">
        <f>F28-G28</f>
        <v>0</v>
      </c>
      <c r="I28" s="254">
        <v>45807</v>
      </c>
      <c r="J28" s="255" t="s">
        <v>441</v>
      </c>
      <c r="K28" s="256"/>
      <c r="L28" s="190"/>
      <c r="M28" s="237"/>
    </row>
    <row r="29" ht="14.4" spans="1:13">
      <c r="A29" s="190" t="s">
        <v>93</v>
      </c>
      <c r="B29" s="190" t="s">
        <v>294</v>
      </c>
      <c r="C29" s="190" t="s">
        <v>1350</v>
      </c>
      <c r="D29" s="190">
        <v>934800</v>
      </c>
      <c r="E29" s="190">
        <v>0.367</v>
      </c>
      <c r="F29" s="253">
        <f t="shared" si="2"/>
        <v>343071.6</v>
      </c>
      <c r="G29" s="253">
        <f>120000+247000-23928.4</f>
        <v>343071.6</v>
      </c>
      <c r="H29" s="253">
        <f>F29-G29</f>
        <v>0</v>
      </c>
      <c r="I29" s="254">
        <v>45971</v>
      </c>
      <c r="J29" s="255"/>
      <c r="K29" s="256"/>
      <c r="L29" s="190"/>
      <c r="M29" s="237"/>
    </row>
    <row r="30" ht="14.4" spans="1:13">
      <c r="A30" s="190" t="s">
        <v>93</v>
      </c>
      <c r="B30" s="190" t="s">
        <v>302</v>
      </c>
      <c r="C30" s="190" t="s">
        <v>303</v>
      </c>
      <c r="D30" s="190">
        <v>83.654</v>
      </c>
      <c r="E30" s="190">
        <v>6650</v>
      </c>
      <c r="F30" s="253">
        <f t="shared" si="2"/>
        <v>556299.1</v>
      </c>
      <c r="G30" s="253">
        <f>661150-11759.4</f>
        <v>649390.6</v>
      </c>
      <c r="H30" s="253">
        <f>SUM(F30:F31)-G30</f>
        <v>0</v>
      </c>
      <c r="I30" s="254">
        <v>45807</v>
      </c>
      <c r="J30" s="255" t="s">
        <v>441</v>
      </c>
      <c r="K30" s="256"/>
      <c r="L30" s="190"/>
      <c r="M30" s="237"/>
    </row>
    <row r="31" ht="14.4" spans="1:13">
      <c r="A31" s="190" t="s">
        <v>93</v>
      </c>
      <c r="B31" s="190" t="s">
        <v>302</v>
      </c>
      <c r="C31" s="190" t="s">
        <v>305</v>
      </c>
      <c r="D31" s="190">
        <v>13.59</v>
      </c>
      <c r="E31" s="190">
        <v>6850</v>
      </c>
      <c r="F31" s="253">
        <f t="shared" si="2"/>
        <v>93091.5</v>
      </c>
      <c r="G31" s="262"/>
      <c r="H31" s="262"/>
      <c r="I31" s="254">
        <v>45807</v>
      </c>
      <c r="J31" s="255" t="s">
        <v>441</v>
      </c>
      <c r="K31" s="256"/>
      <c r="L31" s="190"/>
      <c r="M31" s="237"/>
    </row>
    <row r="32" ht="14.4" spans="1:13">
      <c r="A32" s="190" t="s">
        <v>93</v>
      </c>
      <c r="B32" s="190" t="s">
        <v>311</v>
      </c>
      <c r="C32" s="190" t="s">
        <v>312</v>
      </c>
      <c r="D32" s="190">
        <v>136.35</v>
      </c>
      <c r="E32" s="190">
        <v>6570</v>
      </c>
      <c r="F32" s="253">
        <f t="shared" si="2"/>
        <v>895819.5</v>
      </c>
      <c r="G32" s="253">
        <f>2334554.25+134259.95</f>
        <v>2468814.2</v>
      </c>
      <c r="H32" s="253">
        <f>(SUM(F32:F38))-G32</f>
        <v>0</v>
      </c>
      <c r="I32" s="254">
        <v>45807</v>
      </c>
      <c r="J32" s="255" t="s">
        <v>441</v>
      </c>
      <c r="K32" s="256"/>
      <c r="L32" s="190"/>
      <c r="M32" s="237"/>
    </row>
    <row r="33" ht="14.4" spans="1:16">
      <c r="A33" s="190" t="s">
        <v>93</v>
      </c>
      <c r="B33" s="190" t="s">
        <v>313</v>
      </c>
      <c r="C33" s="190" t="s">
        <v>312</v>
      </c>
      <c r="D33" s="190">
        <v>7.575</v>
      </c>
      <c r="E33" s="190">
        <v>6640</v>
      </c>
      <c r="F33" s="253">
        <f t="shared" si="2"/>
        <v>50298</v>
      </c>
      <c r="G33" s="261"/>
      <c r="H33" s="261"/>
      <c r="I33" s="254">
        <v>45807</v>
      </c>
      <c r="J33" s="255" t="s">
        <v>441</v>
      </c>
      <c r="K33" s="256"/>
      <c r="L33" s="190"/>
      <c r="M33" s="237"/>
    </row>
    <row r="34" ht="14.4" spans="1:16">
      <c r="A34" s="190" t="s">
        <v>93</v>
      </c>
      <c r="B34" s="190" t="s">
        <v>313</v>
      </c>
      <c r="C34" s="190" t="s">
        <v>316</v>
      </c>
      <c r="D34" s="190">
        <v>54.339</v>
      </c>
      <c r="E34" s="190">
        <v>6640</v>
      </c>
      <c r="F34" s="253">
        <f t="shared" si="2"/>
        <v>360810.96</v>
      </c>
      <c r="G34" s="261"/>
      <c r="H34" s="261"/>
      <c r="I34" s="254">
        <v>45807</v>
      </c>
      <c r="J34" s="255" t="s">
        <v>441</v>
      </c>
      <c r="K34" s="256"/>
      <c r="L34" s="190"/>
      <c r="M34" s="237"/>
    </row>
    <row r="35" ht="14.4" spans="1:16">
      <c r="A35" s="190" t="s">
        <v>93</v>
      </c>
      <c r="B35" s="190" t="s">
        <v>313</v>
      </c>
      <c r="C35" s="190" t="s">
        <v>320</v>
      </c>
      <c r="D35" s="190">
        <v>43.501</v>
      </c>
      <c r="E35" s="190">
        <v>6790</v>
      </c>
      <c r="F35" s="253">
        <f t="shared" si="2"/>
        <v>295371.79</v>
      </c>
      <c r="G35" s="261"/>
      <c r="H35" s="261"/>
      <c r="I35" s="254">
        <v>45807</v>
      </c>
      <c r="J35" s="255" t="s">
        <v>441</v>
      </c>
      <c r="K35" s="256"/>
      <c r="L35" s="190"/>
      <c r="M35" s="237"/>
    </row>
    <row r="36" ht="14.4" spans="1:16">
      <c r="A36" s="190" t="s">
        <v>93</v>
      </c>
      <c r="B36" s="190" t="s">
        <v>321</v>
      </c>
      <c r="C36" s="190" t="s">
        <v>320</v>
      </c>
      <c r="D36" s="190">
        <v>54.54</v>
      </c>
      <c r="E36" s="190">
        <v>6790</v>
      </c>
      <c r="F36" s="253">
        <f t="shared" si="2"/>
        <v>370326.6</v>
      </c>
      <c r="G36" s="261"/>
      <c r="H36" s="261"/>
      <c r="I36" s="254">
        <v>45807</v>
      </c>
      <c r="J36" s="255" t="s">
        <v>441</v>
      </c>
      <c r="K36" s="256"/>
      <c r="L36" s="190"/>
      <c r="M36" s="237"/>
    </row>
    <row r="37" ht="14.4" spans="1:16">
      <c r="A37" s="190" t="s">
        <v>93</v>
      </c>
      <c r="B37" s="265" t="s">
        <v>317</v>
      </c>
      <c r="C37" s="190" t="s">
        <v>320</v>
      </c>
      <c r="D37" s="190">
        <v>9.047</v>
      </c>
      <c r="E37" s="190">
        <v>7000</v>
      </c>
      <c r="F37" s="253">
        <f t="shared" si="2"/>
        <v>63329</v>
      </c>
      <c r="G37" s="261"/>
      <c r="H37" s="261"/>
      <c r="I37" s="254">
        <v>45807</v>
      </c>
      <c r="J37" s="255" t="s">
        <v>441</v>
      </c>
      <c r="K37" s="256"/>
      <c r="L37" s="190"/>
      <c r="M37" s="237"/>
    </row>
    <row r="38" ht="14.4" spans="1:16">
      <c r="A38" s="190" t="s">
        <v>93</v>
      </c>
      <c r="B38" s="265" t="s">
        <v>317</v>
      </c>
      <c r="C38" s="190" t="s">
        <v>318</v>
      </c>
      <c r="D38" s="190">
        <v>63.191</v>
      </c>
      <c r="E38" s="190">
        <v>6850</v>
      </c>
      <c r="F38" s="253">
        <f t="shared" si="2"/>
        <v>432858.35</v>
      </c>
      <c r="G38" s="262"/>
      <c r="H38" s="262"/>
      <c r="I38" s="254">
        <v>45807</v>
      </c>
      <c r="J38" s="255" t="s">
        <v>441</v>
      </c>
      <c r="K38" s="256"/>
      <c r="L38" s="190"/>
      <c r="M38" s="237"/>
    </row>
    <row r="39" ht="14.4" spans="1:16">
      <c r="A39" s="190" t="s">
        <v>93</v>
      </c>
      <c r="B39" s="190" t="s">
        <v>326</v>
      </c>
      <c r="C39" s="190" t="s">
        <v>327</v>
      </c>
      <c r="D39" s="190">
        <v>13.806</v>
      </c>
      <c r="E39" s="190">
        <v>6330</v>
      </c>
      <c r="F39" s="253">
        <f t="shared" si="2"/>
        <v>87391.98</v>
      </c>
      <c r="G39" s="253">
        <v>87391.98</v>
      </c>
      <c r="H39" s="253">
        <f>F39-G39</f>
        <v>0</v>
      </c>
      <c r="I39" s="254">
        <v>45807</v>
      </c>
      <c r="J39" s="255" t="s">
        <v>441</v>
      </c>
      <c r="K39" s="256"/>
      <c r="L39" s="190"/>
      <c r="M39" s="237"/>
    </row>
    <row r="40" ht="14.4" spans="1:16">
      <c r="A40" s="190" t="s">
        <v>93</v>
      </c>
      <c r="B40" s="190" t="s">
        <v>332</v>
      </c>
      <c r="C40" s="190" t="s">
        <v>333</v>
      </c>
      <c r="D40" s="190">
        <v>2097600</v>
      </c>
      <c r="E40" s="190">
        <v>0.23</v>
      </c>
      <c r="F40" s="253">
        <f t="shared" si="2"/>
        <v>482448</v>
      </c>
      <c r="G40" s="253">
        <f>476364.96+6083.04</f>
        <v>482448</v>
      </c>
      <c r="H40" s="253">
        <f>F40-G40</f>
        <v>0</v>
      </c>
      <c r="I40" s="254">
        <v>45807</v>
      </c>
      <c r="J40" s="255" t="s">
        <v>441</v>
      </c>
      <c r="K40" s="256"/>
      <c r="L40" s="190"/>
      <c r="M40" s="237"/>
    </row>
    <row r="41" ht="14.4" spans="1:16">
      <c r="A41" s="190" t="s">
        <v>93</v>
      </c>
      <c r="B41" s="190" t="s">
        <v>339</v>
      </c>
      <c r="C41" s="190" t="s">
        <v>1351</v>
      </c>
      <c r="D41" s="190">
        <v>58.443</v>
      </c>
      <c r="E41" s="190">
        <v>6750</v>
      </c>
      <c r="F41" s="253">
        <f t="shared" si="2"/>
        <v>394490.25</v>
      </c>
      <c r="G41" s="253">
        <f>770000+29767</f>
        <v>799767</v>
      </c>
      <c r="H41" s="253">
        <f>SUM(F41:F43)-G41</f>
        <v>0</v>
      </c>
      <c r="I41" s="254">
        <v>45807</v>
      </c>
      <c r="J41" s="255" t="s">
        <v>441</v>
      </c>
      <c r="K41" s="256"/>
      <c r="L41" s="190"/>
      <c r="M41" s="237"/>
    </row>
    <row r="42" ht="14.4" spans="1:16">
      <c r="A42" s="190" t="s">
        <v>93</v>
      </c>
      <c r="B42" s="190" t="s">
        <v>339</v>
      </c>
      <c r="C42" s="190" t="s">
        <v>1352</v>
      </c>
      <c r="D42" s="190">
        <v>53.981</v>
      </c>
      <c r="E42" s="190">
        <v>6750</v>
      </c>
      <c r="F42" s="253">
        <f t="shared" si="2"/>
        <v>364371.75</v>
      </c>
      <c r="G42" s="261"/>
      <c r="H42" s="261"/>
      <c r="I42" s="254">
        <v>45807</v>
      </c>
      <c r="J42" s="255" t="s">
        <v>441</v>
      </c>
      <c r="K42" s="256"/>
      <c r="L42" s="190"/>
      <c r="M42" s="237"/>
    </row>
    <row r="43" ht="14.4" spans="1:16">
      <c r="A43" s="190" t="s">
        <v>93</v>
      </c>
      <c r="B43" s="190" t="s">
        <v>344</v>
      </c>
      <c r="C43" s="190" t="s">
        <v>1352</v>
      </c>
      <c r="D43" s="190">
        <v>6.06</v>
      </c>
      <c r="E43" s="190">
        <v>6750</v>
      </c>
      <c r="F43" s="253">
        <f t="shared" si="2"/>
        <v>40905</v>
      </c>
      <c r="G43" s="262"/>
      <c r="H43" s="262"/>
      <c r="I43" s="254">
        <v>45807</v>
      </c>
      <c r="J43" s="255" t="s">
        <v>441</v>
      </c>
      <c r="K43" s="256"/>
      <c r="L43" s="190"/>
      <c r="M43" s="237"/>
    </row>
    <row r="44" ht="14.4" spans="1:16">
      <c r="A44" s="190" t="s">
        <v>93</v>
      </c>
      <c r="B44" s="190" t="s">
        <v>345</v>
      </c>
      <c r="C44" s="190" t="s">
        <v>346</v>
      </c>
      <c r="D44" s="190">
        <v>27.104</v>
      </c>
      <c r="E44" s="190">
        <v>6800</v>
      </c>
      <c r="F44" s="253">
        <f t="shared" si="2"/>
        <v>184307.2</v>
      </c>
      <c r="G44" s="266">
        <f>182952+1355.2</f>
        <v>184307.2</v>
      </c>
      <c r="H44" s="266">
        <f>F44-G44</f>
        <v>0</v>
      </c>
      <c r="I44" s="254">
        <v>45807</v>
      </c>
      <c r="J44" s="255" t="s">
        <v>441</v>
      </c>
      <c r="K44" s="256"/>
      <c r="L44" s="190"/>
      <c r="M44" s="237"/>
      <c r="O44" s="267"/>
      <c r="P44" s="268"/>
    </row>
    <row r="45" ht="14.4" spans="1:16">
      <c r="A45" s="190" t="s">
        <v>93</v>
      </c>
      <c r="B45" s="190" t="s">
        <v>353</v>
      </c>
      <c r="C45" s="190" t="s">
        <v>351</v>
      </c>
      <c r="D45" s="190">
        <v>2320000</v>
      </c>
      <c r="E45" s="190">
        <v>0.2329</v>
      </c>
      <c r="F45" s="253">
        <f t="shared" ref="F45:F70" si="3">E45*D45</f>
        <v>540328</v>
      </c>
      <c r="G45" s="253">
        <f>'Sheet7 (2)'!AN360</f>
        <v>540328</v>
      </c>
      <c r="H45" s="253">
        <f>'Sheet7 (2)'!AO360</f>
        <v>0</v>
      </c>
      <c r="I45" s="254">
        <v>45836</v>
      </c>
      <c r="J45" s="255" t="s">
        <v>441</v>
      </c>
      <c r="K45" s="256"/>
      <c r="L45" s="190"/>
      <c r="M45" s="237"/>
      <c r="O45" s="267">
        <f>H45</f>
        <v>0</v>
      </c>
      <c r="P45" s="268">
        <v>0.9</v>
      </c>
    </row>
    <row r="46" ht="14.4" spans="1:16">
      <c r="A46" s="190" t="s">
        <v>93</v>
      </c>
      <c r="B46" s="190" t="s">
        <v>357</v>
      </c>
      <c r="C46" s="76" t="s">
        <v>358</v>
      </c>
      <c r="D46" s="76">
        <v>109.252</v>
      </c>
      <c r="E46" s="129">
        <v>6380</v>
      </c>
      <c r="F46" s="253">
        <f t="shared" si="3"/>
        <v>697027.76</v>
      </c>
      <c r="G46" s="253">
        <f>F46</f>
        <v>697027.76</v>
      </c>
      <c r="H46" s="253">
        <f t="shared" ref="H46:H69" si="4">F46-G46</f>
        <v>0</v>
      </c>
      <c r="I46" s="254">
        <v>45823</v>
      </c>
      <c r="J46" s="255" t="s">
        <v>441</v>
      </c>
      <c r="K46" s="256"/>
      <c r="L46" s="190"/>
      <c r="M46" s="237"/>
    </row>
    <row r="47" ht="14.4" spans="1:16">
      <c r="A47" s="190" t="s">
        <v>93</v>
      </c>
      <c r="B47" s="190" t="s">
        <v>357</v>
      </c>
      <c r="C47" s="76" t="s">
        <v>361</v>
      </c>
      <c r="D47" s="76">
        <v>25.515</v>
      </c>
      <c r="E47" s="129">
        <v>6480</v>
      </c>
      <c r="F47" s="253">
        <f t="shared" si="3"/>
        <v>165337.2</v>
      </c>
      <c r="G47" s="253">
        <f>F47</f>
        <v>165337.2</v>
      </c>
      <c r="H47" s="253">
        <f t="shared" si="4"/>
        <v>0</v>
      </c>
      <c r="I47" s="254">
        <v>45818</v>
      </c>
      <c r="J47" s="255" t="s">
        <v>441</v>
      </c>
      <c r="K47" s="256"/>
      <c r="L47" s="190"/>
      <c r="M47" s="237"/>
      <c r="O47" s="267">
        <f>H46</f>
        <v>0</v>
      </c>
    </row>
    <row r="48" ht="14.4" spans="1:16">
      <c r="A48" s="190" t="s">
        <v>93</v>
      </c>
      <c r="B48" s="190" t="s">
        <v>357</v>
      </c>
      <c r="C48" s="76" t="s">
        <v>363</v>
      </c>
      <c r="D48" s="76">
        <v>26.005</v>
      </c>
      <c r="E48" s="129">
        <v>6380</v>
      </c>
      <c r="F48" s="253">
        <f t="shared" si="3"/>
        <v>165911.9</v>
      </c>
      <c r="G48" s="253">
        <f>41595.04+124316.86</f>
        <v>165911.9</v>
      </c>
      <c r="H48" s="253">
        <f t="shared" si="4"/>
        <v>0</v>
      </c>
      <c r="I48" s="254">
        <v>45818</v>
      </c>
      <c r="J48" s="255" t="s">
        <v>441</v>
      </c>
      <c r="K48" s="256"/>
      <c r="L48" s="190"/>
      <c r="M48" s="237"/>
    </row>
    <row r="49" ht="14.4" spans="1:18">
      <c r="A49" s="190" t="s">
        <v>93</v>
      </c>
      <c r="B49" s="269" t="s">
        <v>364</v>
      </c>
      <c r="C49" s="76" t="s">
        <v>358</v>
      </c>
      <c r="D49" s="76">
        <v>6.248</v>
      </c>
      <c r="E49" s="129">
        <v>6380</v>
      </c>
      <c r="F49" s="253">
        <f t="shared" si="3"/>
        <v>39862.24</v>
      </c>
      <c r="G49" s="253">
        <v>39862.24</v>
      </c>
      <c r="H49" s="253">
        <f t="shared" si="4"/>
        <v>0</v>
      </c>
      <c r="I49" s="254">
        <v>45861</v>
      </c>
      <c r="J49" s="255" t="s">
        <v>441</v>
      </c>
      <c r="K49" s="256"/>
      <c r="L49" s="190"/>
      <c r="M49" s="237"/>
      <c r="O49" s="267"/>
    </row>
    <row r="50" ht="14.45" customHeight="1" spans="1:18">
      <c r="A50" s="190" t="s">
        <v>93</v>
      </c>
      <c r="B50" s="190" t="s">
        <v>372</v>
      </c>
      <c r="C50" s="113" t="s">
        <v>369</v>
      </c>
      <c r="D50" s="76">
        <v>7.918</v>
      </c>
      <c r="E50" s="129">
        <v>6570</v>
      </c>
      <c r="F50" s="253">
        <f t="shared" si="3"/>
        <v>52021.26</v>
      </c>
      <c r="G50" s="253">
        <v>52021.26</v>
      </c>
      <c r="H50" s="253">
        <f t="shared" si="4"/>
        <v>0</v>
      </c>
      <c r="I50" s="112">
        <v>45853</v>
      </c>
      <c r="J50" s="255" t="s">
        <v>441</v>
      </c>
      <c r="K50" s="256"/>
      <c r="L50" s="190"/>
      <c r="M50" s="237"/>
      <c r="O50">
        <f>H50*R50</f>
        <v>0</v>
      </c>
      <c r="R50" s="268">
        <v>0.9</v>
      </c>
    </row>
    <row r="51" ht="14.45" customHeight="1" spans="1:18">
      <c r="A51" s="190" t="s">
        <v>93</v>
      </c>
      <c r="B51" s="190" t="s">
        <v>368</v>
      </c>
      <c r="C51" s="113" t="s">
        <v>369</v>
      </c>
      <c r="D51" s="76">
        <v>149.193</v>
      </c>
      <c r="E51" s="129">
        <v>6575</v>
      </c>
      <c r="F51" s="253">
        <f t="shared" si="3"/>
        <v>980943.975</v>
      </c>
      <c r="G51" s="253">
        <v>980943.975</v>
      </c>
      <c r="H51" s="253">
        <f t="shared" si="4"/>
        <v>0</v>
      </c>
      <c r="I51" s="112">
        <v>45853</v>
      </c>
      <c r="J51" s="255" t="s">
        <v>441</v>
      </c>
      <c r="K51" s="256"/>
      <c r="L51" s="190"/>
      <c r="M51" s="237"/>
      <c r="O51" s="268"/>
    </row>
    <row r="52" ht="14.45" customHeight="1" spans="1:18">
      <c r="A52" s="190" t="s">
        <v>93</v>
      </c>
      <c r="B52" s="190" t="s">
        <v>374</v>
      </c>
      <c r="C52" s="113" t="s">
        <v>371</v>
      </c>
      <c r="D52" s="76">
        <v>10.605</v>
      </c>
      <c r="E52" s="129">
        <v>6720</v>
      </c>
      <c r="F52" s="253">
        <f t="shared" si="3"/>
        <v>71265.6</v>
      </c>
      <c r="G52" s="253">
        <f>69674.85+9828-6377.3075-1859.9425</f>
        <v>71265.6</v>
      </c>
      <c r="H52" s="253">
        <f t="shared" si="4"/>
        <v>0</v>
      </c>
      <c r="I52" s="112">
        <v>45853</v>
      </c>
      <c r="J52" s="255" t="s">
        <v>441</v>
      </c>
      <c r="K52" s="256"/>
      <c r="L52" s="190"/>
      <c r="M52" s="237"/>
      <c r="O52" s="240">
        <f>H52*R50</f>
        <v>0</v>
      </c>
    </row>
    <row r="53" ht="14.45" customHeight="1" spans="1:18">
      <c r="A53" s="190" t="s">
        <v>93</v>
      </c>
      <c r="B53" s="190" t="s">
        <v>368</v>
      </c>
      <c r="C53" s="113" t="s">
        <v>371</v>
      </c>
      <c r="D53" s="76">
        <v>13.616</v>
      </c>
      <c r="E53" s="129">
        <v>6725</v>
      </c>
      <c r="F53" s="253">
        <f t="shared" si="3"/>
        <v>91567.6</v>
      </c>
      <c r="G53" s="253">
        <v>91567.6</v>
      </c>
      <c r="H53" s="253">
        <f t="shared" si="4"/>
        <v>0</v>
      </c>
      <c r="I53" s="112">
        <v>45853</v>
      </c>
      <c r="J53" s="255" t="s">
        <v>441</v>
      </c>
      <c r="K53" s="256"/>
      <c r="L53" s="190"/>
      <c r="M53" s="237"/>
    </row>
    <row r="54" ht="14.45" customHeight="1" spans="1:18">
      <c r="A54" s="190" t="s">
        <v>93</v>
      </c>
      <c r="B54" s="190" t="s">
        <v>372</v>
      </c>
      <c r="C54" s="113" t="s">
        <v>371</v>
      </c>
      <c r="D54" s="76">
        <v>27.27</v>
      </c>
      <c r="E54" s="129">
        <v>6720</v>
      </c>
      <c r="F54" s="253">
        <f t="shared" si="3"/>
        <v>183254.4</v>
      </c>
      <c r="G54" s="253">
        <v>183254.4</v>
      </c>
      <c r="H54" s="253">
        <f t="shared" si="4"/>
        <v>0</v>
      </c>
      <c r="I54" s="112">
        <v>45853</v>
      </c>
      <c r="J54" s="255" t="s">
        <v>441</v>
      </c>
      <c r="K54" s="256"/>
      <c r="L54" s="190"/>
      <c r="M54" s="237"/>
    </row>
    <row r="55" ht="14.45" customHeight="1" spans="1:18">
      <c r="A55" s="190" t="s">
        <v>93</v>
      </c>
      <c r="B55" s="190" t="s">
        <v>382</v>
      </c>
      <c r="C55" s="113" t="s">
        <v>371</v>
      </c>
      <c r="D55" s="76">
        <v>94.602</v>
      </c>
      <c r="E55" s="129">
        <v>6720</v>
      </c>
      <c r="F55" s="253">
        <f t="shared" si="3"/>
        <v>635725.44</v>
      </c>
      <c r="G55" s="253">
        <v>635725.44</v>
      </c>
      <c r="H55" s="253">
        <f t="shared" si="4"/>
        <v>0</v>
      </c>
      <c r="I55" s="112">
        <v>45853</v>
      </c>
      <c r="J55" s="255" t="s">
        <v>441</v>
      </c>
      <c r="K55" s="256"/>
      <c r="L55" s="190"/>
      <c r="M55" s="237"/>
    </row>
    <row r="56" ht="14.45" customHeight="1" spans="1:18">
      <c r="A56" s="190" t="s">
        <v>93</v>
      </c>
      <c r="B56" s="190" t="s">
        <v>372</v>
      </c>
      <c r="C56" s="113" t="s">
        <v>373</v>
      </c>
      <c r="D56" s="76">
        <v>19.695</v>
      </c>
      <c r="E56" s="129">
        <v>6720</v>
      </c>
      <c r="F56" s="253">
        <f t="shared" si="3"/>
        <v>132350.4</v>
      </c>
      <c r="G56" s="253">
        <v>132350.4</v>
      </c>
      <c r="H56" s="253">
        <f t="shared" si="4"/>
        <v>0</v>
      </c>
      <c r="I56" s="112">
        <v>45853</v>
      </c>
      <c r="J56" s="255" t="s">
        <v>441</v>
      </c>
      <c r="K56" s="256"/>
      <c r="L56" s="190">
        <v>7.14</v>
      </c>
      <c r="M56" s="237"/>
    </row>
    <row r="57" ht="14.45" customHeight="1" spans="1:18">
      <c r="A57" s="190" t="s">
        <v>93</v>
      </c>
      <c r="B57" s="190" t="s">
        <v>382</v>
      </c>
      <c r="C57" s="113" t="s">
        <v>373</v>
      </c>
      <c r="D57" s="76">
        <v>69.291</v>
      </c>
      <c r="E57" s="129">
        <v>6720</v>
      </c>
      <c r="F57" s="253">
        <f t="shared" si="3"/>
        <v>465635.52</v>
      </c>
      <c r="G57" s="253">
        <v>465635.52</v>
      </c>
      <c r="H57" s="253">
        <f t="shared" si="4"/>
        <v>0</v>
      </c>
      <c r="I57" s="112">
        <v>45853</v>
      </c>
      <c r="J57" s="255" t="s">
        <v>441</v>
      </c>
      <c r="K57" s="256"/>
      <c r="L57" s="190"/>
      <c r="M57" s="237"/>
    </row>
    <row r="58" ht="14.45" customHeight="1" spans="1:18">
      <c r="A58" s="190" t="s">
        <v>93</v>
      </c>
      <c r="B58" s="190" t="s">
        <v>374</v>
      </c>
      <c r="C58" s="113" t="s">
        <v>375</v>
      </c>
      <c r="D58" s="76">
        <v>52.223</v>
      </c>
      <c r="E58" s="129">
        <v>6570</v>
      </c>
      <c r="F58" s="253">
        <f t="shared" si="3"/>
        <v>343105.11</v>
      </c>
      <c r="G58" s="253">
        <v>343105.11</v>
      </c>
      <c r="H58" s="253">
        <f t="shared" si="4"/>
        <v>0</v>
      </c>
      <c r="I58" s="112">
        <v>45853</v>
      </c>
      <c r="J58" s="255" t="s">
        <v>90</v>
      </c>
      <c r="K58" s="256"/>
      <c r="L58" s="190">
        <v>7.14</v>
      </c>
      <c r="M58" s="237"/>
      <c r="O58" s="238">
        <v>0.9</v>
      </c>
    </row>
    <row r="59" ht="14.45" customHeight="1" spans="1:18">
      <c r="A59" s="190" t="s">
        <v>93</v>
      </c>
      <c r="B59" s="190" t="s">
        <v>374</v>
      </c>
      <c r="C59" s="113" t="s">
        <v>376</v>
      </c>
      <c r="D59" s="76">
        <v>46.172</v>
      </c>
      <c r="E59" s="129">
        <v>6720</v>
      </c>
      <c r="F59" s="253">
        <f t="shared" si="3"/>
        <v>310275.84</v>
      </c>
      <c r="G59" s="253">
        <v>310275.84</v>
      </c>
      <c r="H59" s="253">
        <f t="shared" si="4"/>
        <v>0</v>
      </c>
      <c r="I59" s="112">
        <v>45853</v>
      </c>
      <c r="J59" s="255" t="s">
        <v>90</v>
      </c>
      <c r="K59" s="256"/>
      <c r="L59" s="190">
        <v>7.14</v>
      </c>
      <c r="M59" s="237"/>
    </row>
    <row r="60" ht="14.45" customHeight="1" spans="1:18">
      <c r="A60" s="190" t="s">
        <v>93</v>
      </c>
      <c r="B60" s="190" t="s">
        <v>381</v>
      </c>
      <c r="C60" s="113" t="s">
        <v>379</v>
      </c>
      <c r="D60" s="76">
        <f>54.54</f>
        <v>54.54</v>
      </c>
      <c r="E60" s="129">
        <v>6575</v>
      </c>
      <c r="F60" s="253">
        <f t="shared" si="3"/>
        <v>358600.5</v>
      </c>
      <c r="G60" s="253">
        <v>358600.5</v>
      </c>
      <c r="H60" s="253">
        <f t="shared" si="4"/>
        <v>0</v>
      </c>
      <c r="I60" s="112">
        <v>45853</v>
      </c>
      <c r="J60" s="255" t="s">
        <v>441</v>
      </c>
      <c r="K60" s="256"/>
      <c r="L60" s="190">
        <v>7.14</v>
      </c>
      <c r="M60" s="237"/>
      <c r="O60" s="267">
        <f>H60</f>
        <v>0</v>
      </c>
    </row>
    <row r="61" ht="14.4" spans="1:18">
      <c r="A61" s="190" t="s">
        <v>93</v>
      </c>
      <c r="B61" s="190" t="s">
        <v>372</v>
      </c>
      <c r="C61" s="113" t="s">
        <v>380</v>
      </c>
      <c r="D61" s="76">
        <v>81.355</v>
      </c>
      <c r="E61" s="129">
        <v>6570</v>
      </c>
      <c r="F61" s="253">
        <f t="shared" si="3"/>
        <v>534502.35</v>
      </c>
      <c r="G61" s="253">
        <v>534502.35</v>
      </c>
      <c r="H61" s="253">
        <f t="shared" si="4"/>
        <v>0</v>
      </c>
      <c r="I61" s="112">
        <v>45853</v>
      </c>
      <c r="J61" s="255" t="s">
        <v>441</v>
      </c>
      <c r="K61" s="256"/>
      <c r="L61" s="190">
        <v>7.14</v>
      </c>
      <c r="M61" s="237"/>
      <c r="O61" s="267">
        <f>H61*R50</f>
        <v>0</v>
      </c>
    </row>
    <row r="62" ht="14.4" spans="1:18">
      <c r="A62" s="190" t="s">
        <v>93</v>
      </c>
      <c r="B62" s="269" t="s">
        <v>378</v>
      </c>
      <c r="C62" s="113" t="s">
        <v>379</v>
      </c>
      <c r="D62" s="76">
        <v>109.08</v>
      </c>
      <c r="E62" s="129">
        <v>6500</v>
      </c>
      <c r="F62" s="253">
        <f t="shared" si="3"/>
        <v>709020</v>
      </c>
      <c r="G62" s="253">
        <v>709020</v>
      </c>
      <c r="H62" s="253">
        <f t="shared" si="4"/>
        <v>0</v>
      </c>
      <c r="I62" s="112">
        <v>45853</v>
      </c>
      <c r="J62" s="255" t="s">
        <v>441</v>
      </c>
      <c r="K62" s="256"/>
      <c r="L62" s="190">
        <v>7.14</v>
      </c>
      <c r="M62" s="237"/>
      <c r="O62" s="267"/>
    </row>
    <row r="63" ht="14.4" spans="1:18">
      <c r="A63" s="190" t="s">
        <v>93</v>
      </c>
      <c r="B63" s="190" t="s">
        <v>385</v>
      </c>
      <c r="C63" s="113" t="s">
        <v>386</v>
      </c>
      <c r="D63" s="76">
        <f>1.502*19+1.85</f>
        <v>30.388</v>
      </c>
      <c r="E63" s="129">
        <v>5500</v>
      </c>
      <c r="F63" s="253">
        <f t="shared" si="3"/>
        <v>167134</v>
      </c>
      <c r="G63" s="253">
        <v>167134</v>
      </c>
      <c r="H63" s="253">
        <f t="shared" si="4"/>
        <v>0</v>
      </c>
      <c r="I63" s="112">
        <v>45823</v>
      </c>
      <c r="J63" s="255" t="s">
        <v>441</v>
      </c>
      <c r="K63" s="256"/>
      <c r="L63" s="190"/>
      <c r="M63" s="237"/>
    </row>
    <row r="64" ht="14.4" spans="1:18">
      <c r="A64" s="190" t="s">
        <v>93</v>
      </c>
      <c r="B64" s="190" t="s">
        <v>385</v>
      </c>
      <c r="C64" s="113" t="s">
        <v>1353</v>
      </c>
      <c r="D64" s="76">
        <f>1.511*6+1.193</f>
        <v>10.259</v>
      </c>
      <c r="E64" s="129">
        <v>5500</v>
      </c>
      <c r="F64" s="253">
        <f t="shared" si="3"/>
        <v>56424.5</v>
      </c>
      <c r="G64" s="253">
        <v>56424.5</v>
      </c>
      <c r="H64" s="253">
        <f t="shared" si="4"/>
        <v>0</v>
      </c>
      <c r="I64" s="112">
        <v>45823</v>
      </c>
      <c r="J64" s="255" t="s">
        <v>441</v>
      </c>
      <c r="K64" s="256"/>
      <c r="L64" s="190"/>
      <c r="M64" s="237"/>
    </row>
    <row r="65" ht="14.4" spans="1:15">
      <c r="A65" s="190" t="s">
        <v>93</v>
      </c>
      <c r="B65" s="190" t="s">
        <v>385</v>
      </c>
      <c r="C65" s="113" t="s">
        <v>389</v>
      </c>
      <c r="D65" s="76">
        <v>17.179</v>
      </c>
      <c r="E65" s="129">
        <v>5480</v>
      </c>
      <c r="F65" s="253">
        <f t="shared" si="3"/>
        <v>94140.92</v>
      </c>
      <c r="G65" s="253">
        <v>94140.92</v>
      </c>
      <c r="H65" s="253">
        <f t="shared" si="4"/>
        <v>0</v>
      </c>
      <c r="I65" s="112">
        <v>45823</v>
      </c>
      <c r="J65" s="255" t="s">
        <v>441</v>
      </c>
      <c r="K65" s="256"/>
      <c r="L65" s="190"/>
      <c r="M65" s="237"/>
      <c r="O65" s="267">
        <f>H63</f>
        <v>0</v>
      </c>
    </row>
    <row r="66" ht="14.4" spans="1:15">
      <c r="A66" s="190" t="s">
        <v>93</v>
      </c>
      <c r="B66" s="190" t="s">
        <v>385</v>
      </c>
      <c r="C66" s="113" t="s">
        <v>390</v>
      </c>
      <c r="D66" s="76">
        <v>17.27</v>
      </c>
      <c r="E66" s="129">
        <v>5480</v>
      </c>
      <c r="F66" s="253">
        <f t="shared" si="3"/>
        <v>94639.6</v>
      </c>
      <c r="G66" s="253">
        <v>94639.6</v>
      </c>
      <c r="H66" s="253">
        <f t="shared" si="4"/>
        <v>0</v>
      </c>
      <c r="I66" s="112">
        <v>45823</v>
      </c>
      <c r="J66" s="255" t="s">
        <v>441</v>
      </c>
      <c r="K66" s="256"/>
      <c r="L66" s="190"/>
      <c r="M66" s="237"/>
    </row>
    <row r="67" ht="14.4" spans="1:15">
      <c r="A67" s="190" t="s">
        <v>93</v>
      </c>
      <c r="B67" s="190" t="s">
        <v>393</v>
      </c>
      <c r="C67" s="113" t="s">
        <v>394</v>
      </c>
      <c r="D67" s="77">
        <v>35.054</v>
      </c>
      <c r="E67" s="129">
        <v>6430</v>
      </c>
      <c r="F67" s="253">
        <f t="shared" si="3"/>
        <v>225397.22</v>
      </c>
      <c r="G67" s="253">
        <v>225397.22</v>
      </c>
      <c r="H67" s="253">
        <f t="shared" si="4"/>
        <v>0</v>
      </c>
      <c r="I67" s="112">
        <v>45823</v>
      </c>
      <c r="J67" s="255" t="s">
        <v>441</v>
      </c>
      <c r="K67" s="256"/>
      <c r="L67" s="190"/>
      <c r="M67" s="237"/>
      <c r="O67" s="267">
        <f>H67</f>
        <v>0</v>
      </c>
    </row>
    <row r="68" ht="14.4" spans="1:15">
      <c r="A68" s="190" t="s">
        <v>93</v>
      </c>
      <c r="B68" s="269" t="s">
        <v>393</v>
      </c>
      <c r="C68" s="113" t="s">
        <v>1354</v>
      </c>
      <c r="D68" s="77">
        <v>33.915</v>
      </c>
      <c r="E68" s="129">
        <v>6430</v>
      </c>
      <c r="F68" s="253">
        <f t="shared" si="3"/>
        <v>218073.45</v>
      </c>
      <c r="G68" s="266">
        <f>218073.45</f>
        <v>218073.45</v>
      </c>
      <c r="H68" s="253">
        <f t="shared" si="4"/>
        <v>0</v>
      </c>
      <c r="I68" s="112">
        <v>45823</v>
      </c>
      <c r="J68" s="255" t="s">
        <v>441</v>
      </c>
      <c r="K68" s="256"/>
      <c r="L68" s="190"/>
      <c r="M68" s="237"/>
    </row>
    <row r="69" ht="14.4" spans="1:15">
      <c r="A69" s="190" t="s">
        <v>93</v>
      </c>
      <c r="B69" s="265" t="s">
        <v>426</v>
      </c>
      <c r="C69" s="76" t="s">
        <v>427</v>
      </c>
      <c r="D69" s="76">
        <v>14.79</v>
      </c>
      <c r="E69" s="129">
        <v>5860</v>
      </c>
      <c r="F69" s="253">
        <f t="shared" si="3"/>
        <v>86669.4</v>
      </c>
      <c r="G69" s="253">
        <v>86669.4</v>
      </c>
      <c r="H69" s="253">
        <f t="shared" si="4"/>
        <v>0</v>
      </c>
      <c r="I69" s="112">
        <v>45838</v>
      </c>
      <c r="J69" s="255" t="s">
        <v>441</v>
      </c>
      <c r="K69" s="256"/>
      <c r="L69" s="190"/>
      <c r="M69" s="237"/>
      <c r="O69" s="267">
        <f>H69</f>
        <v>0</v>
      </c>
    </row>
    <row r="70" ht="14.4" spans="1:15">
      <c r="A70" s="190" t="s">
        <v>93</v>
      </c>
      <c r="B70" s="270" t="s">
        <v>426</v>
      </c>
      <c r="C70" s="76" t="s">
        <v>429</v>
      </c>
      <c r="D70" s="76">
        <v>11.215</v>
      </c>
      <c r="E70" s="129">
        <v>5710</v>
      </c>
      <c r="F70" s="253">
        <f t="shared" si="3"/>
        <v>64037.65</v>
      </c>
      <c r="G70" s="266">
        <v>64037.65</v>
      </c>
      <c r="H70" s="253">
        <f t="shared" ref="H70:H89" si="5">F70-G70</f>
        <v>0</v>
      </c>
      <c r="I70" s="112">
        <v>45838</v>
      </c>
      <c r="J70" s="255" t="s">
        <v>441</v>
      </c>
      <c r="K70" s="256"/>
      <c r="L70" s="190"/>
      <c r="M70" s="237"/>
    </row>
    <row r="71" ht="14.4" spans="1:15">
      <c r="A71" s="190" t="s">
        <v>93</v>
      </c>
      <c r="B71" s="190" t="s">
        <v>507</v>
      </c>
      <c r="C71" s="190" t="s">
        <v>1355</v>
      </c>
      <c r="D71" s="190"/>
      <c r="E71" s="190"/>
      <c r="F71" s="253">
        <v>126922.58</v>
      </c>
      <c r="G71" s="253">
        <v>126922.58</v>
      </c>
      <c r="H71" s="253">
        <f t="shared" si="5"/>
        <v>0</v>
      </c>
      <c r="I71" s="254">
        <v>45839</v>
      </c>
      <c r="J71" s="255" t="s">
        <v>441</v>
      </c>
      <c r="K71" s="256"/>
      <c r="L71" s="190"/>
      <c r="M71" s="237"/>
    </row>
    <row r="72" ht="14.4" hidden="1" spans="1:15">
      <c r="A72" s="190" t="s">
        <v>142</v>
      </c>
      <c r="B72" s="190" t="s">
        <v>437</v>
      </c>
      <c r="C72" s="76" t="s">
        <v>438</v>
      </c>
      <c r="D72" s="190">
        <v>1960400</v>
      </c>
      <c r="E72" s="190">
        <v>0.0178</v>
      </c>
      <c r="F72" s="253">
        <f t="shared" ref="F72:F76" si="6">E72*D72</f>
        <v>34895.12</v>
      </c>
      <c r="G72" s="253">
        <f>6960.52+27934.6</f>
        <v>34895.12</v>
      </c>
      <c r="H72" s="253">
        <f t="shared" si="5"/>
        <v>0</v>
      </c>
      <c r="I72" s="254">
        <v>45814</v>
      </c>
      <c r="J72" s="255" t="s">
        <v>90</v>
      </c>
      <c r="K72" s="271"/>
      <c r="L72" s="254">
        <f>I72+97</f>
        <v>45911</v>
      </c>
      <c r="M72" s="239"/>
      <c r="O72" s="267">
        <f>H72</f>
        <v>0</v>
      </c>
    </row>
    <row r="73" ht="14.4" spans="1:15">
      <c r="A73" s="190" t="s">
        <v>93</v>
      </c>
      <c r="B73" s="190" t="s">
        <v>444</v>
      </c>
      <c r="C73" s="76" t="s">
        <v>445</v>
      </c>
      <c r="D73" s="129">
        <v>136.664</v>
      </c>
      <c r="E73" s="129">
        <v>6150</v>
      </c>
      <c r="F73" s="253">
        <f t="shared" si="6"/>
        <v>840483.6</v>
      </c>
      <c r="G73" s="114">
        <v>840483.6</v>
      </c>
      <c r="H73" s="253">
        <f t="shared" si="5"/>
        <v>0</v>
      </c>
      <c r="I73" s="112">
        <v>45867</v>
      </c>
      <c r="J73" s="255" t="s">
        <v>90</v>
      </c>
      <c r="K73" s="256"/>
      <c r="L73" s="190"/>
      <c r="M73" s="237"/>
      <c r="O73" s="272"/>
    </row>
    <row r="74" ht="14.4" spans="1:15">
      <c r="A74" s="190" t="s">
        <v>93</v>
      </c>
      <c r="B74" s="190" t="s">
        <v>444</v>
      </c>
      <c r="C74" s="76" t="s">
        <v>447</v>
      </c>
      <c r="D74" s="129">
        <v>24.544</v>
      </c>
      <c r="E74" s="129">
        <v>6000</v>
      </c>
      <c r="F74" s="253">
        <f t="shared" si="6"/>
        <v>147264</v>
      </c>
      <c r="G74" s="114">
        <v>147264</v>
      </c>
      <c r="H74" s="253">
        <f t="shared" si="5"/>
        <v>0</v>
      </c>
      <c r="I74" s="112">
        <v>45867</v>
      </c>
      <c r="J74" s="255" t="s">
        <v>90</v>
      </c>
      <c r="K74" s="256"/>
      <c r="L74" s="190"/>
      <c r="M74" s="237"/>
      <c r="O74" s="272">
        <f>H74*90%</f>
        <v>0</v>
      </c>
    </row>
    <row r="75" ht="14.4" spans="1:15">
      <c r="A75" s="190" t="s">
        <v>93</v>
      </c>
      <c r="B75" s="190" t="s">
        <v>448</v>
      </c>
      <c r="C75" s="76" t="s">
        <v>445</v>
      </c>
      <c r="D75" s="129">
        <v>6.268</v>
      </c>
      <c r="E75" s="129">
        <v>6150</v>
      </c>
      <c r="F75" s="253">
        <f t="shared" si="6"/>
        <v>38548.2</v>
      </c>
      <c r="G75" s="114">
        <f>36981.2+1567</f>
        <v>38548.2</v>
      </c>
      <c r="H75" s="253">
        <f t="shared" si="5"/>
        <v>0</v>
      </c>
      <c r="I75" s="112">
        <v>45926</v>
      </c>
      <c r="J75" s="255" t="s">
        <v>441</v>
      </c>
      <c r="K75" s="256"/>
      <c r="L75" s="190"/>
      <c r="M75" s="237"/>
      <c r="O75" s="272"/>
    </row>
    <row r="76" ht="14.4" spans="1:15">
      <c r="A76" s="190" t="s">
        <v>93</v>
      </c>
      <c r="B76" s="190" t="s">
        <v>450</v>
      </c>
      <c r="C76" s="76" t="s">
        <v>445</v>
      </c>
      <c r="D76" s="157">
        <v>3.406</v>
      </c>
      <c r="E76" s="129">
        <v>6150</v>
      </c>
      <c r="F76" s="253">
        <f t="shared" si="6"/>
        <v>20946.9</v>
      </c>
      <c r="G76" s="155">
        <v>20946.9</v>
      </c>
      <c r="H76" s="253">
        <f t="shared" si="5"/>
        <v>0</v>
      </c>
      <c r="I76" s="85">
        <v>45945</v>
      </c>
      <c r="J76" s="255" t="s">
        <v>441</v>
      </c>
      <c r="K76" s="256"/>
      <c r="L76" s="190"/>
      <c r="M76" s="237"/>
      <c r="O76" s="272"/>
    </row>
    <row r="77" ht="14.4" spans="1:15">
      <c r="A77" s="269" t="s">
        <v>93</v>
      </c>
      <c r="B77" s="269" t="s">
        <v>453</v>
      </c>
      <c r="C77" s="269" t="s">
        <v>454</v>
      </c>
      <c r="D77" s="269">
        <v>2097600</v>
      </c>
      <c r="E77" s="269">
        <v>0.23</v>
      </c>
      <c r="F77" s="273">
        <f>E77*D77*0.3</f>
        <v>144734.4</v>
      </c>
      <c r="G77" s="266">
        <v>144734.4</v>
      </c>
      <c r="H77" s="274">
        <f t="shared" si="5"/>
        <v>0</v>
      </c>
      <c r="I77" s="275">
        <v>45834</v>
      </c>
      <c r="J77" s="255" t="s">
        <v>90</v>
      </c>
      <c r="K77" s="256"/>
      <c r="L77" s="190"/>
      <c r="M77" s="237"/>
    </row>
    <row r="78" ht="14.4" spans="1:15">
      <c r="A78" s="190" t="s">
        <v>93</v>
      </c>
      <c r="B78" s="190" t="s">
        <v>453</v>
      </c>
      <c r="C78" s="262"/>
      <c r="D78" s="262"/>
      <c r="E78" s="262"/>
      <c r="F78" s="253">
        <f>D77*E77*0.7</f>
        <v>337713.6</v>
      </c>
      <c r="G78" s="276">
        <f>130260.96+207452.64</f>
        <v>337713.6</v>
      </c>
      <c r="H78" s="253">
        <f t="shared" si="5"/>
        <v>0</v>
      </c>
      <c r="I78" s="254">
        <v>45847</v>
      </c>
      <c r="J78" s="255" t="s">
        <v>90</v>
      </c>
      <c r="K78" s="271"/>
      <c r="L78" s="254">
        <v>45863</v>
      </c>
      <c r="M78" s="239"/>
      <c r="O78" s="267">
        <f>H78</f>
        <v>0</v>
      </c>
    </row>
    <row r="79" ht="14.4" spans="1:15">
      <c r="A79" s="190" t="s">
        <v>93</v>
      </c>
      <c r="B79" s="190" t="s">
        <v>504</v>
      </c>
      <c r="C79" s="190" t="s">
        <v>505</v>
      </c>
      <c r="D79" s="190">
        <v>74.548</v>
      </c>
      <c r="E79" s="277">
        <v>5980</v>
      </c>
      <c r="F79" s="253">
        <f t="shared" ref="F79:F84" si="7">E79*D79</f>
        <v>445797.04</v>
      </c>
      <c r="G79" s="276">
        <v>445797.04</v>
      </c>
      <c r="H79" s="276">
        <f t="shared" si="5"/>
        <v>0</v>
      </c>
      <c r="I79" s="254">
        <v>45859</v>
      </c>
      <c r="J79" s="255" t="s">
        <v>441</v>
      </c>
      <c r="K79" s="271"/>
      <c r="L79" s="254">
        <v>45863</v>
      </c>
      <c r="M79" s="239"/>
      <c r="O79" s="272" t="e">
        <f>H79*#REF!</f>
        <v>#REF!</v>
      </c>
    </row>
    <row r="80" ht="14.4" spans="1:15">
      <c r="A80" s="190" t="s">
        <v>93</v>
      </c>
      <c r="B80" s="190" t="s">
        <v>541</v>
      </c>
      <c r="C80" s="113" t="s">
        <v>624</v>
      </c>
      <c r="D80" s="278">
        <v>25.585</v>
      </c>
      <c r="E80" s="279">
        <f>280+5750</f>
        <v>6030</v>
      </c>
      <c r="F80" s="280">
        <f t="shared" si="7"/>
        <v>154277.55</v>
      </c>
      <c r="G80" s="276">
        <f>162810-8321.39999999999-211.050000000017</f>
        <v>154277.55</v>
      </c>
      <c r="H80" s="276">
        <f t="shared" si="5"/>
        <v>0</v>
      </c>
      <c r="I80" s="281">
        <v>45920</v>
      </c>
      <c r="J80" s="255" t="s">
        <v>441</v>
      </c>
      <c r="K80" s="256"/>
      <c r="L80" s="190"/>
      <c r="M80" s="237"/>
    </row>
    <row r="81" ht="14.4" spans="1:16">
      <c r="A81" s="190" t="s">
        <v>93</v>
      </c>
      <c r="B81" s="190" t="s">
        <v>541</v>
      </c>
      <c r="C81" s="113" t="s">
        <v>1356</v>
      </c>
      <c r="D81" s="278">
        <v>25.39</v>
      </c>
      <c r="E81" s="279">
        <f>280+5750</f>
        <v>6030</v>
      </c>
      <c r="F81" s="280">
        <f t="shared" si="7"/>
        <v>153101.7</v>
      </c>
      <c r="G81" s="276">
        <f>31477.55+579162-41075.96+8321.39999999999+147523.95-1567-20946.9-541282.5-8510.84000000014</f>
        <v>153101.7</v>
      </c>
      <c r="H81" s="276">
        <f t="shared" si="5"/>
        <v>0</v>
      </c>
      <c r="I81" s="281">
        <v>45928</v>
      </c>
      <c r="J81" s="255" t="s">
        <v>441</v>
      </c>
      <c r="K81" s="256"/>
      <c r="L81" s="190"/>
      <c r="M81" s="237"/>
    </row>
    <row r="82" ht="14.4" spans="1:16">
      <c r="A82" s="190" t="s">
        <v>93</v>
      </c>
      <c r="B82" s="190" t="s">
        <v>541</v>
      </c>
      <c r="C82" s="113" t="s">
        <v>551</v>
      </c>
      <c r="D82" s="278">
        <v>48.865</v>
      </c>
      <c r="E82" s="279">
        <f>280+5850</f>
        <v>6130</v>
      </c>
      <c r="F82" s="280">
        <f t="shared" si="7"/>
        <v>299542.45</v>
      </c>
      <c r="G82" s="276">
        <f>331020-31477.55</f>
        <v>299542.45</v>
      </c>
      <c r="H82" s="276">
        <f t="shared" si="5"/>
        <v>0</v>
      </c>
      <c r="I82" s="281">
        <v>45920</v>
      </c>
      <c r="J82" s="255" t="s">
        <v>441</v>
      </c>
      <c r="K82" s="256"/>
      <c r="L82" s="190"/>
      <c r="M82" s="237"/>
    </row>
    <row r="83" ht="14.4" spans="1:16">
      <c r="A83" s="190" t="s">
        <v>93</v>
      </c>
      <c r="B83" s="190" t="s">
        <v>553</v>
      </c>
      <c r="C83" s="113" t="s">
        <v>554</v>
      </c>
      <c r="D83" s="282">
        <v>21.729</v>
      </c>
      <c r="E83" s="279">
        <f>280+5700</f>
        <v>5980</v>
      </c>
      <c r="F83" s="280">
        <f t="shared" si="7"/>
        <v>129939.42</v>
      </c>
      <c r="G83" s="276">
        <f>161460-31520.58</f>
        <v>129939.42</v>
      </c>
      <c r="H83" s="276">
        <f t="shared" si="5"/>
        <v>0</v>
      </c>
      <c r="I83" s="281">
        <v>45920</v>
      </c>
      <c r="J83" s="255" t="s">
        <v>441</v>
      </c>
      <c r="K83" s="256"/>
      <c r="L83" s="190"/>
      <c r="M83" s="237"/>
    </row>
    <row r="84" ht="14.4" spans="1:16">
      <c r="A84" s="190" t="s">
        <v>93</v>
      </c>
      <c r="B84" s="190" t="s">
        <v>553</v>
      </c>
      <c r="C84" s="113" t="s">
        <v>555</v>
      </c>
      <c r="D84" s="282">
        <v>32.594</v>
      </c>
      <c r="E84" s="279">
        <f>280+5750</f>
        <v>6030</v>
      </c>
      <c r="F84" s="280">
        <f t="shared" si="7"/>
        <v>196541.82</v>
      </c>
      <c r="G84" s="276">
        <f>31520.58+162810+2211.23999999999</f>
        <v>196541.82</v>
      </c>
      <c r="H84" s="276">
        <f t="shared" si="5"/>
        <v>0</v>
      </c>
      <c r="I84" s="281">
        <v>45920</v>
      </c>
      <c r="J84" s="255" t="s">
        <v>441</v>
      </c>
      <c r="K84" s="256"/>
      <c r="L84" s="190"/>
      <c r="M84" s="237"/>
    </row>
    <row r="85" ht="14.4" spans="1:16">
      <c r="A85" s="190" t="s">
        <v>93</v>
      </c>
      <c r="B85" s="190" t="s">
        <v>546</v>
      </c>
      <c r="C85" s="113" t="s">
        <v>556</v>
      </c>
      <c r="D85" s="278">
        <v>116.855</v>
      </c>
      <c r="E85" s="283">
        <f>5480+340</f>
        <v>5820</v>
      </c>
      <c r="F85" s="284">
        <f>E85*D85*0.3</f>
        <v>204028.83</v>
      </c>
      <c r="G85" s="276">
        <v>204028.83</v>
      </c>
      <c r="H85" s="285">
        <f t="shared" si="5"/>
        <v>0</v>
      </c>
      <c r="I85" s="286">
        <v>45825</v>
      </c>
      <c r="J85" s="255"/>
      <c r="K85" s="256"/>
      <c r="L85" s="190"/>
      <c r="M85" s="237"/>
      <c r="O85" s="272"/>
    </row>
    <row r="86" ht="14.4" spans="1:16">
      <c r="A86" s="190" t="s">
        <v>93</v>
      </c>
      <c r="B86" s="190" t="s">
        <v>546</v>
      </c>
      <c r="C86" s="262"/>
      <c r="D86" s="287"/>
      <c r="E86" s="262"/>
      <c r="F86" s="280">
        <f>E85*D85*0.7</f>
        <v>476067.27</v>
      </c>
      <c r="G86" s="276">
        <v>476067.27</v>
      </c>
      <c r="H86" s="276">
        <f t="shared" si="5"/>
        <v>0</v>
      </c>
      <c r="I86" s="281">
        <f>I85+50</f>
        <v>45875</v>
      </c>
      <c r="J86" s="255"/>
      <c r="K86" s="256"/>
      <c r="L86" s="190"/>
      <c r="M86" s="237"/>
      <c r="O86" s="267"/>
    </row>
    <row r="87" ht="14.4" spans="1:16">
      <c r="A87" s="190" t="s">
        <v>93</v>
      </c>
      <c r="B87" s="190" t="s">
        <v>553</v>
      </c>
      <c r="C87" s="113" t="s">
        <v>1357</v>
      </c>
      <c r="D87" s="278">
        <v>33.724</v>
      </c>
      <c r="E87" s="279">
        <f>280+5500</f>
        <v>5780</v>
      </c>
      <c r="F87" s="280">
        <f>E87*D87</f>
        <v>194924.72</v>
      </c>
      <c r="G87" s="276">
        <f>156060-2211.23999999999+41075.96</f>
        <v>194924.72</v>
      </c>
      <c r="H87" s="276">
        <f t="shared" si="5"/>
        <v>0</v>
      </c>
      <c r="I87" s="281">
        <v>45920</v>
      </c>
      <c r="J87" s="255" t="s">
        <v>441</v>
      </c>
      <c r="K87" s="256"/>
      <c r="L87" s="190"/>
      <c r="M87" s="237"/>
    </row>
    <row r="88" ht="14.4" spans="1:16">
      <c r="A88" s="190" t="s">
        <v>93</v>
      </c>
      <c r="B88" s="190" t="s">
        <v>546</v>
      </c>
      <c r="C88" s="113" t="s">
        <v>559</v>
      </c>
      <c r="D88" s="278">
        <v>78.578</v>
      </c>
      <c r="E88" s="279">
        <f>5150+340</f>
        <v>5490</v>
      </c>
      <c r="F88" s="284">
        <f>E88*D88*0.3</f>
        <v>129417.966</v>
      </c>
      <c r="G88" s="276">
        <v>129417.966</v>
      </c>
      <c r="H88" s="285">
        <f t="shared" si="5"/>
        <v>0</v>
      </c>
      <c r="I88" s="286">
        <v>45825</v>
      </c>
      <c r="J88" s="255"/>
      <c r="K88" s="256"/>
      <c r="L88" s="190"/>
      <c r="M88" s="237"/>
      <c r="P88" s="272">
        <f>H88*90%</f>
        <v>0</v>
      </c>
    </row>
    <row r="89" ht="14.4" spans="1:16">
      <c r="A89" s="190" t="s">
        <v>93</v>
      </c>
      <c r="B89" s="190" t="s">
        <v>546</v>
      </c>
      <c r="C89" s="262"/>
      <c r="D89" s="287"/>
      <c r="E89" s="262"/>
      <c r="F89" s="280">
        <f>E88*D88*0.7</f>
        <v>301975.254</v>
      </c>
      <c r="G89" s="288">
        <v>301975.254</v>
      </c>
      <c r="H89" s="289">
        <f t="shared" si="5"/>
        <v>0</v>
      </c>
      <c r="I89" s="281">
        <f>I88+50</f>
        <v>45875</v>
      </c>
      <c r="J89" s="255"/>
      <c r="K89" s="256"/>
      <c r="L89" s="190"/>
      <c r="M89" s="237"/>
    </row>
    <row r="90" ht="14.4" hidden="1" spans="1:16">
      <c r="A90" s="190" t="s">
        <v>1358</v>
      </c>
      <c r="B90" s="190" t="s">
        <v>457</v>
      </c>
      <c r="C90" s="190" t="s">
        <v>458</v>
      </c>
      <c r="D90" s="190">
        <v>1</v>
      </c>
      <c r="E90" s="129">
        <v>74530</v>
      </c>
      <c r="F90" s="253">
        <f t="shared" ref="F90:F95" si="8">E90*D90</f>
        <v>74530</v>
      </c>
      <c r="G90" s="266">
        <v>74530</v>
      </c>
      <c r="H90" s="266">
        <f t="shared" ref="H90:H95" si="9">F90-G90</f>
        <v>0</v>
      </c>
      <c r="I90" s="254">
        <v>45807</v>
      </c>
      <c r="J90" s="255" t="s">
        <v>90</v>
      </c>
      <c r="K90" s="256"/>
      <c r="L90" s="190"/>
      <c r="M90" s="237"/>
    </row>
    <row r="91" ht="14.4" hidden="1" spans="1:16">
      <c r="A91" s="190" t="s">
        <v>1358</v>
      </c>
      <c r="B91" s="190" t="s">
        <v>462</v>
      </c>
      <c r="C91" s="190" t="s">
        <v>458</v>
      </c>
      <c r="D91" s="190">
        <v>1</v>
      </c>
      <c r="E91" s="190">
        <v>103000</v>
      </c>
      <c r="F91" s="253">
        <f t="shared" si="8"/>
        <v>103000</v>
      </c>
      <c r="G91" s="253">
        <v>103000</v>
      </c>
      <c r="H91" s="253">
        <f t="shared" si="9"/>
        <v>0</v>
      </c>
      <c r="I91" s="254">
        <v>45807</v>
      </c>
      <c r="J91" s="255"/>
      <c r="K91" s="256"/>
      <c r="L91" s="190"/>
      <c r="M91" s="237"/>
    </row>
    <row r="92" ht="14.4" hidden="1" spans="1:16">
      <c r="A92" s="190" t="s">
        <v>1358</v>
      </c>
      <c r="B92" s="190" t="s">
        <v>464</v>
      </c>
      <c r="C92" s="190" t="s">
        <v>465</v>
      </c>
      <c r="D92" s="190">
        <v>18.29</v>
      </c>
      <c r="E92" s="190">
        <v>7000</v>
      </c>
      <c r="F92" s="253">
        <f t="shared" si="8"/>
        <v>128030</v>
      </c>
      <c r="G92" s="253">
        <f>F92</f>
        <v>128030</v>
      </c>
      <c r="H92" s="253">
        <f t="shared" si="9"/>
        <v>0</v>
      </c>
      <c r="I92" s="254">
        <v>45807</v>
      </c>
      <c r="J92" s="255" t="s">
        <v>90</v>
      </c>
      <c r="K92" s="256"/>
      <c r="L92" s="190"/>
      <c r="M92" s="237"/>
    </row>
    <row r="93" ht="14.4" hidden="1" spans="1:16">
      <c r="A93" s="190" t="s">
        <v>1358</v>
      </c>
      <c r="B93" s="190" t="s">
        <v>1359</v>
      </c>
      <c r="C93" s="190" t="s">
        <v>1360</v>
      </c>
      <c r="D93" s="190">
        <v>0.769</v>
      </c>
      <c r="E93" s="190">
        <v>8500</v>
      </c>
      <c r="F93" s="253">
        <f t="shared" si="8"/>
        <v>6536.5</v>
      </c>
      <c r="G93" s="253">
        <f>F93</f>
        <v>6536.5</v>
      </c>
      <c r="H93" s="266">
        <f t="shared" si="9"/>
        <v>0</v>
      </c>
      <c r="I93" s="254">
        <v>45807</v>
      </c>
      <c r="J93" s="255" t="s">
        <v>90</v>
      </c>
      <c r="K93" s="256"/>
      <c r="L93" s="190"/>
      <c r="M93" s="237"/>
    </row>
    <row r="94" ht="14.4" hidden="1" spans="1:16">
      <c r="A94" s="190" t="s">
        <v>1358</v>
      </c>
      <c r="B94" s="190" t="s">
        <v>410</v>
      </c>
      <c r="C94" s="190" t="s">
        <v>1361</v>
      </c>
      <c r="D94" s="190">
        <v>24.464</v>
      </c>
      <c r="E94" s="190">
        <v>7003</v>
      </c>
      <c r="F94" s="253">
        <f t="shared" si="8"/>
        <v>171321.392</v>
      </c>
      <c r="G94" s="253">
        <v>171321.39</v>
      </c>
      <c r="H94" s="266">
        <f t="shared" si="9"/>
        <v>0.00199999997857958</v>
      </c>
      <c r="I94" s="112">
        <v>45838</v>
      </c>
      <c r="J94" s="255"/>
      <c r="K94" s="271"/>
      <c r="L94" s="254">
        <f>I94+22</f>
        <v>45860</v>
      </c>
      <c r="M94" s="239"/>
      <c r="O94" s="240">
        <f>9316+124316.86+25022.02+6230.67+10658.05+34895.12+130260.96</f>
        <v>340699.68</v>
      </c>
    </row>
    <row r="95" ht="14.4" hidden="1" spans="1:16">
      <c r="A95" s="190" t="s">
        <v>1358</v>
      </c>
      <c r="B95" s="190" t="s">
        <v>1362</v>
      </c>
      <c r="C95" s="190" t="s">
        <v>1361</v>
      </c>
      <c r="D95" s="190">
        <v>6.654</v>
      </c>
      <c r="E95" s="190">
        <v>7003</v>
      </c>
      <c r="F95" s="253">
        <f t="shared" si="8"/>
        <v>46597.962</v>
      </c>
      <c r="G95" s="253">
        <v>46597.96</v>
      </c>
      <c r="H95" s="266">
        <f t="shared" si="9"/>
        <v>0.00200000000040745</v>
      </c>
      <c r="I95" s="112">
        <v>45838</v>
      </c>
      <c r="J95" s="255"/>
      <c r="K95" s="271"/>
      <c r="L95" s="254"/>
      <c r="M95" s="239"/>
      <c r="O95" s="240">
        <f>9316+124316.86+25022.02+6230.67+10658.05+34895.12+130260.96</f>
        <v>340699.68</v>
      </c>
    </row>
    <row r="96" ht="14.4" hidden="1" spans="1:16">
      <c r="A96" s="190" t="s">
        <v>1358</v>
      </c>
      <c r="B96" s="190" t="s">
        <v>523</v>
      </c>
      <c r="C96" s="190" t="s">
        <v>1355</v>
      </c>
      <c r="D96" s="190"/>
      <c r="E96" s="190"/>
      <c r="F96" s="253">
        <f>141135.57+8065.77</f>
        <v>149201.34</v>
      </c>
      <c r="G96" s="253">
        <f>141135.57+8065.77</f>
        <v>149201.34</v>
      </c>
      <c r="H96" s="253">
        <f t="shared" ref="H96:H119" si="10">F96-G96</f>
        <v>0</v>
      </c>
      <c r="I96" s="254">
        <v>45846</v>
      </c>
      <c r="J96" s="255" t="s">
        <v>90</v>
      </c>
      <c r="K96" s="271"/>
      <c r="L96" s="254">
        <f>I96+3</f>
        <v>45849</v>
      </c>
      <c r="M96" s="239"/>
      <c r="N96" s="240" t="s">
        <v>1363</v>
      </c>
    </row>
    <row r="97" ht="14.4" hidden="1" spans="1:15">
      <c r="A97" s="190" t="s">
        <v>1364</v>
      </c>
      <c r="B97" s="190" t="s">
        <v>409</v>
      </c>
      <c r="C97" s="190" t="s">
        <v>400</v>
      </c>
      <c r="D97" s="290">
        <v>81.733</v>
      </c>
      <c r="E97" s="291">
        <v>9385</v>
      </c>
      <c r="F97" s="253">
        <f t="shared" ref="F97:F111" si="11">E97*D97</f>
        <v>767064.205</v>
      </c>
      <c r="G97" s="292">
        <f>204120+562944.21</f>
        <v>767064.21</v>
      </c>
      <c r="H97" s="253">
        <f t="shared" si="10"/>
        <v>-0.00499999988824129</v>
      </c>
      <c r="I97" s="254">
        <v>45827</v>
      </c>
      <c r="J97" s="255" t="s">
        <v>90</v>
      </c>
      <c r="K97" s="256"/>
      <c r="L97" s="190"/>
      <c r="M97" s="237"/>
      <c r="O97" s="240">
        <v>68</v>
      </c>
    </row>
    <row r="98" ht="14.4" hidden="1" spans="1:15">
      <c r="A98" s="190" t="s">
        <v>1364</v>
      </c>
      <c r="B98" s="190" t="s">
        <v>415</v>
      </c>
      <c r="C98" s="76" t="s">
        <v>416</v>
      </c>
      <c r="D98" s="129">
        <v>27.563</v>
      </c>
      <c r="E98" s="129">
        <f>9700+960</f>
        <v>10660</v>
      </c>
      <c r="F98" s="253">
        <f t="shared" si="11"/>
        <v>293821.58</v>
      </c>
      <c r="G98" s="253">
        <v>293821.58</v>
      </c>
      <c r="H98" s="253">
        <f t="shared" si="10"/>
        <v>0</v>
      </c>
      <c r="I98" s="112">
        <v>45838</v>
      </c>
      <c r="J98" s="255"/>
      <c r="K98" s="271"/>
      <c r="L98" s="254" t="s">
        <v>1365</v>
      </c>
      <c r="M98" s="239"/>
    </row>
    <row r="99" ht="14.4" hidden="1" spans="1:15">
      <c r="A99" s="190" t="s">
        <v>1364</v>
      </c>
      <c r="B99" s="190" t="s">
        <v>415</v>
      </c>
      <c r="C99" s="76" t="s">
        <v>418</v>
      </c>
      <c r="D99" s="129">
        <v>27.666</v>
      </c>
      <c r="E99" s="129">
        <f>9700+960</f>
        <v>10660</v>
      </c>
      <c r="F99" s="253">
        <f t="shared" si="11"/>
        <v>294919.56</v>
      </c>
      <c r="G99" s="253">
        <v>294919.56</v>
      </c>
      <c r="H99" s="253">
        <f t="shared" si="10"/>
        <v>0</v>
      </c>
      <c r="I99" s="112">
        <v>45838</v>
      </c>
      <c r="J99" s="255"/>
      <c r="K99" s="271"/>
      <c r="L99" s="254" t="s">
        <v>1365</v>
      </c>
      <c r="M99" s="239"/>
    </row>
    <row r="100" ht="14.4" hidden="1" spans="1:15">
      <c r="A100" s="190" t="s">
        <v>1364</v>
      </c>
      <c r="B100" s="190" t="s">
        <v>421</v>
      </c>
      <c r="C100" s="76" t="s">
        <v>422</v>
      </c>
      <c r="D100" s="76">
        <v>7.665</v>
      </c>
      <c r="E100" s="129">
        <v>9540</v>
      </c>
      <c r="F100" s="253">
        <f t="shared" si="11"/>
        <v>73124.1</v>
      </c>
      <c r="G100" s="253">
        <v>73124.1</v>
      </c>
      <c r="H100" s="253">
        <f t="shared" si="10"/>
        <v>0</v>
      </c>
      <c r="I100" s="112">
        <v>45838</v>
      </c>
      <c r="J100" s="255"/>
      <c r="K100" s="271"/>
      <c r="L100" s="254">
        <f>I100+20</f>
        <v>45858</v>
      </c>
      <c r="M100" s="239"/>
    </row>
    <row r="101" ht="14.4" hidden="1" spans="1:15">
      <c r="A101" s="190" t="s">
        <v>1364</v>
      </c>
      <c r="B101" s="190" t="s">
        <v>421</v>
      </c>
      <c r="C101" s="76" t="s">
        <v>423</v>
      </c>
      <c r="D101" s="76">
        <v>20.07</v>
      </c>
      <c r="E101" s="129">
        <v>9060</v>
      </c>
      <c r="F101" s="253">
        <f t="shared" si="11"/>
        <v>181834.2</v>
      </c>
      <c r="G101" s="253">
        <f>72574.2+109260</f>
        <v>181834.2</v>
      </c>
      <c r="H101" s="253">
        <f t="shared" si="10"/>
        <v>0</v>
      </c>
      <c r="I101" s="112">
        <v>45838</v>
      </c>
      <c r="J101" s="255"/>
      <c r="K101" s="271"/>
      <c r="L101" s="254">
        <f>I101+20</f>
        <v>45858</v>
      </c>
      <c r="M101" s="239"/>
    </row>
    <row r="102" ht="14.4" hidden="1" spans="1:15">
      <c r="A102" s="190" t="s">
        <v>1364</v>
      </c>
      <c r="B102" s="190" t="s">
        <v>1366</v>
      </c>
      <c r="C102" s="76" t="s">
        <v>424</v>
      </c>
      <c r="D102" s="129">
        <v>15</v>
      </c>
      <c r="E102" s="129">
        <v>7600</v>
      </c>
      <c r="F102" s="253">
        <f t="shared" si="11"/>
        <v>114000</v>
      </c>
      <c r="G102" s="253">
        <v>0</v>
      </c>
      <c r="H102" s="253">
        <f t="shared" si="10"/>
        <v>114000</v>
      </c>
      <c r="I102" s="112">
        <v>46021</v>
      </c>
      <c r="J102" s="255"/>
      <c r="K102" s="271"/>
      <c r="L102" s="254">
        <f>I102+20</f>
        <v>46041</v>
      </c>
      <c r="M102" s="239"/>
    </row>
    <row r="103" ht="14.4" hidden="1" spans="1:15">
      <c r="A103" s="190" t="s">
        <v>1367</v>
      </c>
      <c r="B103" s="190" t="s">
        <v>479</v>
      </c>
      <c r="C103" s="113" t="s">
        <v>471</v>
      </c>
      <c r="D103" s="75">
        <f>1960400</f>
        <v>1960400</v>
      </c>
      <c r="E103" s="190">
        <v>0.123</v>
      </c>
      <c r="F103" s="253">
        <f t="shared" si="11"/>
        <v>241129.2</v>
      </c>
      <c r="G103" s="253">
        <v>241129.2</v>
      </c>
      <c r="H103" s="253">
        <f t="shared" si="10"/>
        <v>0</v>
      </c>
      <c r="I103" s="254">
        <v>45889</v>
      </c>
      <c r="J103" s="255"/>
      <c r="K103" s="271"/>
      <c r="L103" s="254">
        <v>45884</v>
      </c>
      <c r="M103" s="239"/>
    </row>
    <row r="104" ht="14.4" hidden="1" spans="1:15">
      <c r="A104" s="190" t="s">
        <v>1367</v>
      </c>
      <c r="B104" s="190" t="s">
        <v>482</v>
      </c>
      <c r="C104" s="113" t="s">
        <v>471</v>
      </c>
      <c r="D104" s="75">
        <f>1960400</f>
        <v>1960400</v>
      </c>
      <c r="E104" s="190">
        <v>0.123</v>
      </c>
      <c r="F104" s="253">
        <f t="shared" si="11"/>
        <v>241129.2</v>
      </c>
      <c r="G104" s="253">
        <v>241129.2</v>
      </c>
      <c r="H104" s="253">
        <f t="shared" si="10"/>
        <v>0</v>
      </c>
      <c r="I104" s="254">
        <v>45925</v>
      </c>
      <c r="J104" s="255" t="s">
        <v>441</v>
      </c>
      <c r="K104" s="271"/>
      <c r="L104" s="254"/>
      <c r="M104" s="239"/>
    </row>
    <row r="105" ht="14.4" hidden="1" spans="1:15">
      <c r="A105" s="190" t="s">
        <v>1367</v>
      </c>
      <c r="B105" s="190" t="s">
        <v>484</v>
      </c>
      <c r="C105" s="113" t="s">
        <v>471</v>
      </c>
      <c r="D105" s="75">
        <f>1960400*2</f>
        <v>3920800</v>
      </c>
      <c r="E105" s="190">
        <v>0.123</v>
      </c>
      <c r="F105" s="253">
        <f t="shared" si="11"/>
        <v>482258.4</v>
      </c>
      <c r="G105" s="253">
        <v>482258.4</v>
      </c>
      <c r="H105" s="253">
        <f t="shared" si="10"/>
        <v>0</v>
      </c>
      <c r="I105" s="254">
        <v>45941</v>
      </c>
      <c r="J105" s="255" t="s">
        <v>441</v>
      </c>
      <c r="K105" s="271"/>
      <c r="L105" s="254">
        <f>I105+40</f>
        <v>45981</v>
      </c>
      <c r="M105" s="239"/>
      <c r="O105" s="267"/>
    </row>
    <row r="106" ht="14.4" hidden="1" spans="1:15">
      <c r="A106" s="190" t="s">
        <v>1367</v>
      </c>
      <c r="B106" s="293" t="s">
        <v>86</v>
      </c>
      <c r="C106" s="293" t="s">
        <v>87</v>
      </c>
      <c r="D106" s="293">
        <v>1160000</v>
      </c>
      <c r="E106" s="294">
        <f>157.05/1000</f>
        <v>0.15705</v>
      </c>
      <c r="F106" s="276">
        <f t="shared" si="11"/>
        <v>182178</v>
      </c>
      <c r="G106" s="276">
        <f>127524.6+54653.4</f>
        <v>182178</v>
      </c>
      <c r="H106" s="276">
        <f t="shared" si="10"/>
        <v>0</v>
      </c>
      <c r="I106" s="254">
        <v>45807</v>
      </c>
      <c r="J106" s="255" t="s">
        <v>90</v>
      </c>
      <c r="K106" s="256"/>
      <c r="L106" s="190"/>
      <c r="M106" s="237"/>
    </row>
    <row r="107" ht="14.4" hidden="1" spans="1:15">
      <c r="A107" s="190" t="s">
        <v>1367</v>
      </c>
      <c r="B107" s="295" t="s">
        <v>560</v>
      </c>
      <c r="C107" s="295" t="s">
        <v>561</v>
      </c>
      <c r="D107" s="296">
        <v>19</v>
      </c>
      <c r="E107" s="296">
        <v>4105.3</v>
      </c>
      <c r="F107" s="289">
        <f t="shared" si="11"/>
        <v>78000.7</v>
      </c>
      <c r="G107" s="297">
        <v>78000.7</v>
      </c>
      <c r="H107" s="276">
        <f t="shared" si="10"/>
        <v>0</v>
      </c>
      <c r="I107" s="298">
        <v>45860</v>
      </c>
      <c r="J107" s="255"/>
      <c r="K107" s="271"/>
      <c r="L107" s="254">
        <f>I107+3</f>
        <v>45863</v>
      </c>
      <c r="M107" s="239"/>
    </row>
    <row r="108" ht="14.4" hidden="1" spans="1:15">
      <c r="A108" s="190" t="s">
        <v>1367</v>
      </c>
      <c r="B108" s="190" t="s">
        <v>564</v>
      </c>
      <c r="C108" s="299" t="s">
        <v>561</v>
      </c>
      <c r="D108" s="300">
        <v>3</v>
      </c>
      <c r="E108" s="300">
        <v>9067</v>
      </c>
      <c r="F108" s="289">
        <f t="shared" si="11"/>
        <v>27201</v>
      </c>
      <c r="G108" s="253">
        <v>27201</v>
      </c>
      <c r="H108" s="253">
        <f t="shared" si="10"/>
        <v>0</v>
      </c>
      <c r="I108" s="254">
        <v>45915</v>
      </c>
      <c r="J108" s="255" t="s">
        <v>441</v>
      </c>
      <c r="K108" s="271"/>
      <c r="L108" s="254">
        <f>I108+3</f>
        <v>45918</v>
      </c>
      <c r="M108" s="239"/>
    </row>
    <row r="109" ht="14.4" hidden="1" spans="1:15">
      <c r="A109" s="190" t="s">
        <v>1367</v>
      </c>
      <c r="B109" s="190" t="s">
        <v>566</v>
      </c>
      <c r="C109" s="299" t="s">
        <v>561</v>
      </c>
      <c r="D109" s="293">
        <v>2</v>
      </c>
      <c r="E109" s="293">
        <v>8640</v>
      </c>
      <c r="F109" s="276">
        <f t="shared" si="11"/>
        <v>17280</v>
      </c>
      <c r="G109" s="276">
        <v>17280</v>
      </c>
      <c r="H109" s="253">
        <f t="shared" si="10"/>
        <v>0</v>
      </c>
      <c r="I109" s="254">
        <v>45915</v>
      </c>
      <c r="J109" s="255"/>
      <c r="K109" s="271"/>
      <c r="L109" s="254"/>
      <c r="M109" s="239"/>
    </row>
    <row r="110" ht="14.4" hidden="1" spans="1:15">
      <c r="A110" s="190" t="s">
        <v>1367</v>
      </c>
      <c r="B110" s="293" t="s">
        <v>568</v>
      </c>
      <c r="C110" s="237" t="s">
        <v>561</v>
      </c>
      <c r="D110" s="293">
        <v>18</v>
      </c>
      <c r="E110" s="293">
        <v>4459</v>
      </c>
      <c r="F110" s="301">
        <f t="shared" si="11"/>
        <v>80262</v>
      </c>
      <c r="G110" s="276">
        <f>24078.6+56183.4</f>
        <v>80262</v>
      </c>
      <c r="H110" s="253">
        <f t="shared" si="10"/>
        <v>0</v>
      </c>
      <c r="I110" s="254">
        <v>45945</v>
      </c>
      <c r="J110" s="255"/>
      <c r="K110" s="271"/>
      <c r="L110" s="254"/>
      <c r="M110" s="239"/>
    </row>
    <row r="111" ht="14.4" spans="1:15">
      <c r="A111" s="190" t="s">
        <v>93</v>
      </c>
      <c r="B111" s="293" t="s">
        <v>573</v>
      </c>
      <c r="C111" s="302" t="s">
        <v>574</v>
      </c>
      <c r="D111" s="293">
        <v>1160000</v>
      </c>
      <c r="E111" s="293">
        <v>0.23</v>
      </c>
      <c r="F111" s="301">
        <f t="shared" si="11"/>
        <v>266800</v>
      </c>
      <c r="G111" s="276">
        <v>266800</v>
      </c>
      <c r="H111" s="276">
        <f t="shared" si="10"/>
        <v>0</v>
      </c>
      <c r="I111" s="254">
        <v>45849</v>
      </c>
      <c r="J111" s="255"/>
      <c r="K111" s="271"/>
      <c r="L111" s="254">
        <v>45863</v>
      </c>
      <c r="M111" s="239"/>
      <c r="O111" s="267">
        <f>H111</f>
        <v>0</v>
      </c>
    </row>
    <row r="112" ht="14.4" spans="1:15">
      <c r="A112" s="190" t="s">
        <v>93</v>
      </c>
      <c r="B112" s="293" t="s">
        <v>581</v>
      </c>
      <c r="C112" s="256" t="s">
        <v>351</v>
      </c>
      <c r="D112" s="190">
        <v>2320000</v>
      </c>
      <c r="E112" s="190">
        <v>0.2329</v>
      </c>
      <c r="F112" s="301">
        <f>E112*D112*0.3</f>
        <v>162098.4</v>
      </c>
      <c r="G112" s="276">
        <v>162098.4</v>
      </c>
      <c r="H112" s="276">
        <f t="shared" si="10"/>
        <v>0</v>
      </c>
      <c r="I112" s="254">
        <v>45861</v>
      </c>
      <c r="J112" s="255" t="s">
        <v>441</v>
      </c>
      <c r="K112" s="271"/>
      <c r="L112" s="254">
        <v>45863</v>
      </c>
      <c r="M112" s="239"/>
      <c r="O112" s="272" t="e">
        <f>H112*#REF!</f>
        <v>#REF!</v>
      </c>
    </row>
    <row r="113" ht="14.4" spans="1:29">
      <c r="A113" s="190" t="s">
        <v>93</v>
      </c>
      <c r="B113" s="293" t="s">
        <v>581</v>
      </c>
      <c r="C113" s="303"/>
      <c r="D113" s="262"/>
      <c r="E113" s="262"/>
      <c r="F113" s="301">
        <f>D112*E112*0.7</f>
        <v>378229.6</v>
      </c>
      <c r="G113" s="276">
        <v>378229.6</v>
      </c>
      <c r="H113" s="276">
        <f t="shared" si="10"/>
        <v>0</v>
      </c>
      <c r="I113" s="254">
        <v>45861</v>
      </c>
      <c r="J113" s="255" t="s">
        <v>441</v>
      </c>
      <c r="K113" s="271"/>
      <c r="L113" s="254">
        <v>45863</v>
      </c>
      <c r="M113" s="239"/>
      <c r="O113" s="272" t="e">
        <f>H113*#REF!</f>
        <v>#REF!</v>
      </c>
    </row>
    <row r="114" ht="14.4" hidden="1" spans="1:29">
      <c r="A114" s="293" t="s">
        <v>1358</v>
      </c>
      <c r="B114" s="190" t="s">
        <v>83</v>
      </c>
      <c r="C114" s="190" t="s">
        <v>1368</v>
      </c>
      <c r="D114" s="304">
        <v>1.529</v>
      </c>
      <c r="E114" s="190">
        <v>6857</v>
      </c>
      <c r="F114" s="301">
        <f t="shared" ref="F114:F119" si="12">E114*D114</f>
        <v>10484.353</v>
      </c>
      <c r="G114" s="276">
        <v>10484.353</v>
      </c>
      <c r="H114" s="253">
        <f t="shared" si="10"/>
        <v>0</v>
      </c>
      <c r="I114" s="254">
        <v>45846</v>
      </c>
      <c r="J114" s="255" t="s">
        <v>441</v>
      </c>
      <c r="K114" s="256"/>
      <c r="L114" s="190"/>
      <c r="M114" s="237"/>
      <c r="O114" s="267"/>
    </row>
    <row r="115" ht="14.4" hidden="1" spans="1:29">
      <c r="A115" s="293" t="s">
        <v>1358</v>
      </c>
      <c r="B115" s="190" t="s">
        <v>83</v>
      </c>
      <c r="C115" s="190" t="s">
        <v>1369</v>
      </c>
      <c r="D115" s="190">
        <v>0.588</v>
      </c>
      <c r="E115" s="190">
        <v>7009</v>
      </c>
      <c r="F115" s="301">
        <f t="shared" si="12"/>
        <v>4121.292</v>
      </c>
      <c r="G115" s="276">
        <v>4121.292</v>
      </c>
      <c r="H115" s="253">
        <f t="shared" si="10"/>
        <v>0</v>
      </c>
      <c r="I115" s="305"/>
      <c r="J115" s="255" t="s">
        <v>90</v>
      </c>
      <c r="K115" s="256"/>
      <c r="L115" s="190"/>
      <c r="M115" s="237"/>
    </row>
    <row r="116" ht="14.4" hidden="1" spans="1:29">
      <c r="A116" s="293" t="s">
        <v>1358</v>
      </c>
      <c r="B116" s="293" t="s">
        <v>579</v>
      </c>
      <c r="C116" s="293" t="s">
        <v>580</v>
      </c>
      <c r="D116" s="293">
        <v>51.471</v>
      </c>
      <c r="E116" s="293">
        <v>6850</v>
      </c>
      <c r="F116" s="306">
        <f t="shared" si="12"/>
        <v>352576.35</v>
      </c>
      <c r="G116" s="307">
        <f>102750+249826.35</f>
        <v>352576.35</v>
      </c>
      <c r="H116" s="276">
        <f t="shared" si="10"/>
        <v>0</v>
      </c>
      <c r="I116" s="308">
        <v>45920</v>
      </c>
      <c r="J116" s="309" t="s">
        <v>441</v>
      </c>
      <c r="K116" s="310"/>
      <c r="L116" s="254">
        <f>I116+14</f>
        <v>45934</v>
      </c>
      <c r="M116" s="239"/>
    </row>
    <row r="117" ht="14.45" customHeight="1" spans="1:29">
      <c r="A117" s="190" t="s">
        <v>93</v>
      </c>
      <c r="B117" s="295" t="s">
        <v>583</v>
      </c>
      <c r="C117" s="296" t="str">
        <f>'Sheet7 (2)'!E518</f>
        <v>0.16*820 2.0/2.0, T4 Stone, BA</v>
      </c>
      <c r="D117" s="311">
        <v>77.84</v>
      </c>
      <c r="E117" s="296">
        <v>5930</v>
      </c>
      <c r="F117" s="289">
        <f t="shared" si="12"/>
        <v>461591.2</v>
      </c>
      <c r="G117" s="289">
        <f>93172.38+368418.82</f>
        <v>461591.2</v>
      </c>
      <c r="H117" s="276">
        <f t="shared" si="10"/>
        <v>0</v>
      </c>
      <c r="I117" s="312">
        <v>45902</v>
      </c>
      <c r="J117" s="255" t="s">
        <v>90</v>
      </c>
      <c r="K117" s="256"/>
      <c r="L117" s="190"/>
      <c r="M117" s="237"/>
    </row>
    <row r="118" ht="14.4" spans="1:29">
      <c r="A118" s="190" t="s">
        <v>93</v>
      </c>
      <c r="B118" s="295" t="s">
        <v>583</v>
      </c>
      <c r="C118" s="295" t="str">
        <f>'Sheet7 (2)'!E519</f>
        <v>0.16*875 2.0/2.0, DR 8.5 Stone, BA</v>
      </c>
      <c r="D118" s="81">
        <v>59.63</v>
      </c>
      <c r="E118" s="295">
        <v>6180</v>
      </c>
      <c r="F118" s="297">
        <f t="shared" si="12"/>
        <v>368513.4</v>
      </c>
      <c r="G118" s="289">
        <f>368513.4+75303.3-5048.04000000001-1774.08-1998.64-3406.15-7038.64999999999-1821.05-35251.2-397.439999999973-18568.05</f>
        <v>368513.4</v>
      </c>
      <c r="H118" s="276">
        <f t="shared" si="10"/>
        <v>0</v>
      </c>
      <c r="I118" s="312">
        <v>45902</v>
      </c>
      <c r="J118" s="255" t="s">
        <v>90</v>
      </c>
      <c r="K118" s="256"/>
      <c r="L118" s="190"/>
      <c r="M118" s="237"/>
      <c r="R118" s="238" t="s">
        <v>1370</v>
      </c>
      <c r="S118" s="313">
        <f>H46+H63+H67</f>
        <v>0</v>
      </c>
      <c r="T118" s="238"/>
      <c r="U118" s="238"/>
      <c r="V118" s="238"/>
      <c r="W118" s="238"/>
      <c r="X118" s="314" t="s">
        <v>1371</v>
      </c>
      <c r="AA118" s="314" t="s">
        <v>1372</v>
      </c>
      <c r="AB118" s="241" t="e">
        <f>SUM(H29+H77+H80+#REF!+H82+H83+H84+H86+H87+H89)</f>
        <v>#REF!</v>
      </c>
      <c r="AC118" s="315"/>
    </row>
    <row r="119" ht="14.4" spans="1:29">
      <c r="A119" s="190" t="s">
        <v>93</v>
      </c>
      <c r="B119" s="296" t="s">
        <v>1373</v>
      </c>
      <c r="C119" s="81" t="s">
        <v>592</v>
      </c>
      <c r="D119" s="81">
        <v>28.002</v>
      </c>
      <c r="E119" s="213">
        <v>6100</v>
      </c>
      <c r="F119" s="289">
        <f t="shared" si="12"/>
        <v>170812.2</v>
      </c>
      <c r="G119" s="289">
        <f>34895.12+8486.88+121318+6112.19999999998</f>
        <v>170812.2</v>
      </c>
      <c r="H119" s="316">
        <f t="shared" si="10"/>
        <v>0</v>
      </c>
      <c r="I119" s="312">
        <v>46021</v>
      </c>
      <c r="J119" s="317" t="s">
        <v>441</v>
      </c>
      <c r="K119" s="256"/>
      <c r="L119" s="190"/>
      <c r="M119" s="237"/>
      <c r="O119" s="267"/>
      <c r="R119" s="238" t="s">
        <v>1374</v>
      </c>
      <c r="S119" s="313">
        <f>H103+H100+H98+H97+H69+H45+H85+H88+H71+H90+H96+H94</f>
        <v>-0.00299999990966171</v>
      </c>
      <c r="T119" s="238"/>
      <c r="U119" s="238"/>
      <c r="V119" s="238"/>
      <c r="W119" s="238"/>
      <c r="X119" s="314" t="s">
        <v>1375</v>
      </c>
      <c r="Y119" s="241">
        <f>H50+H73+H79+H105</f>
        <v>0</v>
      </c>
      <c r="Z119" s="315"/>
      <c r="AA119" s="314" t="s">
        <v>1376</v>
      </c>
    </row>
    <row r="120" ht="12.95" customHeight="1" spans="1:29">
      <c r="A120" s="190" t="s">
        <v>93</v>
      </c>
      <c r="B120" s="296" t="s">
        <v>1377</v>
      </c>
      <c r="C120" s="81" t="s">
        <v>592</v>
      </c>
      <c r="D120" s="81">
        <v>26.298</v>
      </c>
      <c r="E120" s="213">
        <v>6100</v>
      </c>
      <c r="F120" s="289">
        <f t="shared" ref="F120:F129" si="13">E120*D120</f>
        <v>160417.8</v>
      </c>
      <c r="G120" s="289">
        <f>166530-6112.19999999998</f>
        <v>160417.8</v>
      </c>
      <c r="H120" s="316">
        <f t="shared" ref="H120:H129" si="14">F120-G120</f>
        <v>0</v>
      </c>
      <c r="I120" s="312">
        <v>46021</v>
      </c>
      <c r="J120" s="317" t="s">
        <v>441</v>
      </c>
      <c r="K120" s="256"/>
      <c r="L120" s="190"/>
      <c r="M120" s="237"/>
      <c r="O120" s="267"/>
      <c r="R120" s="238"/>
      <c r="S120" s="313"/>
      <c r="T120" s="238"/>
      <c r="U120" s="238"/>
      <c r="V120" s="238"/>
      <c r="W120" s="238"/>
      <c r="X120" s="314"/>
      <c r="Z120" s="315"/>
      <c r="AA120" s="314"/>
    </row>
    <row r="121" ht="15.15" spans="1:29">
      <c r="A121" s="190" t="s">
        <v>93</v>
      </c>
      <c r="B121" s="296" t="s">
        <v>1378</v>
      </c>
      <c r="C121" s="81" t="s">
        <v>594</v>
      </c>
      <c r="D121" s="213">
        <v>40.905</v>
      </c>
      <c r="E121" s="213">
        <v>6100</v>
      </c>
      <c r="F121" s="289">
        <f t="shared" si="13"/>
        <v>249520.5</v>
      </c>
      <c r="G121" s="289">
        <f>732000-249520.5-314211+81252</f>
        <v>249520.5</v>
      </c>
      <c r="H121" s="318">
        <f t="shared" si="14"/>
        <v>0</v>
      </c>
      <c r="I121" s="312">
        <v>46021</v>
      </c>
      <c r="J121" s="317" t="s">
        <v>1379</v>
      </c>
      <c r="K121" s="256"/>
      <c r="L121" s="190"/>
      <c r="M121" s="237"/>
      <c r="R121" s="319" t="s">
        <v>1380</v>
      </c>
      <c r="S121" s="320">
        <f>-Varnish!Z84</f>
        <v>333340.737</v>
      </c>
      <c r="T121" s="319"/>
      <c r="U121" s="319"/>
      <c r="V121" s="319"/>
      <c r="W121" s="319"/>
      <c r="X121" s="321"/>
      <c r="Y121" s="322"/>
      <c r="Z121" s="323"/>
      <c r="AA121" s="323"/>
      <c r="AB121" s="322"/>
    </row>
    <row r="122" ht="14.4" spans="1:29">
      <c r="A122" s="190" t="s">
        <v>93</v>
      </c>
      <c r="B122" s="296" t="s">
        <v>1373</v>
      </c>
      <c r="C122" s="81" t="s">
        <v>594</v>
      </c>
      <c r="D122" s="213">
        <v>51.51</v>
      </c>
      <c r="E122" s="213">
        <v>6100</v>
      </c>
      <c r="F122" s="289">
        <f t="shared" si="13"/>
        <v>314211</v>
      </c>
      <c r="G122" s="289">
        <v>314211</v>
      </c>
      <c r="H122" s="316">
        <f t="shared" si="14"/>
        <v>0</v>
      </c>
      <c r="I122" s="312">
        <v>46037</v>
      </c>
      <c r="J122" s="317" t="s">
        <v>441</v>
      </c>
      <c r="K122" s="256"/>
      <c r="L122" s="190"/>
      <c r="M122" s="237"/>
      <c r="R122" s="238"/>
      <c r="S122" s="313"/>
      <c r="T122" s="238"/>
      <c r="U122" s="238"/>
      <c r="V122" s="238"/>
      <c r="W122" s="238"/>
      <c r="X122" s="324"/>
    </row>
    <row r="123" ht="14.4" spans="1:29">
      <c r="A123" s="190" t="s">
        <v>93</v>
      </c>
      <c r="B123" s="296" t="s">
        <v>1377</v>
      </c>
      <c r="C123" s="81" t="s">
        <v>594</v>
      </c>
      <c r="D123" s="213">
        <v>40.905</v>
      </c>
      <c r="E123" s="213">
        <v>6100</v>
      </c>
      <c r="F123" s="289">
        <f t="shared" si="13"/>
        <v>249520.5</v>
      </c>
      <c r="G123" s="289">
        <v>249520.5</v>
      </c>
      <c r="H123" s="316">
        <f t="shared" si="14"/>
        <v>0</v>
      </c>
      <c r="I123" s="312">
        <v>46021</v>
      </c>
      <c r="J123" s="317" t="s">
        <v>441</v>
      </c>
      <c r="K123" s="256"/>
      <c r="L123" s="190"/>
      <c r="M123" s="237"/>
      <c r="R123" s="238"/>
      <c r="S123" s="313"/>
      <c r="T123" s="238"/>
      <c r="U123" s="238"/>
      <c r="V123" s="238"/>
      <c r="W123" s="238"/>
      <c r="X123" s="324"/>
    </row>
    <row r="124" ht="14.4" spans="1:29">
      <c r="A124" s="190" t="s">
        <v>93</v>
      </c>
      <c r="B124" s="296" t="s">
        <v>1381</v>
      </c>
      <c r="C124" s="81" t="s">
        <v>594</v>
      </c>
      <c r="D124" s="213">
        <v>1.103</v>
      </c>
      <c r="E124" s="213">
        <v>6100</v>
      </c>
      <c r="F124" s="289">
        <f t="shared" si="13"/>
        <v>6728.3</v>
      </c>
      <c r="G124" s="289">
        <v>6728.3</v>
      </c>
      <c r="H124" s="325">
        <f t="shared" si="14"/>
        <v>0</v>
      </c>
      <c r="I124" s="312">
        <v>46059</v>
      </c>
      <c r="J124" s="317" t="s">
        <v>441</v>
      </c>
      <c r="K124" s="256"/>
      <c r="L124" s="190"/>
      <c r="M124" s="237"/>
      <c r="R124" s="238"/>
      <c r="S124" s="313"/>
      <c r="T124" s="238"/>
      <c r="U124" s="238"/>
      <c r="V124" s="238"/>
      <c r="W124" s="238"/>
      <c r="X124" s="324"/>
    </row>
    <row r="125" ht="14.4" spans="1:29">
      <c r="A125" s="190" t="s">
        <v>93</v>
      </c>
      <c r="B125" s="296" t="s">
        <v>1377</v>
      </c>
      <c r="C125" s="81" t="s">
        <v>159</v>
      </c>
      <c r="D125" s="213">
        <v>27.216</v>
      </c>
      <c r="E125" s="213">
        <v>5950</v>
      </c>
      <c r="F125" s="289">
        <f t="shared" si="13"/>
        <v>161935.2</v>
      </c>
      <c r="G125" s="289">
        <f>148750+13185.2</f>
        <v>161935.2</v>
      </c>
      <c r="H125" s="316">
        <f t="shared" si="14"/>
        <v>0</v>
      </c>
      <c r="I125" s="312">
        <v>46021</v>
      </c>
      <c r="J125" s="317" t="s">
        <v>441</v>
      </c>
      <c r="K125" s="256"/>
      <c r="L125" s="190"/>
      <c r="M125" s="237"/>
      <c r="O125" s="267">
        <f>SUM(H119:H125)</f>
        <v>0</v>
      </c>
      <c r="R125" s="238"/>
      <c r="S125" s="313">
        <f>SUM(H45+H46+H63+H67+H69+H71+H85+H88+S121+H77)</f>
        <v>333340.737</v>
      </c>
      <c r="T125" s="238"/>
      <c r="U125" s="238"/>
      <c r="V125" s="238"/>
      <c r="W125" s="238"/>
      <c r="X125" s="324"/>
      <c r="Y125" s="241">
        <f>Y119</f>
        <v>0</v>
      </c>
      <c r="Z125" s="315"/>
      <c r="AB125" s="241" t="e">
        <f>AB118</f>
        <v>#REF!</v>
      </c>
      <c r="AC125" s="315"/>
    </row>
    <row r="126" ht="14.4" spans="1:29">
      <c r="A126" s="190" t="s">
        <v>93</v>
      </c>
      <c r="B126" s="296" t="s">
        <v>1378</v>
      </c>
      <c r="C126" s="81" t="s">
        <v>598</v>
      </c>
      <c r="D126" s="213">
        <v>42.228</v>
      </c>
      <c r="E126" s="213">
        <v>6100</v>
      </c>
      <c r="F126" s="289">
        <f t="shared" si="13"/>
        <v>257590.8</v>
      </c>
      <c r="G126" s="289">
        <f>658800-166347-212097-22765.2</f>
        <v>257590.8</v>
      </c>
      <c r="H126" s="316">
        <f t="shared" si="14"/>
        <v>0</v>
      </c>
      <c r="I126" s="312">
        <v>46021</v>
      </c>
      <c r="J126" s="317" t="s">
        <v>441</v>
      </c>
      <c r="K126" s="256"/>
      <c r="L126" s="190"/>
      <c r="M126" s="237"/>
    </row>
    <row r="127" ht="14.4" spans="1:29">
      <c r="A127" s="190" t="s">
        <v>93</v>
      </c>
      <c r="B127" s="296" t="s">
        <v>1382</v>
      </c>
      <c r="C127" s="81" t="s">
        <v>598</v>
      </c>
      <c r="D127" s="213">
        <v>7.529</v>
      </c>
      <c r="E127" s="213">
        <v>6100</v>
      </c>
      <c r="F127" s="289">
        <f t="shared" si="13"/>
        <v>45926.9</v>
      </c>
      <c r="G127" s="289">
        <f>22765.2+23161.7</f>
        <v>45926.9</v>
      </c>
      <c r="H127" s="318">
        <f t="shared" si="14"/>
        <v>0</v>
      </c>
      <c r="I127" s="312">
        <v>46042</v>
      </c>
      <c r="J127" s="317" t="s">
        <v>441</v>
      </c>
      <c r="K127" s="256"/>
      <c r="L127" s="190"/>
      <c r="M127" s="237"/>
    </row>
    <row r="128" ht="14.4" spans="1:29">
      <c r="A128" s="190" t="s">
        <v>93</v>
      </c>
      <c r="B128" s="296" t="s">
        <v>1373</v>
      </c>
      <c r="C128" s="81" t="s">
        <v>598</v>
      </c>
      <c r="D128" s="213">
        <v>34.77</v>
      </c>
      <c r="E128" s="213">
        <v>6100</v>
      </c>
      <c r="F128" s="289">
        <f t="shared" si="13"/>
        <v>212097</v>
      </c>
      <c r="G128" s="289">
        <v>212097</v>
      </c>
      <c r="H128" s="316">
        <f t="shared" si="14"/>
        <v>0</v>
      </c>
      <c r="I128" s="312">
        <v>46037</v>
      </c>
      <c r="J128" s="317" t="s">
        <v>441</v>
      </c>
      <c r="K128" s="256"/>
      <c r="L128" s="190"/>
      <c r="M128" s="237"/>
    </row>
    <row r="129" ht="14.4" spans="1:15">
      <c r="A129" s="190" t="s">
        <v>93</v>
      </c>
      <c r="B129" s="296" t="s">
        <v>1377</v>
      </c>
      <c r="C129" s="81" t="s">
        <v>598</v>
      </c>
      <c r="D129" s="213">
        <v>27.27</v>
      </c>
      <c r="E129" s="213">
        <v>6100</v>
      </c>
      <c r="F129" s="289">
        <f t="shared" si="13"/>
        <v>166347</v>
      </c>
      <c r="G129" s="289">
        <v>166347</v>
      </c>
      <c r="H129" s="316">
        <f t="shared" si="14"/>
        <v>0</v>
      </c>
      <c r="I129" s="312">
        <v>46021</v>
      </c>
      <c r="J129" s="317" t="s">
        <v>441</v>
      </c>
      <c r="K129" s="256"/>
      <c r="L129" s="190"/>
      <c r="M129" s="237"/>
    </row>
    <row r="130" ht="14.4" spans="1:15">
      <c r="A130" s="190" t="s">
        <v>93</v>
      </c>
      <c r="B130" s="296" t="s">
        <v>1381</v>
      </c>
      <c r="C130" s="81" t="s">
        <v>598</v>
      </c>
      <c r="D130" s="213">
        <v>7.249</v>
      </c>
      <c r="E130" s="213">
        <v>6100</v>
      </c>
      <c r="F130" s="289">
        <f t="shared" ref="F130:F143" si="15">E130*D130</f>
        <v>44218.9</v>
      </c>
      <c r="G130" s="289">
        <v>44218.9</v>
      </c>
      <c r="H130" s="325">
        <f t="shared" ref="H130:H144" si="16">F130-G130</f>
        <v>0</v>
      </c>
      <c r="I130" s="312">
        <v>46059</v>
      </c>
      <c r="J130" s="317" t="s">
        <v>441</v>
      </c>
      <c r="K130" s="256"/>
      <c r="L130" s="190"/>
      <c r="M130" s="237"/>
    </row>
    <row r="131" ht="14.4" spans="1:15">
      <c r="A131" s="190" t="s">
        <v>93</v>
      </c>
      <c r="B131" s="296" t="s">
        <v>1373</v>
      </c>
      <c r="C131" s="81" t="s">
        <v>162</v>
      </c>
      <c r="D131" s="213">
        <v>22.47</v>
      </c>
      <c r="E131" s="213">
        <v>5950</v>
      </c>
      <c r="F131" s="289">
        <f t="shared" si="15"/>
        <v>133696.5</v>
      </c>
      <c r="G131" s="289">
        <f>600117-484579.9+18159.4</f>
        <v>133696.5</v>
      </c>
      <c r="H131" s="318">
        <f t="shared" si="16"/>
        <v>0</v>
      </c>
      <c r="I131" s="312">
        <v>46021</v>
      </c>
      <c r="J131" s="317" t="s">
        <v>441</v>
      </c>
      <c r="K131" s="256"/>
      <c r="L131" s="190"/>
      <c r="M131" s="237"/>
    </row>
    <row r="132" ht="14.4" spans="1:15">
      <c r="A132" s="190" t="s">
        <v>93</v>
      </c>
      <c r="B132" s="296" t="s">
        <v>1383</v>
      </c>
      <c r="C132" s="81" t="s">
        <v>605</v>
      </c>
      <c r="D132" s="326">
        <v>81.81</v>
      </c>
      <c r="E132" s="213">
        <v>5950</v>
      </c>
      <c r="F132" s="289">
        <f t="shared" si="15"/>
        <v>486769.5</v>
      </c>
      <c r="G132" s="289">
        <v>486769.5</v>
      </c>
      <c r="H132" s="289">
        <f t="shared" si="16"/>
        <v>0</v>
      </c>
      <c r="I132" s="312">
        <v>45945</v>
      </c>
      <c r="J132" s="309" t="s">
        <v>441</v>
      </c>
      <c r="K132" s="302"/>
      <c r="L132" s="190"/>
      <c r="M132" s="237"/>
    </row>
    <row r="133" ht="14.4" spans="1:15">
      <c r="A133" s="190" t="s">
        <v>93</v>
      </c>
      <c r="B133" s="296" t="s">
        <v>1384</v>
      </c>
      <c r="C133" s="81" t="s">
        <v>605</v>
      </c>
      <c r="D133" s="326">
        <v>81.81</v>
      </c>
      <c r="E133" s="213">
        <v>5950</v>
      </c>
      <c r="F133" s="289">
        <f t="shared" si="15"/>
        <v>486769.5</v>
      </c>
      <c r="G133" s="289">
        <v>486769.5</v>
      </c>
      <c r="H133" s="289">
        <f t="shared" si="16"/>
        <v>0</v>
      </c>
      <c r="I133" s="312">
        <v>45945</v>
      </c>
      <c r="J133" s="309" t="s">
        <v>441</v>
      </c>
      <c r="K133" s="302"/>
      <c r="L133" s="190"/>
      <c r="M133" s="237"/>
    </row>
    <row r="134" ht="14.4" spans="1:15">
      <c r="A134" s="190" t="s">
        <v>93</v>
      </c>
      <c r="B134" s="296" t="s">
        <v>1385</v>
      </c>
      <c r="C134" s="81" t="s">
        <v>162</v>
      </c>
      <c r="D134" s="326">
        <v>81.419</v>
      </c>
      <c r="E134" s="213">
        <v>5950</v>
      </c>
      <c r="F134" s="289">
        <f t="shared" si="15"/>
        <v>484443.05</v>
      </c>
      <c r="G134" s="289">
        <v>484443.05</v>
      </c>
      <c r="H134" s="289">
        <f t="shared" si="16"/>
        <v>0</v>
      </c>
      <c r="I134" s="312">
        <v>45922</v>
      </c>
      <c r="J134" s="309" t="s">
        <v>441</v>
      </c>
      <c r="K134" s="302"/>
      <c r="L134" s="190"/>
      <c r="M134" s="237"/>
    </row>
    <row r="135" ht="14.4" spans="1:15">
      <c r="A135" s="190" t="s">
        <v>93</v>
      </c>
      <c r="B135" s="296" t="s">
        <v>1386</v>
      </c>
      <c r="C135" s="81" t="s">
        <v>153</v>
      </c>
      <c r="D135" s="326">
        <v>54</v>
      </c>
      <c r="E135" s="213">
        <v>5950</v>
      </c>
      <c r="F135" s="289">
        <f t="shared" si="15"/>
        <v>321300</v>
      </c>
      <c r="G135" s="289">
        <v>321300</v>
      </c>
      <c r="H135" s="289">
        <f t="shared" si="16"/>
        <v>0</v>
      </c>
      <c r="I135" s="312">
        <v>45922</v>
      </c>
      <c r="J135" s="309" t="s">
        <v>441</v>
      </c>
      <c r="K135" s="302"/>
      <c r="L135" s="190"/>
      <c r="M135" s="237"/>
    </row>
    <row r="136" ht="14.4" spans="1:15">
      <c r="A136" s="190" t="s">
        <v>93</v>
      </c>
      <c r="B136" s="296" t="s">
        <v>1385</v>
      </c>
      <c r="C136" s="81" t="s">
        <v>153</v>
      </c>
      <c r="D136" s="326">
        <f>94.5-54</f>
        <v>40.5</v>
      </c>
      <c r="E136" s="213">
        <v>5950</v>
      </c>
      <c r="F136" s="289">
        <f t="shared" si="15"/>
        <v>240975</v>
      </c>
      <c r="G136" s="289">
        <v>240975</v>
      </c>
      <c r="H136" s="289">
        <f t="shared" si="16"/>
        <v>0</v>
      </c>
      <c r="I136" s="312">
        <v>45922</v>
      </c>
      <c r="J136" s="309" t="s">
        <v>441</v>
      </c>
      <c r="K136" s="302"/>
      <c r="L136" s="190"/>
      <c r="M136" s="237"/>
    </row>
    <row r="137" ht="14.4" spans="1:15">
      <c r="A137" s="190" t="s">
        <v>93</v>
      </c>
      <c r="B137" s="296" t="s">
        <v>603</v>
      </c>
      <c r="C137" s="81" t="s">
        <v>153</v>
      </c>
      <c r="D137" s="326">
        <v>27.612</v>
      </c>
      <c r="E137" s="213">
        <v>5950</v>
      </c>
      <c r="F137" s="289">
        <f t="shared" si="15"/>
        <v>164291.4</v>
      </c>
      <c r="G137" s="289">
        <f>8510.84000000014+9886.30250000005-2644.06580000002-14775.5161+15286.05+148027.7894</f>
        <v>164291.4</v>
      </c>
      <c r="H137" s="289">
        <f t="shared" si="16"/>
        <v>0</v>
      </c>
      <c r="I137" s="312">
        <v>45912</v>
      </c>
      <c r="J137" s="317" t="s">
        <v>441</v>
      </c>
      <c r="K137" s="256"/>
      <c r="L137" s="190"/>
      <c r="M137" s="237"/>
    </row>
    <row r="138" ht="14.4" spans="1:15">
      <c r="A138" s="190" t="s">
        <v>93</v>
      </c>
      <c r="B138" s="296" t="s">
        <v>604</v>
      </c>
      <c r="C138" s="81" t="s">
        <v>605</v>
      </c>
      <c r="D138" s="326">
        <v>136.35</v>
      </c>
      <c r="E138" s="213">
        <v>5950</v>
      </c>
      <c r="F138" s="289">
        <f t="shared" si="15"/>
        <v>811282.5</v>
      </c>
      <c r="G138" s="289">
        <f>270000+541282.5</f>
        <v>811282.5</v>
      </c>
      <c r="H138" s="289">
        <f t="shared" si="16"/>
        <v>0</v>
      </c>
      <c r="I138" s="312">
        <v>45915</v>
      </c>
      <c r="J138" s="317" t="s">
        <v>441</v>
      </c>
      <c r="K138" s="256"/>
      <c r="L138" s="190"/>
      <c r="M138" s="237"/>
      <c r="O138" s="267"/>
    </row>
    <row r="139" ht="14.4" spans="1:15">
      <c r="A139" s="190" t="s">
        <v>93</v>
      </c>
      <c r="B139" s="296" t="s">
        <v>603</v>
      </c>
      <c r="C139" s="81" t="s">
        <v>605</v>
      </c>
      <c r="D139" s="326">
        <v>54.54</v>
      </c>
      <c r="E139" s="213">
        <v>5950</v>
      </c>
      <c r="F139" s="289">
        <f t="shared" si="15"/>
        <v>324513</v>
      </c>
      <c r="G139" s="289">
        <v>324513</v>
      </c>
      <c r="H139" s="289">
        <f t="shared" si="16"/>
        <v>0</v>
      </c>
      <c r="I139" s="312">
        <v>45912</v>
      </c>
      <c r="J139" s="317" t="s">
        <v>441</v>
      </c>
      <c r="K139" s="256"/>
      <c r="L139" s="190"/>
      <c r="M139" s="237"/>
    </row>
    <row r="140" ht="14.4" spans="1:15">
      <c r="A140" s="190" t="s">
        <v>93</v>
      </c>
      <c r="B140" s="296" t="s">
        <v>1377</v>
      </c>
      <c r="C140" s="81" t="s">
        <v>162</v>
      </c>
      <c r="D140" s="327">
        <v>81.442</v>
      </c>
      <c r="E140" s="213">
        <v>5950</v>
      </c>
      <c r="F140" s="289">
        <f t="shared" si="15"/>
        <v>484579.9</v>
      </c>
      <c r="G140" s="297">
        <v>484579.9</v>
      </c>
      <c r="H140" s="316">
        <f t="shared" si="16"/>
        <v>0</v>
      </c>
      <c r="I140" s="312">
        <v>46021</v>
      </c>
      <c r="J140" s="317" t="s">
        <v>441</v>
      </c>
      <c r="K140" s="256"/>
      <c r="L140" s="190"/>
      <c r="M140" s="237"/>
    </row>
    <row r="141" ht="14.4" spans="1:15">
      <c r="A141" s="190" t="s">
        <v>93</v>
      </c>
      <c r="B141" s="296" t="s">
        <v>1387</v>
      </c>
      <c r="C141" s="81" t="s">
        <v>592</v>
      </c>
      <c r="D141" s="213">
        <v>8.721</v>
      </c>
      <c r="E141" s="213">
        <v>6100</v>
      </c>
      <c r="F141" s="289">
        <f t="shared" si="15"/>
        <v>53198.1</v>
      </c>
      <c r="G141" s="297">
        <f>936900-799200+13185.2-57482-40205.1</f>
        <v>53198.1</v>
      </c>
      <c r="H141" s="316">
        <f t="shared" si="16"/>
        <v>0</v>
      </c>
      <c r="I141" s="312">
        <v>46021</v>
      </c>
      <c r="J141" s="309" t="s">
        <v>441</v>
      </c>
      <c r="K141" s="256"/>
      <c r="L141" s="190"/>
      <c r="M141" s="237"/>
    </row>
    <row r="142" ht="14.4" spans="1:15">
      <c r="A142" s="190" t="s">
        <v>93</v>
      </c>
      <c r="B142" s="296" t="s">
        <v>1388</v>
      </c>
      <c r="C142" s="81" t="s">
        <v>592</v>
      </c>
      <c r="D142" s="213">
        <v>11.688</v>
      </c>
      <c r="E142" s="213">
        <v>6100</v>
      </c>
      <c r="F142" s="289">
        <f t="shared" si="15"/>
        <v>71296.8</v>
      </c>
      <c r="G142" s="297">
        <f>57482+13814.8</f>
        <v>71296.8</v>
      </c>
      <c r="H142" s="316">
        <f t="shared" si="16"/>
        <v>0</v>
      </c>
      <c r="I142" s="312">
        <v>46037</v>
      </c>
      <c r="J142" s="317" t="s">
        <v>441</v>
      </c>
      <c r="K142" s="256"/>
      <c r="L142" s="190"/>
      <c r="M142" s="237"/>
    </row>
    <row r="143" ht="14.4" spans="1:15">
      <c r="A143" s="190" t="s">
        <v>93</v>
      </c>
      <c r="B143" s="296" t="s">
        <v>1389</v>
      </c>
      <c r="C143" s="81" t="s">
        <v>592</v>
      </c>
      <c r="D143" s="213">
        <v>37.986</v>
      </c>
      <c r="E143" s="213">
        <v>6100</v>
      </c>
      <c r="F143" s="289">
        <f t="shared" si="15"/>
        <v>231714.6</v>
      </c>
      <c r="G143" s="297">
        <f>18159.4+40205.1+173350.1</f>
        <v>231714.6</v>
      </c>
      <c r="H143" s="318">
        <f t="shared" si="16"/>
        <v>0</v>
      </c>
      <c r="I143" s="312">
        <v>46111</v>
      </c>
      <c r="J143" s="317" t="s">
        <v>441</v>
      </c>
      <c r="K143" s="256"/>
      <c r="L143" s="190"/>
      <c r="M143" s="237"/>
    </row>
    <row r="144" ht="14.4" spans="1:15">
      <c r="A144" s="190" t="s">
        <v>93</v>
      </c>
      <c r="B144" s="296" t="s">
        <v>1390</v>
      </c>
      <c r="C144" s="81" t="s">
        <v>594</v>
      </c>
      <c r="D144" s="213">
        <v>18.18</v>
      </c>
      <c r="E144" s="213">
        <v>6100</v>
      </c>
      <c r="F144" s="289">
        <f t="shared" ref="F144:F149" si="17">E144*D144</f>
        <v>110898</v>
      </c>
      <c r="G144" s="289">
        <f>2356.20000000001-2356.20000000001+23119.95+6483.64999999997+81294.4</f>
        <v>110898</v>
      </c>
      <c r="H144" s="289">
        <f t="shared" si="16"/>
        <v>0</v>
      </c>
      <c r="I144" s="312">
        <v>46188</v>
      </c>
      <c r="J144" s="309" t="s">
        <v>441</v>
      </c>
      <c r="K144" s="302"/>
      <c r="L144" s="190"/>
      <c r="M144" s="237"/>
    </row>
    <row r="145" ht="14.4" spans="1:13">
      <c r="A145" s="190" t="s">
        <v>93</v>
      </c>
      <c r="B145" s="296" t="s">
        <v>1387</v>
      </c>
      <c r="C145" s="81" t="s">
        <v>594</v>
      </c>
      <c r="D145" s="213">
        <v>8.622</v>
      </c>
      <c r="E145" s="213">
        <v>6100</v>
      </c>
      <c r="F145" s="289">
        <f t="shared" si="17"/>
        <v>52594.2</v>
      </c>
      <c r="G145" s="289">
        <v>52594.2</v>
      </c>
      <c r="H145" s="318">
        <f t="shared" ref="H145:H156" si="18">F145-G145</f>
        <v>0</v>
      </c>
      <c r="I145" s="312">
        <v>46042</v>
      </c>
      <c r="J145" s="317" t="s">
        <v>441</v>
      </c>
      <c r="K145" s="256"/>
      <c r="L145" s="190"/>
      <c r="M145" s="237"/>
    </row>
    <row r="146" ht="14.4" spans="1:13">
      <c r="A146" s="190" t="s">
        <v>93</v>
      </c>
      <c r="B146" s="296" t="s">
        <v>1389</v>
      </c>
      <c r="C146" s="81" t="s">
        <v>594</v>
      </c>
      <c r="D146" s="213">
        <v>21.21</v>
      </c>
      <c r="E146" s="213">
        <v>6100</v>
      </c>
      <c r="F146" s="289">
        <f t="shared" si="17"/>
        <v>129381</v>
      </c>
      <c r="G146" s="289">
        <v>129381</v>
      </c>
      <c r="H146" s="318">
        <f t="shared" si="18"/>
        <v>0</v>
      </c>
      <c r="I146" s="312">
        <v>46042</v>
      </c>
      <c r="J146" s="317" t="s">
        <v>441</v>
      </c>
      <c r="K146" s="256"/>
      <c r="L146" s="190"/>
      <c r="M146" s="237"/>
    </row>
    <row r="147" ht="14.4" spans="1:13">
      <c r="A147" s="190" t="s">
        <v>93</v>
      </c>
      <c r="B147" s="296" t="s">
        <v>1391</v>
      </c>
      <c r="C147" s="81" t="s">
        <v>594</v>
      </c>
      <c r="D147" s="213">
        <v>1.515</v>
      </c>
      <c r="E147" s="213">
        <v>6100</v>
      </c>
      <c r="F147" s="289">
        <f t="shared" si="17"/>
        <v>9241.5</v>
      </c>
      <c r="G147" s="289">
        <v>9241.5</v>
      </c>
      <c r="H147" s="325">
        <f t="shared" si="18"/>
        <v>0</v>
      </c>
      <c r="I147" s="312">
        <v>46059</v>
      </c>
      <c r="J147" s="317" t="s">
        <v>441</v>
      </c>
      <c r="K147" s="256"/>
      <c r="L147" s="190"/>
      <c r="M147" s="237"/>
    </row>
    <row r="148" ht="14.4" spans="1:13">
      <c r="A148" s="190" t="s">
        <v>93</v>
      </c>
      <c r="B148" s="296" t="s">
        <v>1389</v>
      </c>
      <c r="C148" s="81" t="s">
        <v>159</v>
      </c>
      <c r="D148" s="213">
        <v>12.934</v>
      </c>
      <c r="E148" s="213">
        <v>5950</v>
      </c>
      <c r="F148" s="289">
        <f t="shared" si="17"/>
        <v>76957.3</v>
      </c>
      <c r="G148" s="289">
        <f>148750-13185.2-62974.8+4367.30000000002</f>
        <v>76957.3</v>
      </c>
      <c r="H148" s="318">
        <f t="shared" si="18"/>
        <v>0</v>
      </c>
      <c r="I148" s="312">
        <v>46021</v>
      </c>
      <c r="J148" s="309" t="s">
        <v>441</v>
      </c>
      <c r="K148" s="256"/>
      <c r="L148" s="190"/>
      <c r="M148" s="237"/>
    </row>
    <row r="149" ht="14.4" spans="1:13">
      <c r="A149" s="190" t="s">
        <v>93</v>
      </c>
      <c r="B149" s="296" t="s">
        <v>1388</v>
      </c>
      <c r="C149" s="81" t="s">
        <v>159</v>
      </c>
      <c r="D149" s="213">
        <v>10.584</v>
      </c>
      <c r="E149" s="213">
        <v>5950</v>
      </c>
      <c r="F149" s="289">
        <f t="shared" si="17"/>
        <v>62974.8</v>
      </c>
      <c r="G149" s="289">
        <v>62974.8</v>
      </c>
      <c r="H149" s="316">
        <f t="shared" si="18"/>
        <v>0</v>
      </c>
      <c r="I149" s="312">
        <v>46037</v>
      </c>
      <c r="J149" s="317" t="s">
        <v>441</v>
      </c>
      <c r="K149" s="256"/>
      <c r="L149" s="190"/>
      <c r="M149" s="237"/>
    </row>
    <row r="150" ht="14.4" spans="1:13">
      <c r="A150" s="190" t="s">
        <v>93</v>
      </c>
      <c r="B150" s="296" t="s">
        <v>1392</v>
      </c>
      <c r="C150" s="81" t="s">
        <v>594</v>
      </c>
      <c r="D150" s="213">
        <v>49.995</v>
      </c>
      <c r="E150" s="213">
        <v>6100</v>
      </c>
      <c r="F150" s="289">
        <f t="shared" ref="F150:F157" si="19">E150*D150</f>
        <v>304969.5</v>
      </c>
      <c r="G150" s="289">
        <f>274500+2356.20000000001+28113.3</f>
        <v>304969.5</v>
      </c>
      <c r="H150" s="289">
        <f t="shared" si="18"/>
        <v>0</v>
      </c>
      <c r="I150" s="312">
        <v>46108</v>
      </c>
      <c r="J150" s="317" t="s">
        <v>441</v>
      </c>
      <c r="K150" s="256"/>
      <c r="L150" s="190"/>
      <c r="M150" s="237"/>
    </row>
    <row r="151" ht="14.4" spans="1:13">
      <c r="A151" s="190" t="s">
        <v>93</v>
      </c>
      <c r="B151" s="296" t="s">
        <v>1393</v>
      </c>
      <c r="C151" s="81" t="s">
        <v>594</v>
      </c>
      <c r="D151" s="213">
        <v>3.621</v>
      </c>
      <c r="E151" s="213">
        <v>6100</v>
      </c>
      <c r="F151" s="289">
        <f t="shared" si="19"/>
        <v>22088.1</v>
      </c>
      <c r="G151" s="289">
        <v>22088.1</v>
      </c>
      <c r="H151" s="289">
        <f t="shared" si="18"/>
        <v>0</v>
      </c>
      <c r="I151" s="312">
        <v>46108</v>
      </c>
      <c r="J151" s="317" t="s">
        <v>441</v>
      </c>
      <c r="K151" s="256"/>
      <c r="L151" s="190"/>
      <c r="M151" s="237"/>
    </row>
    <row r="152" ht="14.4" spans="1:13">
      <c r="A152" s="190" t="s">
        <v>93</v>
      </c>
      <c r="B152" s="296" t="s">
        <v>1392</v>
      </c>
      <c r="C152" s="81" t="s">
        <v>598</v>
      </c>
      <c r="D152" s="213">
        <v>86.355</v>
      </c>
      <c r="E152" s="213">
        <v>6100</v>
      </c>
      <c r="F152" s="289">
        <f t="shared" si="19"/>
        <v>526765.5</v>
      </c>
      <c r="G152" s="289">
        <f>581940-55174.5</f>
        <v>526765.5</v>
      </c>
      <c r="H152" s="289">
        <f t="shared" si="18"/>
        <v>0</v>
      </c>
      <c r="I152" s="312">
        <v>46107</v>
      </c>
      <c r="J152" s="317" t="s">
        <v>441</v>
      </c>
      <c r="K152" s="256"/>
      <c r="L152" s="190"/>
      <c r="M152" s="237"/>
    </row>
    <row r="153" ht="14.4" spans="1:13">
      <c r="A153" s="190" t="s">
        <v>93</v>
      </c>
      <c r="B153" s="296" t="s">
        <v>1394</v>
      </c>
      <c r="C153" s="81" t="s">
        <v>598</v>
      </c>
      <c r="D153" s="213">
        <v>16.665</v>
      </c>
      <c r="E153" s="213">
        <v>6100</v>
      </c>
      <c r="F153" s="289">
        <f t="shared" si="19"/>
        <v>101656.5</v>
      </c>
      <c r="G153" s="238">
        <f>55174.5+2189.59999999998+44292.4</f>
        <v>101656.5</v>
      </c>
      <c r="H153" s="289">
        <f t="shared" si="18"/>
        <v>0</v>
      </c>
      <c r="I153" s="312">
        <v>46112</v>
      </c>
      <c r="J153" s="309" t="s">
        <v>441</v>
      </c>
      <c r="K153" s="302"/>
      <c r="L153" s="190"/>
      <c r="M153" s="237"/>
    </row>
    <row r="154" ht="14.4" spans="1:13">
      <c r="A154" s="190" t="s">
        <v>93</v>
      </c>
      <c r="B154" s="296" t="s">
        <v>1395</v>
      </c>
      <c r="C154" s="81" t="s">
        <v>594</v>
      </c>
      <c r="D154" s="213">
        <v>35.141</v>
      </c>
      <c r="E154" s="213">
        <v>6100</v>
      </c>
      <c r="F154" s="289">
        <f t="shared" si="19"/>
        <v>214360.1</v>
      </c>
      <c r="G154" s="289">
        <v>214360.1</v>
      </c>
      <c r="H154" s="289">
        <f t="shared" si="18"/>
        <v>0</v>
      </c>
      <c r="I154" s="312">
        <v>46174</v>
      </c>
      <c r="J154" s="309" t="s">
        <v>441</v>
      </c>
      <c r="K154" s="302"/>
      <c r="L154" s="190"/>
      <c r="M154" s="237"/>
    </row>
    <row r="155" ht="14.4" spans="1:13">
      <c r="A155" s="190" t="s">
        <v>93</v>
      </c>
      <c r="B155" s="296" t="s">
        <v>1395</v>
      </c>
      <c r="C155" s="76" t="s">
        <v>1396</v>
      </c>
      <c r="D155" s="213">
        <v>3.03</v>
      </c>
      <c r="E155" s="213">
        <v>6100</v>
      </c>
      <c r="F155" s="289">
        <f t="shared" si="19"/>
        <v>18483</v>
      </c>
      <c r="G155" s="289">
        <v>18483</v>
      </c>
      <c r="H155" s="289">
        <f t="shared" si="18"/>
        <v>0</v>
      </c>
      <c r="I155" s="312">
        <v>46174</v>
      </c>
      <c r="J155" s="309" t="s">
        <v>441</v>
      </c>
      <c r="K155" s="302"/>
      <c r="L155" s="190"/>
      <c r="M155" s="237"/>
    </row>
    <row r="156" ht="14.4" spans="1:13">
      <c r="A156" s="190" t="s">
        <v>93</v>
      </c>
      <c r="B156" s="296" t="s">
        <v>1397</v>
      </c>
      <c r="C156" s="81" t="s">
        <v>162</v>
      </c>
      <c r="D156" s="213">
        <v>43.019</v>
      </c>
      <c r="E156" s="213">
        <v>5950</v>
      </c>
      <c r="F156" s="289">
        <f t="shared" si="19"/>
        <v>255963.05</v>
      </c>
      <c r="G156" s="289">
        <f>685083+466420.5-155497.3-418856.2-28113.3-22088.1-44292.4-172.549999999988-6483.64999999997-255963.05-81294.4+117220.5</f>
        <v>255963.05</v>
      </c>
      <c r="H156" s="316">
        <f t="shared" si="18"/>
        <v>0</v>
      </c>
      <c r="I156" s="312">
        <v>46188</v>
      </c>
      <c r="J156" s="309" t="s">
        <v>441</v>
      </c>
      <c r="K156" s="256"/>
      <c r="L156" s="190"/>
      <c r="M156" s="237"/>
    </row>
    <row r="157" ht="14.4" spans="1:13">
      <c r="A157" s="190" t="s">
        <v>93</v>
      </c>
      <c r="B157" s="296" t="s">
        <v>1398</v>
      </c>
      <c r="C157" s="81" t="s">
        <v>162</v>
      </c>
      <c r="D157" s="213">
        <v>1.532</v>
      </c>
      <c r="E157" s="213">
        <v>5950</v>
      </c>
      <c r="F157" s="289">
        <f t="shared" ref="F157:F162" si="20">E157*D157</f>
        <v>9115.4</v>
      </c>
      <c r="G157" s="289">
        <v>9115.4</v>
      </c>
      <c r="H157" s="289">
        <f t="shared" ref="H157:H162" si="21">F157-G157</f>
        <v>0</v>
      </c>
      <c r="I157" s="312">
        <v>46295</v>
      </c>
      <c r="J157" s="309" t="s">
        <v>441</v>
      </c>
      <c r="K157" s="302" t="s">
        <v>88</v>
      </c>
      <c r="L157" s="190"/>
      <c r="M157" s="237"/>
    </row>
    <row r="158" ht="14.4" spans="1:13">
      <c r="A158" s="190" t="s">
        <v>93</v>
      </c>
      <c r="B158" s="296" t="s">
        <v>1387</v>
      </c>
      <c r="C158" s="81" t="s">
        <v>162</v>
      </c>
      <c r="D158" s="213">
        <v>26.134</v>
      </c>
      <c r="E158" s="213">
        <v>5950</v>
      </c>
      <c r="F158" s="289">
        <f t="shared" si="20"/>
        <v>155497.3</v>
      </c>
      <c r="G158" s="289">
        <v>155497.3</v>
      </c>
      <c r="H158" s="316">
        <f t="shared" si="21"/>
        <v>0</v>
      </c>
      <c r="I158" s="312">
        <v>46042</v>
      </c>
      <c r="J158" s="309" t="s">
        <v>441</v>
      </c>
      <c r="K158" s="302"/>
      <c r="L158" s="190"/>
      <c r="M158" s="237"/>
    </row>
    <row r="159" ht="14.4" spans="1:13">
      <c r="A159" s="190" t="s">
        <v>93</v>
      </c>
      <c r="B159" s="296" t="s">
        <v>1389</v>
      </c>
      <c r="C159" s="81" t="s">
        <v>162</v>
      </c>
      <c r="D159" s="213">
        <v>27.285</v>
      </c>
      <c r="E159" s="213">
        <v>5950</v>
      </c>
      <c r="F159" s="289">
        <f t="shared" si="20"/>
        <v>162345.75</v>
      </c>
      <c r="G159" s="289">
        <v>162345.75</v>
      </c>
      <c r="H159" s="318">
        <f t="shared" si="21"/>
        <v>0</v>
      </c>
      <c r="I159" s="312">
        <v>46042</v>
      </c>
      <c r="J159" s="309" t="s">
        <v>441</v>
      </c>
      <c r="K159" s="302"/>
      <c r="L159" s="190"/>
      <c r="M159" s="237"/>
    </row>
    <row r="160" ht="14.4" spans="1:13">
      <c r="A160" s="190" t="s">
        <v>93</v>
      </c>
      <c r="B160" s="296" t="s">
        <v>1394</v>
      </c>
      <c r="C160" s="81" t="s">
        <v>162</v>
      </c>
      <c r="D160" s="213">
        <v>69.661</v>
      </c>
      <c r="E160" s="213">
        <v>5950</v>
      </c>
      <c r="F160" s="289">
        <f t="shared" si="20"/>
        <v>414482.95</v>
      </c>
      <c r="G160" s="289">
        <f>418856.2-2356.20000000001-2189.59999999998+172.549999999988</f>
        <v>414482.95</v>
      </c>
      <c r="H160" s="289">
        <f t="shared" si="21"/>
        <v>0</v>
      </c>
      <c r="I160" s="312">
        <v>46112</v>
      </c>
      <c r="J160" s="309" t="s">
        <v>441</v>
      </c>
      <c r="K160" s="302"/>
      <c r="L160" s="190"/>
      <c r="M160" s="237"/>
    </row>
    <row r="161" ht="14.4" spans="1:15">
      <c r="A161" s="190" t="s">
        <v>93</v>
      </c>
      <c r="B161" s="296" t="s">
        <v>1391</v>
      </c>
      <c r="C161" s="81" t="s">
        <v>162</v>
      </c>
      <c r="D161" s="328">
        <v>4.815</v>
      </c>
      <c r="E161" s="213">
        <v>5950</v>
      </c>
      <c r="F161" s="289">
        <f t="shared" si="20"/>
        <v>28649.25</v>
      </c>
      <c r="G161" s="289">
        <v>28649.25</v>
      </c>
      <c r="H161" s="325">
        <f t="shared" si="21"/>
        <v>0</v>
      </c>
      <c r="I161" s="254">
        <v>46059</v>
      </c>
      <c r="J161" s="309" t="s">
        <v>441</v>
      </c>
      <c r="K161" s="302"/>
      <c r="L161" s="293"/>
      <c r="M161" s="237"/>
    </row>
    <row r="162" ht="14.4" spans="1:15">
      <c r="A162" s="190" t="s">
        <v>93</v>
      </c>
      <c r="B162" s="296" t="s">
        <v>1388</v>
      </c>
      <c r="C162" s="81" t="s">
        <v>153</v>
      </c>
      <c r="D162" s="328">
        <f>36-27</f>
        <v>9</v>
      </c>
      <c r="E162" s="213">
        <v>5950</v>
      </c>
      <c r="F162" s="289">
        <f t="shared" si="20"/>
        <v>53550</v>
      </c>
      <c r="G162" s="289">
        <f>214200-160650</f>
        <v>53550</v>
      </c>
      <c r="H162" s="316">
        <f t="shared" si="21"/>
        <v>0</v>
      </c>
      <c r="I162" s="254">
        <v>46021</v>
      </c>
      <c r="J162" s="309" t="s">
        <v>441</v>
      </c>
      <c r="K162" s="302"/>
      <c r="L162" s="293"/>
      <c r="M162" s="237"/>
    </row>
    <row r="163" ht="14.4" hidden="1" spans="1:15">
      <c r="A163" s="295" t="s">
        <v>1367</v>
      </c>
      <c r="B163" s="295" t="s">
        <v>613</v>
      </c>
      <c r="C163" s="295" t="s">
        <v>87</v>
      </c>
      <c r="D163" s="329">
        <v>1140000</v>
      </c>
      <c r="E163" s="311">
        <f>157.05/1000</f>
        <v>0.15705</v>
      </c>
      <c r="F163" s="297">
        <f t="shared" ref="F163:F170" si="22">E163*D163</f>
        <v>179037</v>
      </c>
      <c r="G163" s="297">
        <f>54653.4+124383.6</f>
        <v>179037</v>
      </c>
      <c r="H163" s="297">
        <f t="shared" ref="H163:H179" si="23">F163-G163</f>
        <v>0</v>
      </c>
      <c r="I163" s="298">
        <v>45879</v>
      </c>
      <c r="J163" s="255" t="s">
        <v>90</v>
      </c>
      <c r="K163" s="330"/>
      <c r="L163" s="331"/>
    </row>
    <row r="164" ht="14.4" hidden="1" spans="1:15">
      <c r="A164" s="295" t="s">
        <v>1367</v>
      </c>
      <c r="B164" s="295" t="s">
        <v>615</v>
      </c>
      <c r="C164" s="215" t="s">
        <v>616</v>
      </c>
      <c r="D164" s="293">
        <v>58000</v>
      </c>
      <c r="E164" s="81">
        <v>0.26748</v>
      </c>
      <c r="F164" s="297">
        <f t="shared" si="22"/>
        <v>15513.84</v>
      </c>
      <c r="G164" s="276">
        <v>15513.84</v>
      </c>
      <c r="H164" s="297">
        <f t="shared" si="23"/>
        <v>0</v>
      </c>
      <c r="I164" s="298">
        <v>45879</v>
      </c>
      <c r="J164" s="255" t="s">
        <v>90</v>
      </c>
      <c r="K164" s="330"/>
      <c r="L164" s="332"/>
    </row>
    <row r="165" ht="14.4" hidden="1" spans="1:15">
      <c r="A165" s="190" t="s">
        <v>1367</v>
      </c>
      <c r="B165" s="190" t="s">
        <v>619</v>
      </c>
      <c r="C165" s="190" t="s">
        <v>620</v>
      </c>
      <c r="D165" s="190">
        <v>2175660</v>
      </c>
      <c r="E165" s="190">
        <v>0.09038</v>
      </c>
      <c r="F165" s="253">
        <f t="shared" si="22"/>
        <v>196636.1508</v>
      </c>
      <c r="G165" s="253">
        <f>59216.98+59216.98+78202.19</f>
        <v>196636.15</v>
      </c>
      <c r="H165" s="253">
        <f t="shared" si="23"/>
        <v>0.0007999999797903</v>
      </c>
      <c r="I165" s="254">
        <v>45874</v>
      </c>
      <c r="J165" s="190" t="s">
        <v>90</v>
      </c>
      <c r="K165" s="333"/>
      <c r="L165" s="333"/>
      <c r="O165" s="267"/>
    </row>
    <row r="166" ht="14.4" spans="1:15">
      <c r="A166" s="190" t="s">
        <v>93</v>
      </c>
      <c r="B166" s="190" t="s">
        <v>1399</v>
      </c>
      <c r="C166" s="76" t="s">
        <v>542</v>
      </c>
      <c r="D166" s="334">
        <v>23.013</v>
      </c>
      <c r="E166" s="129">
        <v>6078.3</v>
      </c>
      <c r="F166" s="289">
        <f t="shared" si="22"/>
        <v>139879.9179</v>
      </c>
      <c r="G166" s="253">
        <f>129120+10758+1.91790000000037</f>
        <v>139879.9179</v>
      </c>
      <c r="H166" s="253">
        <f t="shared" si="23"/>
        <v>0</v>
      </c>
      <c r="I166" s="254">
        <v>45920</v>
      </c>
      <c r="J166" s="309" t="s">
        <v>441</v>
      </c>
      <c r="K166" s="302"/>
      <c r="L166" s="333"/>
      <c r="N166" s="257" t="s">
        <v>1400</v>
      </c>
      <c r="O166" s="267"/>
    </row>
    <row r="167" ht="14.4" spans="1:15">
      <c r="A167" s="190" t="s">
        <v>93</v>
      </c>
      <c r="B167" s="190" t="s">
        <v>1399</v>
      </c>
      <c r="C167" s="76" t="s">
        <v>547</v>
      </c>
      <c r="D167" s="334">
        <v>34.663</v>
      </c>
      <c r="E167" s="129">
        <v>6000</v>
      </c>
      <c r="F167" s="253">
        <f t="shared" si="22"/>
        <v>207978</v>
      </c>
      <c r="G167" s="253">
        <f>191898+16080</f>
        <v>207978</v>
      </c>
      <c r="H167" s="253">
        <f t="shared" si="23"/>
        <v>0</v>
      </c>
      <c r="I167" s="254">
        <v>45920</v>
      </c>
      <c r="J167" s="309" t="s">
        <v>441</v>
      </c>
      <c r="K167" s="302"/>
      <c r="L167" s="333"/>
    </row>
    <row r="168" ht="14.4" spans="1:15">
      <c r="A168" s="190" t="s">
        <v>93</v>
      </c>
      <c r="B168" s="190" t="s">
        <v>1399</v>
      </c>
      <c r="C168" s="76" t="s">
        <v>551</v>
      </c>
      <c r="D168" s="334">
        <v>15.02</v>
      </c>
      <c r="E168" s="129">
        <v>6100</v>
      </c>
      <c r="F168" s="253">
        <f t="shared" si="22"/>
        <v>91622</v>
      </c>
      <c r="G168" s="253">
        <v>91622</v>
      </c>
      <c r="H168" s="253">
        <f t="shared" si="23"/>
        <v>0</v>
      </c>
      <c r="I168" s="254">
        <v>45920</v>
      </c>
      <c r="J168" s="309" t="s">
        <v>441</v>
      </c>
      <c r="K168" s="302"/>
      <c r="L168" s="333"/>
      <c r="O168" s="239"/>
    </row>
    <row r="169" ht="14.4" spans="1:15">
      <c r="A169" s="190" t="s">
        <v>93</v>
      </c>
      <c r="B169" s="190" t="s">
        <v>623</v>
      </c>
      <c r="C169" s="76" t="s">
        <v>551</v>
      </c>
      <c r="D169" s="334">
        <v>13.405</v>
      </c>
      <c r="E169" s="129">
        <v>6100</v>
      </c>
      <c r="F169" s="253">
        <f t="shared" si="22"/>
        <v>81770.5</v>
      </c>
      <c r="G169" s="253">
        <v>81770.5</v>
      </c>
      <c r="H169" s="253">
        <f t="shared" si="23"/>
        <v>0</v>
      </c>
      <c r="I169" s="254">
        <v>45920</v>
      </c>
      <c r="J169" s="190" t="s">
        <v>441</v>
      </c>
      <c r="K169" s="190"/>
      <c r="L169" s="333"/>
      <c r="O169" s="239"/>
    </row>
    <row r="170" ht="14.4" spans="1:15">
      <c r="A170" s="190" t="s">
        <v>93</v>
      </c>
      <c r="B170" s="190" t="s">
        <v>623</v>
      </c>
      <c r="C170" s="76" t="s">
        <v>630</v>
      </c>
      <c r="D170" s="334">
        <v>9.168</v>
      </c>
      <c r="E170" s="129">
        <v>5750</v>
      </c>
      <c r="F170" s="253">
        <f t="shared" si="22"/>
        <v>52716</v>
      </c>
      <c r="G170" s="253">
        <v>52716</v>
      </c>
      <c r="H170" s="253">
        <f t="shared" si="23"/>
        <v>0</v>
      </c>
      <c r="I170" s="254">
        <v>45920</v>
      </c>
      <c r="J170" s="190" t="s">
        <v>441</v>
      </c>
      <c r="K170" s="190"/>
      <c r="L170" s="333"/>
    </row>
    <row r="171" ht="14.4" spans="1:15">
      <c r="A171" s="190" t="s">
        <v>93</v>
      </c>
      <c r="B171" s="190" t="s">
        <v>1401</v>
      </c>
      <c r="C171" s="76" t="s">
        <v>630</v>
      </c>
      <c r="D171" s="334">
        <v>7.64</v>
      </c>
      <c r="E171" s="129">
        <v>5750</v>
      </c>
      <c r="F171" s="253">
        <v>43930</v>
      </c>
      <c r="G171" s="253">
        <v>43930</v>
      </c>
      <c r="H171" s="253">
        <f t="shared" si="23"/>
        <v>0</v>
      </c>
      <c r="I171" s="254">
        <v>45920</v>
      </c>
      <c r="J171" s="190" t="s">
        <v>441</v>
      </c>
      <c r="K171" s="190"/>
      <c r="L171" s="333"/>
      <c r="N171" s="240" t="s">
        <v>1402</v>
      </c>
    </row>
    <row r="172" ht="14.4" spans="1:15">
      <c r="A172" s="190" t="s">
        <v>93</v>
      </c>
      <c r="B172" s="190" t="s">
        <v>628</v>
      </c>
      <c r="C172" s="76" t="s">
        <v>630</v>
      </c>
      <c r="D172" s="81">
        <v>12.168</v>
      </c>
      <c r="E172" s="129">
        <v>5750</v>
      </c>
      <c r="F172" s="253">
        <f>E172*D172</f>
        <v>69966</v>
      </c>
      <c r="G172" s="253">
        <f>117436.5771-43930-3540.57709999999</f>
        <v>69966</v>
      </c>
      <c r="H172" s="253">
        <f t="shared" si="23"/>
        <v>0</v>
      </c>
      <c r="I172" s="254">
        <v>45981</v>
      </c>
      <c r="J172" s="190" t="s">
        <v>441</v>
      </c>
      <c r="K172" s="190"/>
      <c r="L172" s="333"/>
      <c r="N172" s="240" t="s">
        <v>1403</v>
      </c>
    </row>
    <row r="173" ht="14.4" spans="1:15">
      <c r="A173" s="190" t="s">
        <v>93</v>
      </c>
      <c r="B173" s="190" t="s">
        <v>628</v>
      </c>
      <c r="C173" s="76" t="s">
        <v>632</v>
      </c>
      <c r="D173" s="81">
        <v>6.152</v>
      </c>
      <c r="E173" s="129">
        <v>5570</v>
      </c>
      <c r="F173" s="253">
        <f>E173*D173</f>
        <v>34266.64</v>
      </c>
      <c r="G173" s="253">
        <f>14775.5161+19491.1239</f>
        <v>34266.64</v>
      </c>
      <c r="H173" s="253">
        <f t="shared" si="23"/>
        <v>0</v>
      </c>
      <c r="I173" s="254">
        <v>45981</v>
      </c>
      <c r="J173" s="190" t="s">
        <v>441</v>
      </c>
      <c r="K173" s="190"/>
      <c r="L173" s="333"/>
    </row>
    <row r="174" ht="14.4" spans="1:15">
      <c r="A174" s="190" t="s">
        <v>93</v>
      </c>
      <c r="B174" s="190" t="s">
        <v>628</v>
      </c>
      <c r="C174" s="76" t="s">
        <v>559</v>
      </c>
      <c r="D174" s="81">
        <v>1.746</v>
      </c>
      <c r="E174" s="129">
        <v>5570</v>
      </c>
      <c r="F174" s="253">
        <f>E174*D174</f>
        <v>9725.22</v>
      </c>
      <c r="G174" s="253">
        <f>3540.57709999999+3540.57709999999+2644.06580000002</f>
        <v>9725.22</v>
      </c>
      <c r="H174" s="253">
        <f t="shared" si="23"/>
        <v>0</v>
      </c>
      <c r="I174" s="254">
        <v>45981</v>
      </c>
      <c r="J174" s="190" t="s">
        <v>441</v>
      </c>
      <c r="K174" s="190"/>
      <c r="L174" s="333"/>
    </row>
    <row r="175" ht="14.4" spans="1:15">
      <c r="A175" s="190" t="s">
        <v>93</v>
      </c>
      <c r="B175" s="293" t="s">
        <v>623</v>
      </c>
      <c r="C175" s="335" t="s">
        <v>559</v>
      </c>
      <c r="D175" s="336">
        <v>110.448</v>
      </c>
      <c r="E175" s="337">
        <v>5570</v>
      </c>
      <c r="F175" s="253">
        <f>E175*D175*0.3</f>
        <v>184558.608</v>
      </c>
      <c r="G175" s="253">
        <v>184558.608</v>
      </c>
      <c r="H175" s="253">
        <f t="shared" si="23"/>
        <v>0</v>
      </c>
      <c r="I175" s="254">
        <v>45856</v>
      </c>
      <c r="J175" s="333"/>
      <c r="K175" s="190"/>
      <c r="L175" s="333"/>
      <c r="O175" s="272">
        <f>H175+P177</f>
        <v>0</v>
      </c>
    </row>
    <row r="176" ht="14.4" spans="1:15">
      <c r="A176" s="190" t="s">
        <v>93</v>
      </c>
      <c r="B176" s="269"/>
      <c r="C176" s="338"/>
      <c r="D176" s="339"/>
      <c r="E176" s="157"/>
      <c r="F176" s="253">
        <f>E175*D175*0.7</f>
        <v>430636.752</v>
      </c>
      <c r="G176" s="253">
        <v>430636.752</v>
      </c>
      <c r="H176" s="253">
        <f t="shared" si="23"/>
        <v>0</v>
      </c>
      <c r="I176" s="254">
        <v>45920</v>
      </c>
      <c r="J176" s="190" t="s">
        <v>441</v>
      </c>
      <c r="K176" s="190"/>
      <c r="L176" s="333"/>
    </row>
    <row r="177" ht="14.4" spans="1:16">
      <c r="A177" s="190" t="s">
        <v>93</v>
      </c>
      <c r="B177" s="293" t="s">
        <v>623</v>
      </c>
      <c r="C177" s="224" t="s">
        <v>632</v>
      </c>
      <c r="D177" s="336">
        <v>27.24</v>
      </c>
      <c r="E177" s="337">
        <v>5570</v>
      </c>
      <c r="F177" s="253">
        <f>E177*D177*0.3</f>
        <v>45518.04</v>
      </c>
      <c r="G177" s="253">
        <v>45518.04</v>
      </c>
      <c r="H177" s="253">
        <f t="shared" si="23"/>
        <v>0</v>
      </c>
      <c r="I177" s="254">
        <v>45856</v>
      </c>
      <c r="J177" s="333"/>
      <c r="K177" s="190"/>
      <c r="L177" s="333"/>
      <c r="P177" s="272">
        <f>H177</f>
        <v>0</v>
      </c>
    </row>
    <row r="178" ht="14.4" spans="1:16">
      <c r="A178" s="190" t="s">
        <v>93</v>
      </c>
      <c r="B178" s="269"/>
      <c r="C178" s="77"/>
      <c r="D178" s="339"/>
      <c r="E178" s="157"/>
      <c r="F178" s="253">
        <f>E177*D177*0.7</f>
        <v>106208.76</v>
      </c>
      <c r="G178" s="253">
        <v>106208.76</v>
      </c>
      <c r="H178" s="253">
        <f t="shared" si="23"/>
        <v>0</v>
      </c>
      <c r="I178" s="254">
        <v>45920</v>
      </c>
      <c r="J178" s="190" t="s">
        <v>441</v>
      </c>
      <c r="K178" s="190"/>
      <c r="L178" s="333"/>
    </row>
    <row r="179" ht="14.4" spans="1:16">
      <c r="A179" s="293" t="s">
        <v>93</v>
      </c>
      <c r="B179" s="295" t="s">
        <v>636</v>
      </c>
      <c r="C179" s="81" t="s">
        <v>637</v>
      </c>
      <c r="D179" s="326">
        <v>186.563</v>
      </c>
      <c r="E179" s="213">
        <v>6120</v>
      </c>
      <c r="F179" s="340">
        <f>D179*E179*0.3</f>
        <v>342529.668</v>
      </c>
      <c r="G179" s="289">
        <v>342529.668</v>
      </c>
      <c r="H179" s="276">
        <f t="shared" si="23"/>
        <v>0</v>
      </c>
      <c r="I179" s="312">
        <v>45862</v>
      </c>
      <c r="J179" s="341"/>
      <c r="K179" s="296"/>
      <c r="L179" s="341"/>
      <c r="O179" s="272">
        <f>H179+H181+H183</f>
        <v>0</v>
      </c>
    </row>
    <row r="180" ht="14.4" spans="1:16">
      <c r="A180" s="293" t="s">
        <v>93</v>
      </c>
      <c r="B180" s="295" t="s">
        <v>636</v>
      </c>
      <c r="C180" s="81" t="s">
        <v>637</v>
      </c>
      <c r="D180" s="326">
        <v>186.563</v>
      </c>
      <c r="E180" s="213">
        <v>6120</v>
      </c>
      <c r="F180" s="340">
        <f>D180*E180*0.7</f>
        <v>799235.892</v>
      </c>
      <c r="G180" s="289">
        <v>799235.892</v>
      </c>
      <c r="H180" s="276">
        <f t="shared" ref="H180:H187" si="24">F180-G180</f>
        <v>0</v>
      </c>
      <c r="I180" s="312">
        <v>45912</v>
      </c>
      <c r="J180" s="296" t="s">
        <v>441</v>
      </c>
      <c r="K180" s="296"/>
      <c r="L180" s="341"/>
      <c r="O180" s="267"/>
    </row>
    <row r="181" ht="14.4" spans="1:16">
      <c r="A181" s="293" t="s">
        <v>93</v>
      </c>
      <c r="B181" s="295" t="s">
        <v>636</v>
      </c>
      <c r="C181" s="81" t="s">
        <v>639</v>
      </c>
      <c r="D181" s="326">
        <v>79.23</v>
      </c>
      <c r="E181" s="213">
        <v>6140</v>
      </c>
      <c r="F181" s="340">
        <f>D181*E181*0.3</f>
        <v>145941.66</v>
      </c>
      <c r="G181" s="289">
        <v>145941.66</v>
      </c>
      <c r="H181" s="276">
        <f t="shared" si="24"/>
        <v>0</v>
      </c>
      <c r="I181" s="312">
        <v>45862</v>
      </c>
      <c r="J181" s="341"/>
      <c r="K181" s="296"/>
      <c r="L181" s="341"/>
      <c r="P181" s="272" t="e">
        <f>H181*#REF!</f>
        <v>#REF!</v>
      </c>
    </row>
    <row r="182" ht="14.4" spans="1:16">
      <c r="A182" s="293" t="s">
        <v>93</v>
      </c>
      <c r="B182" s="295" t="s">
        <v>636</v>
      </c>
      <c r="C182" s="81" t="s">
        <v>639</v>
      </c>
      <c r="D182" s="326">
        <v>79.23</v>
      </c>
      <c r="E182" s="213">
        <v>6140</v>
      </c>
      <c r="F182" s="340">
        <f>D182*E182*0.7</f>
        <v>340530.54</v>
      </c>
      <c r="G182" s="289">
        <v>340530.54</v>
      </c>
      <c r="H182" s="276">
        <f t="shared" si="24"/>
        <v>0</v>
      </c>
      <c r="I182" s="312">
        <v>45912</v>
      </c>
      <c r="J182" s="296" t="s">
        <v>441</v>
      </c>
      <c r="K182" s="296"/>
      <c r="L182" s="341"/>
      <c r="O182" s="267"/>
    </row>
    <row r="183" ht="14.4" spans="1:16">
      <c r="A183" s="293" t="s">
        <v>93</v>
      </c>
      <c r="B183" s="342" t="s">
        <v>636</v>
      </c>
      <c r="C183" s="311" t="s">
        <v>640</v>
      </c>
      <c r="D183" s="343">
        <v>50.787</v>
      </c>
      <c r="E183" s="328">
        <v>6060</v>
      </c>
      <c r="F183" s="340">
        <f>D183*E183*0.3</f>
        <v>92330.766</v>
      </c>
      <c r="G183" s="344">
        <v>92330.766</v>
      </c>
      <c r="H183" s="297">
        <f t="shared" si="24"/>
        <v>0</v>
      </c>
      <c r="I183" s="312">
        <v>45862</v>
      </c>
      <c r="J183" s="331"/>
      <c r="K183" s="295"/>
      <c r="L183" s="341"/>
      <c r="O183" s="240">
        <f>H183*90%</f>
        <v>0</v>
      </c>
      <c r="P183" s="272"/>
    </row>
    <row r="184" ht="14.4" spans="1:16">
      <c r="A184" s="293" t="s">
        <v>93</v>
      </c>
      <c r="B184" s="345" t="s">
        <v>636</v>
      </c>
      <c r="C184" s="224" t="s">
        <v>640</v>
      </c>
      <c r="D184" s="336">
        <v>50.787</v>
      </c>
      <c r="E184" s="337">
        <v>6060</v>
      </c>
      <c r="F184" s="346">
        <f>D184*E184*0.7</f>
        <v>215438.454</v>
      </c>
      <c r="G184" s="276">
        <f>23809.474+191628.98</f>
        <v>215438.454</v>
      </c>
      <c r="H184" s="276">
        <f t="shared" si="24"/>
        <v>0</v>
      </c>
      <c r="I184" s="298">
        <v>45912</v>
      </c>
      <c r="J184" s="296" t="s">
        <v>441</v>
      </c>
      <c r="K184" s="347"/>
      <c r="L184" s="348"/>
    </row>
    <row r="185" ht="14.4" hidden="1" spans="1:16">
      <c r="A185" s="190" t="s">
        <v>1364</v>
      </c>
      <c r="B185" s="190" t="s">
        <v>1404</v>
      </c>
      <c r="C185" s="76" t="s">
        <v>643</v>
      </c>
      <c r="D185" s="190">
        <v>27.523</v>
      </c>
      <c r="E185" s="129">
        <v>5780</v>
      </c>
      <c r="F185" s="346">
        <f>D185*E185*0.1</f>
        <v>15908.294</v>
      </c>
      <c r="G185" s="276">
        <f>15606+302.294000000002</f>
        <v>15908.294</v>
      </c>
      <c r="H185" s="276">
        <f t="shared" si="24"/>
        <v>0</v>
      </c>
      <c r="I185" s="298">
        <v>45898</v>
      </c>
      <c r="J185" s="332"/>
      <c r="K185" s="349"/>
      <c r="L185" s="349"/>
    </row>
    <row r="186" ht="14.4" hidden="1" spans="1:16">
      <c r="A186" s="190" t="s">
        <v>1364</v>
      </c>
      <c r="B186" s="293" t="s">
        <v>1405</v>
      </c>
      <c r="C186" s="224" t="s">
        <v>647</v>
      </c>
      <c r="D186" s="76">
        <v>54.828</v>
      </c>
      <c r="E186" s="350">
        <v>8109.5</v>
      </c>
      <c r="F186" s="346">
        <f>D186*E186*0.1</f>
        <v>44462.7666</v>
      </c>
      <c r="G186" s="276">
        <f>39312+5150.7666</f>
        <v>44462.7666</v>
      </c>
      <c r="H186" s="276">
        <f t="shared" si="24"/>
        <v>0</v>
      </c>
      <c r="I186" s="298">
        <v>45898</v>
      </c>
      <c r="J186" s="332"/>
      <c r="K186" s="349"/>
      <c r="L186" s="349"/>
    </row>
    <row r="187" ht="14.4" hidden="1" spans="1:16">
      <c r="A187" s="190" t="s">
        <v>1364</v>
      </c>
      <c r="B187" s="293" t="s">
        <v>1405</v>
      </c>
      <c r="C187" s="76" t="s">
        <v>648</v>
      </c>
      <c r="D187" s="76">
        <v>27.576</v>
      </c>
      <c r="E187" s="127">
        <v>7959.5</v>
      </c>
      <c r="F187" s="346">
        <f>D187*E187*0.1</f>
        <v>21949.1172</v>
      </c>
      <c r="G187" s="276">
        <f>19251+2698.1172</f>
        <v>21949.1172</v>
      </c>
      <c r="H187" s="276">
        <f t="shared" si="24"/>
        <v>0</v>
      </c>
      <c r="I187" s="298">
        <v>45898</v>
      </c>
      <c r="J187" s="332"/>
      <c r="K187" s="349"/>
      <c r="L187" s="349"/>
    </row>
    <row r="188" ht="14.4" hidden="1" spans="1:16">
      <c r="A188" s="190" t="s">
        <v>1364</v>
      </c>
      <c r="B188" s="190" t="s">
        <v>1404</v>
      </c>
      <c r="C188" s="76" t="s">
        <v>643</v>
      </c>
      <c r="D188" s="190">
        <v>27.523</v>
      </c>
      <c r="E188" s="129">
        <v>5780</v>
      </c>
      <c r="F188" s="346">
        <f>D188*E188*0.9</f>
        <v>143174.646</v>
      </c>
      <c r="G188" s="253">
        <v>143174.646</v>
      </c>
      <c r="H188" s="276">
        <f t="shared" ref="H188:H200" si="25">F188-G188</f>
        <v>0</v>
      </c>
      <c r="I188" s="254">
        <v>45915</v>
      </c>
      <c r="J188" s="309" t="s">
        <v>441</v>
      </c>
      <c r="K188" s="330"/>
      <c r="L188" s="333"/>
    </row>
    <row r="189" ht="14.4" hidden="1" spans="1:16">
      <c r="A189" s="190" t="s">
        <v>1364</v>
      </c>
      <c r="B189" s="293" t="s">
        <v>1405</v>
      </c>
      <c r="C189" s="224" t="s">
        <v>647</v>
      </c>
      <c r="D189" s="76">
        <v>54.828</v>
      </c>
      <c r="E189" s="350">
        <v>8109.5</v>
      </c>
      <c r="F189" s="346">
        <f>D189*E189*0.9</f>
        <v>400164.8994</v>
      </c>
      <c r="G189" s="276">
        <v>400164.8994</v>
      </c>
      <c r="H189" s="276">
        <f t="shared" si="25"/>
        <v>0</v>
      </c>
      <c r="I189" s="254">
        <v>45930</v>
      </c>
      <c r="J189" s="293"/>
      <c r="K189" s="332"/>
      <c r="L189" s="333"/>
    </row>
    <row r="190" ht="14.4" hidden="1" spans="1:16">
      <c r="A190" s="190" t="s">
        <v>1364</v>
      </c>
      <c r="B190" s="293" t="s">
        <v>1405</v>
      </c>
      <c r="C190" s="76" t="s">
        <v>648</v>
      </c>
      <c r="D190" s="76">
        <v>27.576</v>
      </c>
      <c r="E190" s="127">
        <v>7959.5</v>
      </c>
      <c r="F190" s="129">
        <f>D190*E190*0.9</f>
        <v>197542.0548</v>
      </c>
      <c r="G190" s="253">
        <v>197542.0548</v>
      </c>
      <c r="H190" s="253">
        <f t="shared" si="25"/>
        <v>0</v>
      </c>
      <c r="I190" s="254">
        <v>45930</v>
      </c>
      <c r="J190" s="190"/>
      <c r="K190" s="333"/>
      <c r="L190" s="333"/>
      <c r="O190" s="272">
        <f>39862.24+10070.532+918.9+4090.5+349942.5+207452.64+445797.04+29812+162098.4+378229.6</f>
        <v>1628274.352</v>
      </c>
    </row>
    <row r="191" ht="14.4" spans="1:16">
      <c r="A191" s="190" t="s">
        <v>93</v>
      </c>
      <c r="B191" s="190" t="s">
        <v>651</v>
      </c>
      <c r="C191" s="76" t="s">
        <v>652</v>
      </c>
      <c r="D191" s="351">
        <v>72.307</v>
      </c>
      <c r="E191" s="190">
        <v>6160</v>
      </c>
      <c r="F191" s="253">
        <f>D191*E191*0.3</f>
        <v>133623.336</v>
      </c>
      <c r="G191" s="253">
        <f>121911.236+11712.1</f>
        <v>133623.336</v>
      </c>
      <c r="H191" s="276">
        <f t="shared" si="25"/>
        <v>0</v>
      </c>
      <c r="I191" s="254">
        <v>45867</v>
      </c>
      <c r="J191" s="333"/>
      <c r="K191" s="190"/>
      <c r="L191" s="333"/>
      <c r="O191" s="272">
        <f>H191+P193</f>
        <v>0</v>
      </c>
    </row>
    <row r="192" ht="14.4" spans="1:16">
      <c r="A192" s="190" t="s">
        <v>93</v>
      </c>
      <c r="B192" s="190" t="s">
        <v>651</v>
      </c>
      <c r="C192" s="76" t="s">
        <v>652</v>
      </c>
      <c r="D192" s="351">
        <v>72.307</v>
      </c>
      <c r="E192" s="190">
        <v>6160</v>
      </c>
      <c r="F192" s="253">
        <f>D192*E192*0.7</f>
        <v>311787.784</v>
      </c>
      <c r="G192" s="253">
        <f>650.760000000009+311137.024</f>
        <v>311787.784</v>
      </c>
      <c r="H192" s="276">
        <f t="shared" si="25"/>
        <v>0</v>
      </c>
      <c r="I192" s="254">
        <v>45917</v>
      </c>
      <c r="J192" s="190" t="s">
        <v>441</v>
      </c>
      <c r="K192" s="190"/>
      <c r="L192" s="333"/>
      <c r="O192" s="267"/>
    </row>
    <row r="193" ht="14.4" spans="1:16">
      <c r="A193" s="190" t="s">
        <v>93</v>
      </c>
      <c r="B193" s="190" t="s">
        <v>651</v>
      </c>
      <c r="C193" s="76" t="s">
        <v>654</v>
      </c>
      <c r="D193" s="351">
        <f>74.681-13.345</f>
        <v>61.336</v>
      </c>
      <c r="E193" s="190">
        <v>6160</v>
      </c>
      <c r="F193" s="253">
        <f>D193*E193*0.3</f>
        <v>113348.928</v>
      </c>
      <c r="G193" s="253">
        <f>97228.308+12647.9+3472.72</f>
        <v>113348.928</v>
      </c>
      <c r="H193" s="276">
        <f t="shared" si="25"/>
        <v>0</v>
      </c>
      <c r="I193" s="254">
        <v>45867</v>
      </c>
      <c r="J193" s="333"/>
      <c r="K193" s="190"/>
      <c r="L193" s="333"/>
      <c r="P193" s="272">
        <f>H193</f>
        <v>0</v>
      </c>
    </row>
    <row r="194" ht="14.4" spans="1:16">
      <c r="A194" s="190" t="s">
        <v>93</v>
      </c>
      <c r="B194" s="190" t="s">
        <v>651</v>
      </c>
      <c r="C194" s="76" t="s">
        <v>654</v>
      </c>
      <c r="D194" s="351">
        <f>74.681-13.345</f>
        <v>61.336</v>
      </c>
      <c r="E194" s="190">
        <v>6160</v>
      </c>
      <c r="F194" s="253">
        <f>D194*E194*0.7</f>
        <v>264480.832</v>
      </c>
      <c r="G194" s="253">
        <f>25333.69+239147.142</f>
        <v>264480.832</v>
      </c>
      <c r="H194" s="276">
        <f t="shared" si="25"/>
        <v>0</v>
      </c>
      <c r="I194" s="254">
        <v>45917</v>
      </c>
      <c r="J194" s="190" t="s">
        <v>441</v>
      </c>
      <c r="K194" s="190"/>
      <c r="L194" s="333"/>
    </row>
    <row r="195" ht="14.4" spans="1:16">
      <c r="A195" s="190" t="s">
        <v>93</v>
      </c>
      <c r="B195" s="190" t="s">
        <v>1406</v>
      </c>
      <c r="C195" s="76" t="s">
        <v>654</v>
      </c>
      <c r="D195" s="351">
        <v>13.345</v>
      </c>
      <c r="E195" s="190">
        <v>6160</v>
      </c>
      <c r="F195" s="253">
        <f>D195*E195</f>
        <v>82205.2</v>
      </c>
      <c r="G195" s="253">
        <f>82205.2</f>
        <v>82205.2</v>
      </c>
      <c r="H195" s="276">
        <f t="shared" si="25"/>
        <v>0</v>
      </c>
      <c r="I195" s="254">
        <v>45867</v>
      </c>
      <c r="J195" s="333"/>
      <c r="K195" s="190"/>
      <c r="L195" s="333"/>
    </row>
    <row r="196" ht="14.4" spans="1:16">
      <c r="A196" s="190" t="s">
        <v>93</v>
      </c>
      <c r="B196" s="190" t="s">
        <v>657</v>
      </c>
      <c r="C196" s="76" t="s">
        <v>1407</v>
      </c>
      <c r="D196" s="190">
        <v>60.47</v>
      </c>
      <c r="E196" s="190">
        <f t="shared" ref="E196:E199" si="26">5935+340</f>
        <v>6275</v>
      </c>
      <c r="F196" s="253">
        <f>D196*E196*0.3</f>
        <v>113834.775</v>
      </c>
      <c r="G196" s="253">
        <f>107244+6642.74-51.97</f>
        <v>113834.77</v>
      </c>
      <c r="H196" s="253">
        <f t="shared" si="25"/>
        <v>0.0049999999901047</v>
      </c>
      <c r="I196" s="254">
        <v>45869</v>
      </c>
      <c r="J196" s="333"/>
      <c r="K196" s="190"/>
      <c r="L196" s="333"/>
    </row>
    <row r="197" ht="14.4" spans="1:16">
      <c r="A197" s="190" t="s">
        <v>93</v>
      </c>
      <c r="B197" s="190" t="s">
        <v>657</v>
      </c>
      <c r="C197" s="76" t="s">
        <v>1407</v>
      </c>
      <c r="D197" s="190">
        <v>60.47</v>
      </c>
      <c r="E197" s="190">
        <f t="shared" si="26"/>
        <v>6275</v>
      </c>
      <c r="F197" s="253">
        <f>D197*E197*0.7</f>
        <v>265614.475</v>
      </c>
      <c r="G197" s="253">
        <f>51.97+265562.505</f>
        <v>265614.475</v>
      </c>
      <c r="H197" s="253">
        <f t="shared" si="25"/>
        <v>0</v>
      </c>
      <c r="I197" s="254">
        <v>45929</v>
      </c>
      <c r="J197" s="190" t="s">
        <v>441</v>
      </c>
      <c r="K197" s="190"/>
      <c r="L197" s="333"/>
    </row>
    <row r="198" ht="14.4" spans="1:16">
      <c r="A198" s="190" t="s">
        <v>93</v>
      </c>
      <c r="B198" s="190" t="s">
        <v>657</v>
      </c>
      <c r="C198" s="76" t="s">
        <v>1408</v>
      </c>
      <c r="D198" s="190">
        <v>64.181</v>
      </c>
      <c r="E198" s="190">
        <f t="shared" si="26"/>
        <v>6275</v>
      </c>
      <c r="F198" s="253">
        <f>D198*E198*0.3-20219.47</f>
        <v>100601.2625</v>
      </c>
      <c r="G198" s="253">
        <f>107244-6642.74</f>
        <v>100601.26</v>
      </c>
      <c r="H198" s="253">
        <f t="shared" si="25"/>
        <v>0.00249999998777639</v>
      </c>
      <c r="I198" s="254">
        <v>45869</v>
      </c>
      <c r="J198" s="333"/>
      <c r="K198" s="190"/>
      <c r="L198" s="333"/>
    </row>
    <row r="199" ht="14.4" spans="1:16">
      <c r="A199" s="293" t="s">
        <v>93</v>
      </c>
      <c r="B199" s="293" t="s">
        <v>657</v>
      </c>
      <c r="C199" s="224" t="s">
        <v>1408</v>
      </c>
      <c r="D199" s="293">
        <v>64.181</v>
      </c>
      <c r="E199" s="190">
        <f t="shared" si="26"/>
        <v>6275</v>
      </c>
      <c r="F199" s="276">
        <f>D199*E199*0.7+20219.47</f>
        <v>302134.5125</v>
      </c>
      <c r="G199" s="276">
        <f>312020.815-9886.30250000005</f>
        <v>302134.5125</v>
      </c>
      <c r="H199" s="253">
        <f t="shared" si="25"/>
        <v>0</v>
      </c>
      <c r="I199" s="308">
        <v>45929</v>
      </c>
      <c r="J199" s="190" t="s">
        <v>441</v>
      </c>
      <c r="K199" s="293"/>
      <c r="L199" s="332"/>
    </row>
    <row r="200" ht="14.4" hidden="1" spans="1:16">
      <c r="A200" s="296" t="s">
        <v>1358</v>
      </c>
      <c r="B200" s="296" t="s">
        <v>1409</v>
      </c>
      <c r="C200" s="81" t="s">
        <v>1410</v>
      </c>
      <c r="D200" s="213">
        <v>15.645</v>
      </c>
      <c r="E200" s="213">
        <v>7210</v>
      </c>
      <c r="F200" s="289">
        <f>D200*E200</f>
        <v>112800.45</v>
      </c>
      <c r="G200" s="289">
        <f>33840.135+78960.315</f>
        <v>112800.45</v>
      </c>
      <c r="H200" s="289">
        <f t="shared" si="25"/>
        <v>0</v>
      </c>
      <c r="I200" s="312">
        <v>45966</v>
      </c>
      <c r="J200" s="255" t="s">
        <v>90</v>
      </c>
      <c r="K200" s="341"/>
      <c r="L200" s="341"/>
    </row>
    <row r="201" ht="14.4" hidden="1" spans="1:16">
      <c r="A201" s="296" t="s">
        <v>1358</v>
      </c>
      <c r="B201" s="296" t="s">
        <v>1409</v>
      </c>
      <c r="C201" s="81" t="s">
        <v>666</v>
      </c>
      <c r="D201" s="213">
        <v>10.507</v>
      </c>
      <c r="E201" s="213">
        <v>6070</v>
      </c>
      <c r="F201" s="289">
        <f t="shared" ref="F201:F206" si="27">D201*E201</f>
        <v>63777.49</v>
      </c>
      <c r="G201" s="289">
        <f>19133.247+44644.243</f>
        <v>63777.49</v>
      </c>
      <c r="H201" s="289">
        <f t="shared" ref="H201:H206" si="28">F201-G201</f>
        <v>0</v>
      </c>
      <c r="I201" s="312">
        <v>45945</v>
      </c>
      <c r="J201" s="255" t="s">
        <v>90</v>
      </c>
      <c r="K201" s="341"/>
      <c r="L201" s="341"/>
    </row>
    <row r="202" ht="14.4" hidden="1" spans="1:16">
      <c r="A202" s="296" t="s">
        <v>1358</v>
      </c>
      <c r="B202" s="296" t="s">
        <v>1409</v>
      </c>
      <c r="C202" s="81" t="s">
        <v>1411</v>
      </c>
      <c r="D202" s="326">
        <v>23.962</v>
      </c>
      <c r="E202" s="213">
        <v>7210</v>
      </c>
      <c r="F202" s="289">
        <f t="shared" si="27"/>
        <v>172766.02</v>
      </c>
      <c r="G202" s="289">
        <f>51829.806+115152.35+5783.86399999997</f>
        <v>172766.02</v>
      </c>
      <c r="H202" s="289">
        <f t="shared" si="28"/>
        <v>0</v>
      </c>
      <c r="I202" s="312">
        <v>45966</v>
      </c>
      <c r="J202" s="255" t="s">
        <v>90</v>
      </c>
      <c r="K202" s="341"/>
      <c r="L202" s="341"/>
    </row>
    <row r="203" ht="14.4" hidden="1" spans="1:16">
      <c r="A203" s="296" t="s">
        <v>1358</v>
      </c>
      <c r="B203" s="296" t="s">
        <v>1409</v>
      </c>
      <c r="C203" s="81" t="s">
        <v>1411</v>
      </c>
      <c r="D203" s="213">
        <v>24.869</v>
      </c>
      <c r="E203" s="213">
        <v>8060</v>
      </c>
      <c r="F203" s="289">
        <f t="shared" si="27"/>
        <v>200444.14</v>
      </c>
      <c r="G203" s="289">
        <f>F203*0.3+123144.11+17166.788</f>
        <v>200444.14</v>
      </c>
      <c r="H203" s="289">
        <f t="shared" si="28"/>
        <v>0</v>
      </c>
      <c r="I203" s="312">
        <v>45966</v>
      </c>
      <c r="J203" s="255" t="s">
        <v>90</v>
      </c>
      <c r="K203" s="341"/>
      <c r="L203" s="341"/>
    </row>
    <row r="204" ht="14.4" hidden="1" spans="1:16">
      <c r="A204" s="296" t="s">
        <v>1358</v>
      </c>
      <c r="B204" s="296" t="s">
        <v>1412</v>
      </c>
      <c r="C204" s="81" t="s">
        <v>668</v>
      </c>
      <c r="D204" s="213">
        <v>16.011</v>
      </c>
      <c r="E204" s="213">
        <v>6730</v>
      </c>
      <c r="F204" s="289">
        <f t="shared" si="27"/>
        <v>107754.03</v>
      </c>
      <c r="G204" s="289">
        <f>40380+67374.03</f>
        <v>107754.03</v>
      </c>
      <c r="H204" s="289">
        <f t="shared" si="28"/>
        <v>0</v>
      </c>
      <c r="I204" s="312">
        <v>45966</v>
      </c>
      <c r="J204" s="255" t="s">
        <v>90</v>
      </c>
      <c r="K204" s="341"/>
      <c r="L204" s="341"/>
    </row>
    <row r="205" ht="14.4" hidden="1" spans="1:16">
      <c r="A205" s="296" t="s">
        <v>1358</v>
      </c>
      <c r="B205" s="296" t="s">
        <v>1413</v>
      </c>
      <c r="C205" s="81" t="s">
        <v>669</v>
      </c>
      <c r="D205" s="213">
        <v>13.969</v>
      </c>
      <c r="E205" s="213">
        <v>5800</v>
      </c>
      <c r="F205" s="289">
        <f t="shared" si="27"/>
        <v>81020.2</v>
      </c>
      <c r="G205" s="352">
        <f>24306.06+56714.14</f>
        <v>81020.2</v>
      </c>
      <c r="H205" s="289">
        <f t="shared" si="28"/>
        <v>0</v>
      </c>
      <c r="I205" s="312">
        <v>45945</v>
      </c>
      <c r="J205" s="255" t="s">
        <v>90</v>
      </c>
      <c r="K205" s="341"/>
      <c r="L205" s="341"/>
    </row>
    <row r="206" ht="14.4" hidden="1" spans="1:16">
      <c r="A206" s="296" t="s">
        <v>1358</v>
      </c>
      <c r="B206" s="296" t="s">
        <v>1409</v>
      </c>
      <c r="C206" s="81" t="s">
        <v>669</v>
      </c>
      <c r="D206" s="326">
        <v>2.998</v>
      </c>
      <c r="E206" s="213">
        <v>5800</v>
      </c>
      <c r="F206" s="289">
        <f t="shared" si="27"/>
        <v>17388.4</v>
      </c>
      <c r="G206" s="289">
        <f>5216.52+12171.88</f>
        <v>17388.4</v>
      </c>
      <c r="H206" s="289">
        <f t="shared" si="28"/>
        <v>0</v>
      </c>
      <c r="I206" s="312">
        <v>45945</v>
      </c>
      <c r="J206" s="255" t="s">
        <v>90</v>
      </c>
      <c r="K206" s="341"/>
      <c r="L206" s="341"/>
      <c r="N206" s="240" t="s">
        <v>1414</v>
      </c>
    </row>
    <row r="207" ht="14.4" hidden="1" spans="1:16">
      <c r="A207" s="296" t="s">
        <v>1358</v>
      </c>
      <c r="B207" s="296" t="s">
        <v>1409</v>
      </c>
      <c r="C207" s="81" t="s">
        <v>1415</v>
      </c>
      <c r="D207" s="213">
        <v>9.322</v>
      </c>
      <c r="E207" s="213">
        <v>7210</v>
      </c>
      <c r="F207" s="289">
        <f t="shared" ref="F207:F215" si="29">D207*E207</f>
        <v>67211.62</v>
      </c>
      <c r="G207" s="289">
        <f>F207*0.3+47048.134</f>
        <v>67211.62</v>
      </c>
      <c r="H207" s="289">
        <f t="shared" ref="H207:H217" si="30">F207-G207</f>
        <v>0</v>
      </c>
      <c r="I207" s="312">
        <v>45966</v>
      </c>
      <c r="J207" s="255" t="s">
        <v>90</v>
      </c>
      <c r="K207" s="341"/>
      <c r="L207" s="341"/>
    </row>
    <row r="208" ht="14.4" hidden="1" spans="1:16">
      <c r="A208" s="296" t="s">
        <v>1358</v>
      </c>
      <c r="B208" s="296" t="s">
        <v>1409</v>
      </c>
      <c r="C208" s="81" t="s">
        <v>1415</v>
      </c>
      <c r="D208" s="213">
        <v>27.818</v>
      </c>
      <c r="E208" s="213">
        <v>8060</v>
      </c>
      <c r="F208" s="289">
        <f t="shared" si="29"/>
        <v>224213.08</v>
      </c>
      <c r="G208" s="289">
        <f>F208*0.3+144226.45+12722.71</f>
        <v>224213.084</v>
      </c>
      <c r="H208" s="289">
        <f t="shared" si="30"/>
        <v>-0.00399999998626299</v>
      </c>
      <c r="I208" s="312">
        <v>45966</v>
      </c>
      <c r="J208" s="255" t="s">
        <v>90</v>
      </c>
      <c r="K208" s="341"/>
      <c r="L208" s="341"/>
    </row>
    <row r="209" ht="14.4" hidden="1" spans="1:31">
      <c r="A209" s="296" t="s">
        <v>1358</v>
      </c>
      <c r="B209" s="296" t="s">
        <v>1409</v>
      </c>
      <c r="C209" s="81" t="s">
        <v>1416</v>
      </c>
      <c r="D209" s="213">
        <v>9.176</v>
      </c>
      <c r="E209" s="213">
        <v>7210</v>
      </c>
      <c r="F209" s="289">
        <f t="shared" si="29"/>
        <v>66158.96</v>
      </c>
      <c r="G209" s="289">
        <f>F209*0.3+46311.272</f>
        <v>66158.96</v>
      </c>
      <c r="H209" s="289">
        <f t="shared" si="30"/>
        <v>0</v>
      </c>
      <c r="I209" s="312">
        <v>45966</v>
      </c>
      <c r="J209" s="255" t="s">
        <v>90</v>
      </c>
      <c r="K209" s="341"/>
      <c r="L209" s="341"/>
    </row>
    <row r="210" ht="14.4" hidden="1" spans="1:31">
      <c r="A210" s="296" t="s">
        <v>1358</v>
      </c>
      <c r="B210" s="296" t="s">
        <v>1409</v>
      </c>
      <c r="C210" s="81" t="s">
        <v>1416</v>
      </c>
      <c r="D210" s="213">
        <v>8.626</v>
      </c>
      <c r="E210" s="213">
        <v>8060</v>
      </c>
      <c r="F210" s="289">
        <f t="shared" si="29"/>
        <v>69525.56</v>
      </c>
      <c r="G210" s="289">
        <f>F210*0.3+48667.892</f>
        <v>69525.56</v>
      </c>
      <c r="H210" s="289">
        <f t="shared" si="30"/>
        <v>0</v>
      </c>
      <c r="I210" s="312">
        <v>45966</v>
      </c>
      <c r="J210" s="255" t="s">
        <v>90</v>
      </c>
      <c r="K210" s="341"/>
      <c r="L210" s="341"/>
    </row>
    <row r="211" ht="14.4" hidden="1" spans="1:31">
      <c r="A211" s="296" t="s">
        <v>1358</v>
      </c>
      <c r="B211" s="296" t="s">
        <v>1417</v>
      </c>
      <c r="C211" s="81" t="s">
        <v>673</v>
      </c>
      <c r="D211" s="213">
        <v>50.536</v>
      </c>
      <c r="E211" s="213">
        <v>5800</v>
      </c>
      <c r="F211" s="289">
        <f t="shared" si="29"/>
        <v>293108.8</v>
      </c>
      <c r="G211" s="352">
        <f>87932.64+205176.16</f>
        <v>293108.8</v>
      </c>
      <c r="H211" s="289">
        <f t="shared" si="30"/>
        <v>0</v>
      </c>
      <c r="I211" s="312">
        <v>45945</v>
      </c>
      <c r="J211" s="255" t="s">
        <v>90</v>
      </c>
      <c r="K211" s="341"/>
      <c r="L211" s="341"/>
    </row>
    <row r="212" ht="14.4" hidden="1" spans="1:31">
      <c r="A212" s="296" t="s">
        <v>1358</v>
      </c>
      <c r="B212" s="296" t="s">
        <v>1409</v>
      </c>
      <c r="C212" s="81" t="s">
        <v>673</v>
      </c>
      <c r="D212" s="213">
        <f>55.069-D211</f>
        <v>4.533</v>
      </c>
      <c r="E212" s="213">
        <v>5800</v>
      </c>
      <c r="F212" s="289">
        <f t="shared" si="29"/>
        <v>26291.4</v>
      </c>
      <c r="G212" s="289">
        <f>F212*0.3+18403.98</f>
        <v>26291.4</v>
      </c>
      <c r="H212" s="289">
        <f t="shared" si="30"/>
        <v>0</v>
      </c>
      <c r="I212" s="312">
        <v>45945</v>
      </c>
      <c r="J212" s="255" t="s">
        <v>90</v>
      </c>
      <c r="K212" s="341"/>
      <c r="L212" s="341"/>
      <c r="N212" s="240" t="s">
        <v>1418</v>
      </c>
    </row>
    <row r="213" ht="14.4" hidden="1" spans="1:31">
      <c r="A213" s="296" t="s">
        <v>1358</v>
      </c>
      <c r="B213" s="296" t="s">
        <v>1409</v>
      </c>
      <c r="C213" s="81" t="s">
        <v>674</v>
      </c>
      <c r="D213" s="213">
        <v>27.473</v>
      </c>
      <c r="E213" s="213">
        <v>7210</v>
      </c>
      <c r="F213" s="289">
        <f t="shared" si="29"/>
        <v>198080.33</v>
      </c>
      <c r="G213" s="289">
        <f>F213*0.3+133636.18+5020.05100000001</f>
        <v>198080.33</v>
      </c>
      <c r="H213" s="289">
        <f t="shared" si="30"/>
        <v>0</v>
      </c>
      <c r="I213" s="312">
        <v>45966</v>
      </c>
      <c r="J213" s="255" t="s">
        <v>90</v>
      </c>
      <c r="K213" s="341"/>
      <c r="L213" s="341"/>
    </row>
    <row r="214" ht="14.4" hidden="1" spans="1:31">
      <c r="A214" s="296" t="s">
        <v>1358</v>
      </c>
      <c r="B214" s="296" t="s">
        <v>1419</v>
      </c>
      <c r="C214" s="81" t="s">
        <v>1420</v>
      </c>
      <c r="D214" s="213">
        <v>16.083</v>
      </c>
      <c r="E214" s="213">
        <v>6910</v>
      </c>
      <c r="F214" s="289">
        <f t="shared" si="29"/>
        <v>111133.53</v>
      </c>
      <c r="G214" s="289">
        <f>70457.96+40675.57</f>
        <v>111133.53</v>
      </c>
      <c r="H214" s="289">
        <f t="shared" si="30"/>
        <v>0</v>
      </c>
      <c r="I214" s="312">
        <v>45966</v>
      </c>
      <c r="J214" s="255" t="s">
        <v>90</v>
      </c>
      <c r="K214" s="341"/>
      <c r="L214" s="341"/>
    </row>
    <row r="215" ht="14.4" hidden="1" spans="1:31">
      <c r="A215" s="296" t="s">
        <v>1358</v>
      </c>
      <c r="B215" s="296" t="s">
        <v>1412</v>
      </c>
      <c r="C215" s="81" t="s">
        <v>676</v>
      </c>
      <c r="D215" s="213">
        <v>29.063</v>
      </c>
      <c r="E215" s="213">
        <v>6660</v>
      </c>
      <c r="F215" s="289">
        <f t="shared" si="29"/>
        <v>193559.58</v>
      </c>
      <c r="G215" s="289">
        <f>59940-9925.92+143545.5</f>
        <v>193559.58</v>
      </c>
      <c r="H215" s="289">
        <f t="shared" si="30"/>
        <v>0</v>
      </c>
      <c r="I215" s="312">
        <v>45966</v>
      </c>
      <c r="J215" s="255" t="s">
        <v>90</v>
      </c>
      <c r="K215" s="341"/>
      <c r="L215" s="341"/>
    </row>
    <row r="216" ht="14.4" hidden="1" spans="1:31">
      <c r="A216" s="296" t="s">
        <v>1358</v>
      </c>
      <c r="B216" s="296" t="s">
        <v>1409</v>
      </c>
      <c r="C216" s="81" t="s">
        <v>677</v>
      </c>
      <c r="D216" s="213">
        <v>15.722</v>
      </c>
      <c r="E216" s="213">
        <v>7050</v>
      </c>
      <c r="F216" s="289">
        <f t="shared" ref="F216:F221" si="31">D216*E216</f>
        <v>110840.1</v>
      </c>
      <c r="G216" s="289">
        <f>F216*0.3+57707.173+19880.897</f>
        <v>110840.1</v>
      </c>
      <c r="H216" s="289">
        <f t="shared" si="30"/>
        <v>0</v>
      </c>
      <c r="I216" s="312">
        <v>45966</v>
      </c>
      <c r="J216" s="255" t="s">
        <v>90</v>
      </c>
      <c r="K216" s="341"/>
      <c r="L216" s="341"/>
    </row>
    <row r="217" ht="14.4" spans="1:31">
      <c r="A217" s="190" t="s">
        <v>93</v>
      </c>
      <c r="B217" s="300" t="s">
        <v>1421</v>
      </c>
      <c r="C217" s="81" t="s">
        <v>153</v>
      </c>
      <c r="D217" s="340">
        <v>27</v>
      </c>
      <c r="E217" s="213">
        <v>5950</v>
      </c>
      <c r="F217" s="289">
        <f>E217*D217</f>
        <v>160650</v>
      </c>
      <c r="G217" s="301">
        <v>160650</v>
      </c>
      <c r="H217" s="316">
        <f t="shared" si="30"/>
        <v>0</v>
      </c>
      <c r="I217" s="312">
        <v>46021</v>
      </c>
      <c r="J217" s="300" t="s">
        <v>441</v>
      </c>
      <c r="K217" s="300"/>
      <c r="L217" s="353"/>
    </row>
    <row r="218" ht="14.4" spans="1:31">
      <c r="A218" s="300" t="s">
        <v>93</v>
      </c>
      <c r="B218" s="354" t="s">
        <v>1422</v>
      </c>
      <c r="C218" s="354" t="s">
        <v>1423</v>
      </c>
      <c r="D218" s="340">
        <v>27.285</v>
      </c>
      <c r="E218" s="300">
        <v>6380</v>
      </c>
      <c r="F218" s="301">
        <f t="shared" si="31"/>
        <v>174078.3</v>
      </c>
      <c r="G218" s="301">
        <f>20572.78+153505.52</f>
        <v>174078.3</v>
      </c>
      <c r="H218" s="301">
        <f t="shared" ref="H218:H221" si="32">F218-G218</f>
        <v>0</v>
      </c>
      <c r="I218" s="271">
        <v>46209</v>
      </c>
      <c r="J218" s="190" t="s">
        <v>441</v>
      </c>
      <c r="K218" s="355"/>
      <c r="L218" s="353"/>
      <c r="P218" s="240"/>
      <c r="S218" s="240"/>
      <c r="Y218" s="240"/>
      <c r="AB218" s="240"/>
      <c r="AE218" s="240"/>
    </row>
    <row r="219" ht="14.4" spans="1:31">
      <c r="A219" s="300" t="s">
        <v>93</v>
      </c>
      <c r="B219" s="76" t="s">
        <v>1424</v>
      </c>
      <c r="C219" s="76" t="s">
        <v>1396</v>
      </c>
      <c r="D219" s="129">
        <f>44-D582-D155</f>
        <v>3.193</v>
      </c>
      <c r="E219" s="190">
        <v>6580</v>
      </c>
      <c r="F219" s="253">
        <f t="shared" si="31"/>
        <v>21009.94</v>
      </c>
      <c r="G219" s="253">
        <v>0</v>
      </c>
      <c r="H219" s="253">
        <f t="shared" si="32"/>
        <v>21009.94</v>
      </c>
      <c r="I219" s="271">
        <v>46188</v>
      </c>
      <c r="J219" s="190"/>
      <c r="K219" s="356"/>
      <c r="L219" s="357"/>
      <c r="P219" s="240"/>
      <c r="S219" s="240"/>
      <c r="Y219" s="240"/>
      <c r="AB219" s="240"/>
      <c r="AE219" s="240"/>
    </row>
    <row r="220" ht="14.4" spans="1:31">
      <c r="A220" s="300" t="s">
        <v>93</v>
      </c>
      <c r="B220" s="76" t="s">
        <v>1425</v>
      </c>
      <c r="C220" s="76" t="s">
        <v>1423</v>
      </c>
      <c r="D220" s="129">
        <v>14.445</v>
      </c>
      <c r="E220" s="190">
        <v>6380</v>
      </c>
      <c r="F220" s="253">
        <f t="shared" si="31"/>
        <v>92159.1</v>
      </c>
      <c r="G220" s="253">
        <v>92159.1</v>
      </c>
      <c r="H220" s="253">
        <f t="shared" si="32"/>
        <v>0</v>
      </c>
      <c r="I220" s="271">
        <v>46266</v>
      </c>
      <c r="J220" s="190" t="s">
        <v>441</v>
      </c>
      <c r="K220" s="237" t="s">
        <v>88</v>
      </c>
      <c r="L220" s="357"/>
      <c r="P220" s="240"/>
      <c r="S220" s="240"/>
      <c r="Y220" s="240"/>
      <c r="AB220" s="240"/>
      <c r="AE220" s="240"/>
    </row>
    <row r="221" ht="14.4" spans="1:31">
      <c r="A221" s="300" t="s">
        <v>93</v>
      </c>
      <c r="B221" s="76" t="s">
        <v>1426</v>
      </c>
      <c r="C221" s="76" t="s">
        <v>1423</v>
      </c>
      <c r="D221" s="129">
        <v>38.52</v>
      </c>
      <c r="E221" s="190">
        <v>6380</v>
      </c>
      <c r="F221" s="253">
        <f t="shared" si="31"/>
        <v>245757.6</v>
      </c>
      <c r="G221" s="253">
        <v>245757.6</v>
      </c>
      <c r="H221" s="253">
        <f t="shared" si="32"/>
        <v>0</v>
      </c>
      <c r="I221" s="271">
        <v>46266</v>
      </c>
      <c r="J221" s="190" t="s">
        <v>441</v>
      </c>
      <c r="K221" s="237" t="s">
        <v>88</v>
      </c>
      <c r="L221" s="357"/>
      <c r="P221" s="240"/>
      <c r="S221" s="240"/>
      <c r="Y221" s="240"/>
      <c r="AB221" s="240"/>
      <c r="AE221" s="240"/>
    </row>
    <row r="222" ht="14.4" spans="1:31">
      <c r="A222" s="300" t="s">
        <v>93</v>
      </c>
      <c r="B222" s="76" t="s">
        <v>678</v>
      </c>
      <c r="C222" s="76" t="s">
        <v>682</v>
      </c>
      <c r="D222" s="129">
        <v>40</v>
      </c>
      <c r="E222" s="190">
        <v>6380</v>
      </c>
      <c r="F222" s="253">
        <f t="shared" ref="F222:F230" si="33">D222*E222</f>
        <v>255200</v>
      </c>
      <c r="G222" s="253">
        <v>0</v>
      </c>
      <c r="H222" s="253">
        <f t="shared" ref="H222:H230" si="34">F222-G222</f>
        <v>255200</v>
      </c>
      <c r="I222" s="239">
        <v>46295</v>
      </c>
      <c r="J222" s="190"/>
      <c r="K222" s="190"/>
      <c r="L222" s="357"/>
      <c r="P222" s="240"/>
      <c r="S222" s="240"/>
      <c r="Y222" s="240"/>
      <c r="AB222" s="240"/>
      <c r="AE222" s="240"/>
    </row>
    <row r="223" ht="14.4" spans="1:31">
      <c r="A223" s="300" t="s">
        <v>93</v>
      </c>
      <c r="B223" s="76" t="s">
        <v>1427</v>
      </c>
      <c r="C223" s="76" t="s">
        <v>683</v>
      </c>
      <c r="D223" s="129">
        <v>33.777</v>
      </c>
      <c r="E223" s="190">
        <v>6580</v>
      </c>
      <c r="F223" s="253">
        <f t="shared" si="33"/>
        <v>222252.66</v>
      </c>
      <c r="G223" s="253">
        <v>222252.66</v>
      </c>
      <c r="H223" s="253">
        <f t="shared" si="34"/>
        <v>0</v>
      </c>
      <c r="I223" s="271">
        <v>46295</v>
      </c>
      <c r="J223" s="190" t="s">
        <v>441</v>
      </c>
      <c r="K223" s="190"/>
      <c r="L223" s="357"/>
      <c r="P223" s="240"/>
      <c r="S223" s="240"/>
      <c r="Y223" s="240"/>
      <c r="AB223" s="240"/>
      <c r="AE223" s="240"/>
    </row>
    <row r="224" ht="14.4" spans="1:31">
      <c r="A224" s="300" t="s">
        <v>93</v>
      </c>
      <c r="B224" s="354" t="s">
        <v>1428</v>
      </c>
      <c r="C224" s="354" t="s">
        <v>1429</v>
      </c>
      <c r="D224" s="157">
        <v>45.45</v>
      </c>
      <c r="E224" s="300">
        <v>6380</v>
      </c>
      <c r="F224" s="301">
        <f t="shared" si="33"/>
        <v>289971</v>
      </c>
      <c r="G224" s="253">
        <v>289971</v>
      </c>
      <c r="H224" s="358">
        <f t="shared" si="34"/>
        <v>0</v>
      </c>
      <c r="I224" s="359">
        <v>45667</v>
      </c>
      <c r="J224" s="190" t="s">
        <v>441</v>
      </c>
      <c r="K224" s="190"/>
      <c r="L224" s="357"/>
      <c r="P224" s="240"/>
      <c r="S224" s="240"/>
      <c r="Y224" s="240"/>
      <c r="AB224" s="240"/>
      <c r="AE224" s="240"/>
    </row>
    <row r="225" ht="14.4" spans="1:31">
      <c r="A225" s="300" t="s">
        <v>93</v>
      </c>
      <c r="B225" s="354" t="s">
        <v>1430</v>
      </c>
      <c r="C225" s="354" t="s">
        <v>1429</v>
      </c>
      <c r="D225" s="157">
        <v>1.515</v>
      </c>
      <c r="E225" s="300">
        <v>6380</v>
      </c>
      <c r="F225" s="301">
        <f t="shared" si="33"/>
        <v>9665.7</v>
      </c>
      <c r="G225" s="253">
        <v>9665.69999999995</v>
      </c>
      <c r="H225" s="301">
        <f t="shared" si="34"/>
        <v>4.91127138957381e-11</v>
      </c>
      <c r="I225" s="359">
        <v>46021</v>
      </c>
      <c r="J225" s="190" t="s">
        <v>441</v>
      </c>
      <c r="K225" s="190"/>
      <c r="L225" s="357"/>
      <c r="P225" s="240"/>
      <c r="S225" s="240"/>
      <c r="Y225" s="240"/>
      <c r="AB225" s="240"/>
      <c r="AE225" s="240"/>
    </row>
    <row r="226" ht="14.4" spans="1:31">
      <c r="A226" s="300" t="s">
        <v>93</v>
      </c>
      <c r="B226" s="354" t="s">
        <v>1431</v>
      </c>
      <c r="C226" s="354" t="s">
        <v>1429</v>
      </c>
      <c r="D226" s="157">
        <v>49.995</v>
      </c>
      <c r="E226" s="300">
        <v>6100</v>
      </c>
      <c r="F226" s="301">
        <f t="shared" si="33"/>
        <v>304969.5</v>
      </c>
      <c r="G226" s="253">
        <v>304969.5</v>
      </c>
      <c r="H226" s="360">
        <f t="shared" si="34"/>
        <v>0</v>
      </c>
      <c r="I226" s="359">
        <v>46042</v>
      </c>
      <c r="J226" s="190" t="s">
        <v>441</v>
      </c>
      <c r="K226" s="190"/>
      <c r="L226" s="357"/>
      <c r="P226" s="240"/>
      <c r="S226" s="240"/>
      <c r="Y226" s="240"/>
      <c r="AB226" s="240"/>
      <c r="AE226" s="240"/>
    </row>
    <row r="227" ht="14.4" spans="1:31">
      <c r="A227" s="300" t="s">
        <v>93</v>
      </c>
      <c r="B227" s="354" t="s">
        <v>1432</v>
      </c>
      <c r="C227" s="354" t="s">
        <v>1429</v>
      </c>
      <c r="D227" s="157">
        <v>12.12</v>
      </c>
      <c r="E227" s="300">
        <v>7812.23</v>
      </c>
      <c r="F227" s="301">
        <f t="shared" si="33"/>
        <v>94684.2276</v>
      </c>
      <c r="G227" s="253">
        <f>73932+20752.23</f>
        <v>94684.23</v>
      </c>
      <c r="H227" s="301">
        <f t="shared" si="34"/>
        <v>-0.00240000001213048</v>
      </c>
      <c r="I227" s="271">
        <v>46053</v>
      </c>
      <c r="J227" s="190" t="s">
        <v>441</v>
      </c>
      <c r="K227" s="356"/>
      <c r="L227" s="357"/>
      <c r="P227" s="240"/>
      <c r="S227" s="240"/>
      <c r="Y227" s="240"/>
      <c r="AB227" s="240"/>
      <c r="AE227" s="240"/>
    </row>
    <row r="228" ht="14.4" spans="1:31">
      <c r="A228" s="300" t="s">
        <v>93</v>
      </c>
      <c r="B228" s="354" t="s">
        <v>1433</v>
      </c>
      <c r="C228" s="354" t="s">
        <v>1429</v>
      </c>
      <c r="D228" s="157">
        <v>54.54</v>
      </c>
      <c r="E228" s="300">
        <v>6380</v>
      </c>
      <c r="F228" s="301">
        <f t="shared" si="33"/>
        <v>347965.2</v>
      </c>
      <c r="G228" s="253">
        <v>347965.2</v>
      </c>
      <c r="H228" s="358">
        <f t="shared" si="34"/>
        <v>0</v>
      </c>
      <c r="I228" s="359">
        <v>46021</v>
      </c>
      <c r="J228" s="190" t="s">
        <v>441</v>
      </c>
      <c r="K228" s="356"/>
      <c r="L228" s="357"/>
      <c r="P228" s="240"/>
      <c r="S228" s="240"/>
      <c r="Y228" s="240"/>
      <c r="AB228" s="240"/>
      <c r="AE228" s="240"/>
    </row>
    <row r="229" ht="14.4" spans="1:31">
      <c r="A229" s="345" t="s">
        <v>93</v>
      </c>
      <c r="B229" s="361" t="s">
        <v>1428</v>
      </c>
      <c r="C229" s="224" t="s">
        <v>682</v>
      </c>
      <c r="D229" s="337">
        <v>3</v>
      </c>
      <c r="E229" s="293">
        <v>6380</v>
      </c>
      <c r="F229" s="276">
        <f t="shared" si="33"/>
        <v>19140</v>
      </c>
      <c r="G229" s="276">
        <f>19140</f>
        <v>19140</v>
      </c>
      <c r="H229" s="276">
        <f t="shared" si="34"/>
        <v>0</v>
      </c>
      <c r="I229" s="362">
        <v>45667</v>
      </c>
      <c r="J229" s="190" t="s">
        <v>441</v>
      </c>
      <c r="K229" s="363"/>
      <c r="L229" s="332"/>
      <c r="P229" s="240"/>
      <c r="S229" s="240"/>
      <c r="Y229" s="240"/>
      <c r="AB229" s="240"/>
      <c r="AE229" s="240"/>
    </row>
    <row r="230" ht="14.4" spans="1:31">
      <c r="A230" s="190" t="s">
        <v>93</v>
      </c>
      <c r="B230" s="76" t="s">
        <v>1431</v>
      </c>
      <c r="C230" s="76" t="s">
        <v>682</v>
      </c>
      <c r="D230" s="129">
        <v>12</v>
      </c>
      <c r="E230" s="190">
        <v>6100</v>
      </c>
      <c r="F230" s="253">
        <f t="shared" si="33"/>
        <v>73200</v>
      </c>
      <c r="G230" s="253">
        <f>76560-3360</f>
        <v>73200</v>
      </c>
      <c r="H230" s="364">
        <f t="shared" si="34"/>
        <v>0</v>
      </c>
      <c r="I230" s="271">
        <v>46042</v>
      </c>
      <c r="J230" s="190" t="s">
        <v>441</v>
      </c>
      <c r="K230" s="365"/>
      <c r="L230" s="333"/>
      <c r="P230" s="240"/>
      <c r="S230" s="240"/>
      <c r="Y230" s="240"/>
      <c r="AB230" s="240"/>
      <c r="AE230" s="240"/>
    </row>
    <row r="231" ht="14.4" hidden="1" spans="1:31">
      <c r="A231" s="269"/>
      <c r="B231" s="77"/>
      <c r="C231" s="77"/>
      <c r="D231" s="157"/>
      <c r="E231" s="269"/>
      <c r="F231" s="266"/>
      <c r="G231" s="266"/>
      <c r="H231" s="266"/>
      <c r="K231" s="240"/>
      <c r="L231" s="357"/>
      <c r="P231" s="240"/>
      <c r="S231" s="240"/>
      <c r="Y231" s="240"/>
      <c r="AB231" s="240"/>
      <c r="AE231" s="240"/>
    </row>
    <row r="232" ht="14.4" hidden="1" spans="1:31">
      <c r="A232" s="190"/>
      <c r="K232" s="240"/>
      <c r="L232" s="333"/>
      <c r="P232" s="240"/>
      <c r="S232" s="240"/>
      <c r="Y232" s="240"/>
      <c r="AB232" s="240"/>
      <c r="AE232" s="240"/>
    </row>
    <row r="233" customHeight="1" spans="1:31">
      <c r="A233" s="190" t="s">
        <v>93</v>
      </c>
      <c r="B233" s="190" t="s">
        <v>684</v>
      </c>
      <c r="C233" s="76" t="s">
        <v>685</v>
      </c>
      <c r="D233" s="190">
        <v>2097600</v>
      </c>
      <c r="E233" s="190">
        <v>0.23</v>
      </c>
      <c r="F233" s="253">
        <f>D233*E233*0.3</f>
        <v>144734.4</v>
      </c>
      <c r="G233" s="253">
        <v>144734.4</v>
      </c>
      <c r="H233" s="253">
        <f t="shared" ref="H233:H238" si="35">F233-G233</f>
        <v>0</v>
      </c>
      <c r="I233" s="239">
        <v>45874</v>
      </c>
      <c r="J233" s="255" t="s">
        <v>90</v>
      </c>
      <c r="K233" s="256"/>
      <c r="L233" s="333"/>
      <c r="P233" s="240"/>
      <c r="S233" s="240"/>
      <c r="Y233" s="240"/>
      <c r="AB233" s="240"/>
      <c r="AE233" s="240"/>
    </row>
    <row r="234" ht="14.4" spans="1:31">
      <c r="A234" s="190" t="s">
        <v>93</v>
      </c>
      <c r="B234" s="190" t="s">
        <v>684</v>
      </c>
      <c r="C234" s="76" t="s">
        <v>685</v>
      </c>
      <c r="D234" s="190">
        <v>2097600</v>
      </c>
      <c r="E234" s="190">
        <v>0.23</v>
      </c>
      <c r="F234" s="253">
        <f>D234*E234*0.7</f>
        <v>337713.6</v>
      </c>
      <c r="G234" s="253">
        <v>337713.6</v>
      </c>
      <c r="H234" s="253">
        <f t="shared" si="35"/>
        <v>0</v>
      </c>
      <c r="I234" s="254">
        <v>45891</v>
      </c>
      <c r="J234" s="255" t="s">
        <v>90</v>
      </c>
      <c r="K234" s="256"/>
      <c r="L234" s="333"/>
      <c r="P234" s="240"/>
      <c r="S234" s="240"/>
      <c r="Y234" s="240"/>
      <c r="AB234" s="240"/>
      <c r="AE234" s="240"/>
    </row>
    <row r="235" ht="14.4" spans="1:31">
      <c r="A235" s="190" t="s">
        <v>93</v>
      </c>
      <c r="B235" s="190" t="s">
        <v>686</v>
      </c>
      <c r="C235" s="76" t="s">
        <v>351</v>
      </c>
      <c r="D235" s="190">
        <v>2283560</v>
      </c>
      <c r="E235" s="190">
        <v>0.2329</v>
      </c>
      <c r="F235" s="253">
        <f>D235*E235</f>
        <v>531841.124</v>
      </c>
      <c r="G235" s="253">
        <f>540328-8486.88</f>
        <v>531841.12</v>
      </c>
      <c r="H235" s="253">
        <f t="shared" si="35"/>
        <v>0.00399999995715916</v>
      </c>
      <c r="I235" s="254">
        <v>45900</v>
      </c>
      <c r="J235" s="255" t="s">
        <v>90</v>
      </c>
      <c r="K235" s="256"/>
      <c r="L235" s="333"/>
      <c r="P235" s="240"/>
      <c r="S235" s="240"/>
      <c r="Y235" s="240"/>
      <c r="AB235" s="240"/>
      <c r="AE235" s="240"/>
    </row>
    <row r="236" ht="14.4" hidden="1" spans="1:31">
      <c r="A236" s="190" t="s">
        <v>1364</v>
      </c>
      <c r="B236" s="190" t="s">
        <v>688</v>
      </c>
      <c r="C236" s="76" t="s">
        <v>689</v>
      </c>
      <c r="D236" s="190">
        <v>27.266</v>
      </c>
      <c r="E236" s="190">
        <v>8350</v>
      </c>
      <c r="F236" s="253">
        <f>D236*E236</f>
        <v>227671.1</v>
      </c>
      <c r="G236" s="253">
        <v>227671.1</v>
      </c>
      <c r="H236" s="253">
        <f t="shared" si="35"/>
        <v>0</v>
      </c>
      <c r="I236" s="254">
        <v>45901</v>
      </c>
      <c r="J236" s="309" t="s">
        <v>441</v>
      </c>
      <c r="K236" s="330"/>
      <c r="L236" s="333"/>
      <c r="P236" s="240"/>
      <c r="S236" s="240"/>
      <c r="Y236" s="240"/>
      <c r="AB236" s="240"/>
      <c r="AE236" s="240"/>
    </row>
    <row r="237" ht="14.4" hidden="1" spans="1:31">
      <c r="A237" s="190" t="s">
        <v>1364</v>
      </c>
      <c r="B237" s="190" t="s">
        <v>1434</v>
      </c>
      <c r="C237" s="76" t="s">
        <v>689</v>
      </c>
      <c r="D237" s="129">
        <v>27.27</v>
      </c>
      <c r="E237" s="190">
        <v>8300</v>
      </c>
      <c r="F237" s="253">
        <f>D237*E237</f>
        <v>226341</v>
      </c>
      <c r="G237" s="253">
        <f>22634+203707</f>
        <v>226341</v>
      </c>
      <c r="H237" s="253">
        <f t="shared" si="35"/>
        <v>0</v>
      </c>
      <c r="I237" s="254">
        <v>45940</v>
      </c>
      <c r="J237" s="190"/>
      <c r="K237" s="333"/>
      <c r="L237" s="333"/>
      <c r="P237" s="240"/>
      <c r="S237" s="240"/>
      <c r="Y237" s="240"/>
      <c r="AB237" s="240"/>
      <c r="AE237" s="240"/>
    </row>
    <row r="238" ht="14.4" hidden="1" spans="1:31">
      <c r="A238" s="190" t="s">
        <v>1364</v>
      </c>
      <c r="B238" s="190" t="s">
        <v>1435</v>
      </c>
      <c r="C238" s="76" t="s">
        <v>689</v>
      </c>
      <c r="D238" s="129">
        <v>52.734</v>
      </c>
      <c r="E238" s="190">
        <v>8394.82</v>
      </c>
      <c r="F238" s="253">
        <f>D238*E238</f>
        <v>442692.43788</v>
      </c>
      <c r="G238" s="253">
        <f>44596+398096.44</f>
        <v>442692.44</v>
      </c>
      <c r="H238" s="253">
        <f t="shared" si="35"/>
        <v>-0.00212000001920387</v>
      </c>
      <c r="I238" s="254">
        <v>45940</v>
      </c>
      <c r="J238" s="190" t="s">
        <v>1436</v>
      </c>
      <c r="K238" s="333"/>
      <c r="L238" s="333"/>
      <c r="P238" s="240"/>
      <c r="S238" s="240"/>
      <c r="Y238" s="240"/>
      <c r="AB238" s="240"/>
      <c r="AE238" s="240"/>
    </row>
    <row r="239" ht="14.4" hidden="1" spans="1:31">
      <c r="A239" s="190" t="s">
        <v>1364</v>
      </c>
      <c r="B239" s="190" t="s">
        <v>1437</v>
      </c>
      <c r="C239" s="76" t="s">
        <v>695</v>
      </c>
      <c r="D239" s="129">
        <v>54.262</v>
      </c>
      <c r="E239" s="190">
        <v>8392</v>
      </c>
      <c r="F239" s="253">
        <f t="shared" ref="F239:F251" si="36">D239*E239</f>
        <v>455366.704</v>
      </c>
      <c r="G239" s="253">
        <f>89640+365726.704</f>
        <v>455366.704</v>
      </c>
      <c r="H239" s="253">
        <f t="shared" ref="H239:H251" si="37">F239-G239</f>
        <v>0</v>
      </c>
      <c r="I239" s="254">
        <v>45940</v>
      </c>
      <c r="J239" s="190"/>
      <c r="K239" s="333"/>
      <c r="L239" s="333"/>
      <c r="P239" s="240"/>
      <c r="S239" s="240"/>
      <c r="Y239" s="240"/>
      <c r="AB239" s="240"/>
      <c r="AE239" s="240"/>
    </row>
    <row r="240" ht="14.4" hidden="1" spans="1:31">
      <c r="A240" s="190" t="s">
        <v>1364</v>
      </c>
      <c r="B240" s="190" t="s">
        <v>1437</v>
      </c>
      <c r="C240" s="76" t="s">
        <v>696</v>
      </c>
      <c r="D240" s="129">
        <v>54.391</v>
      </c>
      <c r="E240" s="190">
        <v>8392</v>
      </c>
      <c r="F240" s="253">
        <f t="shared" si="36"/>
        <v>456449.272</v>
      </c>
      <c r="G240" s="253">
        <f>89640+366809.272</f>
        <v>456449.272</v>
      </c>
      <c r="H240" s="253">
        <f t="shared" si="37"/>
        <v>0</v>
      </c>
      <c r="I240" s="254">
        <v>45940</v>
      </c>
      <c r="J240" s="190"/>
      <c r="K240" s="333"/>
      <c r="L240" s="333"/>
      <c r="P240" s="240"/>
      <c r="S240" s="240"/>
      <c r="Y240" s="240"/>
      <c r="AB240" s="240"/>
      <c r="AE240" s="240"/>
    </row>
    <row r="241" ht="28.8" hidden="1" spans="1:31">
      <c r="A241" s="190" t="s">
        <v>1438</v>
      </c>
      <c r="B241" s="76" t="s">
        <v>368</v>
      </c>
      <c r="C241" s="113" t="s">
        <v>1439</v>
      </c>
      <c r="D241" s="76">
        <v>136.113</v>
      </c>
      <c r="E241" s="199">
        <v>2449</v>
      </c>
      <c r="F241" s="253">
        <f t="shared" si="36"/>
        <v>333340.737</v>
      </c>
      <c r="G241" s="253">
        <v>333340.737</v>
      </c>
      <c r="H241" s="253">
        <f t="shared" si="37"/>
        <v>0</v>
      </c>
      <c r="I241" s="254">
        <v>45861</v>
      </c>
      <c r="J241" s="366" t="s">
        <v>441</v>
      </c>
      <c r="K241" s="367"/>
      <c r="L241" s="333"/>
      <c r="P241" s="240"/>
      <c r="S241" s="240"/>
      <c r="Y241" s="240"/>
      <c r="AB241" s="240"/>
      <c r="AE241" s="240"/>
    </row>
    <row r="242" ht="28.8" hidden="1" spans="1:31">
      <c r="A242" s="190" t="s">
        <v>1438</v>
      </c>
      <c r="B242" s="76" t="s">
        <v>368</v>
      </c>
      <c r="C242" s="113" t="s">
        <v>1440</v>
      </c>
      <c r="D242" s="76">
        <v>13.08</v>
      </c>
      <c r="E242" s="199">
        <v>1510</v>
      </c>
      <c r="F242" s="253">
        <f t="shared" si="36"/>
        <v>19750.8</v>
      </c>
      <c r="G242" s="253">
        <v>19750.8</v>
      </c>
      <c r="H242" s="253">
        <f t="shared" si="37"/>
        <v>0</v>
      </c>
      <c r="I242" s="254">
        <v>45861</v>
      </c>
      <c r="J242" s="366" t="s">
        <v>441</v>
      </c>
      <c r="K242" s="367"/>
      <c r="L242" s="333"/>
      <c r="O242" s="240">
        <f>88897.28+17350.2+225585+58217.94+245124</f>
        <v>635174.42</v>
      </c>
      <c r="P242" s="240"/>
      <c r="S242" s="240"/>
      <c r="Y242" s="240"/>
      <c r="AB242" s="240"/>
      <c r="AE242" s="240"/>
    </row>
    <row r="243" ht="28.8" hidden="1" spans="1:31">
      <c r="A243" s="190" t="s">
        <v>1438</v>
      </c>
      <c r="B243" s="76" t="s">
        <v>368</v>
      </c>
      <c r="C243" s="113" t="s">
        <v>1441</v>
      </c>
      <c r="D243" s="76">
        <v>13.616</v>
      </c>
      <c r="E243" s="114">
        <v>1582</v>
      </c>
      <c r="F243" s="253">
        <f t="shared" si="36"/>
        <v>21540.512</v>
      </c>
      <c r="G243" s="253">
        <v>21540.512</v>
      </c>
      <c r="H243" s="253">
        <f t="shared" si="37"/>
        <v>0</v>
      </c>
      <c r="I243" s="254">
        <v>45861</v>
      </c>
      <c r="J243" s="366" t="s">
        <v>441</v>
      </c>
      <c r="K243" s="367"/>
      <c r="L243" s="333"/>
      <c r="P243" s="240"/>
      <c r="S243" s="240"/>
      <c r="Y243" s="240"/>
      <c r="AB243" s="240"/>
      <c r="AE243" s="240"/>
    </row>
    <row r="244" ht="28.8" hidden="1" spans="1:31">
      <c r="A244" s="190" t="s">
        <v>1438</v>
      </c>
      <c r="B244" s="76" t="s">
        <v>372</v>
      </c>
      <c r="C244" s="113" t="s">
        <v>1442</v>
      </c>
      <c r="D244" s="76">
        <v>19.695</v>
      </c>
      <c r="E244" s="114">
        <v>2551</v>
      </c>
      <c r="F244" s="253">
        <f t="shared" si="36"/>
        <v>50241.945</v>
      </c>
      <c r="G244" s="253">
        <v>50241.945</v>
      </c>
      <c r="H244" s="253">
        <f t="shared" si="37"/>
        <v>0</v>
      </c>
      <c r="I244" s="254">
        <v>45867</v>
      </c>
      <c r="J244" s="366" t="s">
        <v>441</v>
      </c>
      <c r="K244" s="367"/>
      <c r="L244" s="333"/>
      <c r="P244" s="240"/>
      <c r="S244" s="240"/>
      <c r="Y244" s="240"/>
      <c r="AB244" s="240"/>
      <c r="AE244" s="240"/>
    </row>
    <row r="245" ht="28.8" hidden="1" spans="1:31">
      <c r="A245" s="190" t="s">
        <v>1438</v>
      </c>
      <c r="B245" s="76" t="s">
        <v>372</v>
      </c>
      <c r="C245" s="113" t="s">
        <v>1443</v>
      </c>
      <c r="D245" s="76">
        <v>7.918</v>
      </c>
      <c r="E245" s="114">
        <v>2449</v>
      </c>
      <c r="F245" s="253">
        <f t="shared" si="36"/>
        <v>19391.182</v>
      </c>
      <c r="G245" s="253">
        <v>19391.182</v>
      </c>
      <c r="H245" s="253">
        <f t="shared" si="37"/>
        <v>0</v>
      </c>
      <c r="I245" s="254">
        <v>45867</v>
      </c>
      <c r="J245" s="366" t="s">
        <v>441</v>
      </c>
      <c r="K245" s="367"/>
      <c r="L245" s="333"/>
      <c r="P245" s="240"/>
      <c r="S245" s="240"/>
      <c r="Y245" s="240"/>
      <c r="AB245" s="240"/>
      <c r="AE245" s="240"/>
    </row>
    <row r="246" ht="28.8" hidden="1" spans="1:31">
      <c r="A246" s="190" t="s">
        <v>1438</v>
      </c>
      <c r="B246" s="76" t="s">
        <v>372</v>
      </c>
      <c r="C246" s="113" t="s">
        <v>1444</v>
      </c>
      <c r="D246" s="76">
        <v>27.27</v>
      </c>
      <c r="E246" s="114">
        <v>2551</v>
      </c>
      <c r="F246" s="253">
        <f t="shared" si="36"/>
        <v>69565.77</v>
      </c>
      <c r="G246" s="253">
        <v>69565.77</v>
      </c>
      <c r="H246" s="253">
        <f t="shared" si="37"/>
        <v>0</v>
      </c>
      <c r="I246" s="254">
        <v>45867</v>
      </c>
      <c r="J246" s="366" t="s">
        <v>441</v>
      </c>
      <c r="K246" s="367"/>
      <c r="L246" s="333"/>
      <c r="P246" s="240"/>
      <c r="S246" s="240"/>
      <c r="Y246" s="240"/>
      <c r="AB246" s="240"/>
      <c r="AE246" s="240"/>
    </row>
    <row r="247" ht="28.8" hidden="1" spans="1:31">
      <c r="A247" s="190" t="s">
        <v>1438</v>
      </c>
      <c r="B247" s="76" t="s">
        <v>382</v>
      </c>
      <c r="C247" s="113" t="s">
        <v>1444</v>
      </c>
      <c r="D247" s="224">
        <v>94.602</v>
      </c>
      <c r="E247" s="114">
        <v>2551</v>
      </c>
      <c r="F247" s="253">
        <f t="shared" si="36"/>
        <v>241329.702</v>
      </c>
      <c r="G247" s="253">
        <v>241329.702</v>
      </c>
      <c r="H247" s="253">
        <f t="shared" si="37"/>
        <v>0</v>
      </c>
      <c r="I247" s="254">
        <v>45867</v>
      </c>
      <c r="J247" s="366" t="s">
        <v>441</v>
      </c>
      <c r="K247" s="367"/>
      <c r="L247" s="333"/>
      <c r="P247" s="240"/>
      <c r="S247" s="240"/>
      <c r="Y247" s="240"/>
      <c r="AB247" s="240"/>
      <c r="AE247" s="240"/>
    </row>
    <row r="248" ht="28.8" hidden="1" spans="1:31">
      <c r="A248" s="190" t="s">
        <v>1438</v>
      </c>
      <c r="B248" s="76" t="s">
        <v>382</v>
      </c>
      <c r="C248" s="113" t="s">
        <v>1445</v>
      </c>
      <c r="D248" s="224">
        <v>69.291</v>
      </c>
      <c r="E248" s="114">
        <v>2551</v>
      </c>
      <c r="F248" s="253">
        <f t="shared" si="36"/>
        <v>176761.341</v>
      </c>
      <c r="G248" s="253">
        <v>176761.341</v>
      </c>
      <c r="H248" s="253">
        <f t="shared" si="37"/>
        <v>0</v>
      </c>
      <c r="I248" s="254">
        <v>45867</v>
      </c>
      <c r="J248" s="366" t="s">
        <v>441</v>
      </c>
      <c r="K248" s="367"/>
      <c r="L248" s="333"/>
      <c r="P248" s="240"/>
      <c r="S248" s="240"/>
      <c r="Y248" s="240"/>
      <c r="AB248" s="240"/>
      <c r="AE248" s="240"/>
    </row>
    <row r="249" ht="28.8" hidden="1" spans="1:31">
      <c r="A249" s="190" t="s">
        <v>1438</v>
      </c>
      <c r="B249" s="76" t="s">
        <v>374</v>
      </c>
      <c r="C249" s="113" t="s">
        <v>1446</v>
      </c>
      <c r="D249" s="224">
        <v>52.223</v>
      </c>
      <c r="E249" s="114">
        <v>2449</v>
      </c>
      <c r="F249" s="253">
        <f t="shared" si="36"/>
        <v>127894.127</v>
      </c>
      <c r="G249" s="253">
        <v>127894.127</v>
      </c>
      <c r="H249" s="253">
        <f t="shared" si="37"/>
        <v>0</v>
      </c>
      <c r="I249" s="254">
        <v>45875</v>
      </c>
      <c r="J249" s="366" t="s">
        <v>441</v>
      </c>
      <c r="K249" s="367"/>
      <c r="L249" s="333"/>
      <c r="P249" s="240"/>
      <c r="S249" s="240"/>
      <c r="Y249" s="240"/>
      <c r="AB249" s="240"/>
      <c r="AE249" s="240"/>
    </row>
    <row r="250" ht="28.8" hidden="1" spans="1:31">
      <c r="A250" s="190" t="s">
        <v>1438</v>
      </c>
      <c r="B250" s="76" t="s">
        <v>374</v>
      </c>
      <c r="C250" s="113" t="s">
        <v>1447</v>
      </c>
      <c r="D250" s="224">
        <v>46.172</v>
      </c>
      <c r="E250" s="114">
        <v>2551</v>
      </c>
      <c r="F250" s="253">
        <f t="shared" si="36"/>
        <v>117784.772</v>
      </c>
      <c r="G250" s="253">
        <v>117784.772</v>
      </c>
      <c r="H250" s="253">
        <f t="shared" si="37"/>
        <v>0</v>
      </c>
      <c r="I250" s="254">
        <v>45875</v>
      </c>
      <c r="J250" s="366" t="s">
        <v>441</v>
      </c>
      <c r="K250" s="367"/>
      <c r="L250" s="333"/>
      <c r="P250" s="240"/>
      <c r="S250" s="240"/>
      <c r="Y250" s="240"/>
      <c r="AB250" s="240"/>
      <c r="AE250" s="240"/>
    </row>
    <row r="251" ht="28.8" hidden="1" spans="1:31">
      <c r="A251" s="190" t="s">
        <v>1438</v>
      </c>
      <c r="B251" s="76" t="s">
        <v>374</v>
      </c>
      <c r="C251" s="113" t="s">
        <v>1444</v>
      </c>
      <c r="D251" s="76">
        <v>10.605</v>
      </c>
      <c r="E251" s="114">
        <v>2551</v>
      </c>
      <c r="F251" s="253">
        <f t="shared" si="36"/>
        <v>27053.355</v>
      </c>
      <c r="G251" s="253">
        <v>27053.355</v>
      </c>
      <c r="H251" s="253">
        <f t="shared" si="37"/>
        <v>0</v>
      </c>
      <c r="I251" s="254">
        <v>45875</v>
      </c>
      <c r="J251" s="366" t="s">
        <v>441</v>
      </c>
      <c r="K251" s="367"/>
      <c r="L251" s="333"/>
      <c r="P251" s="240"/>
      <c r="S251" s="240"/>
      <c r="Y251" s="240"/>
      <c r="AB251" s="240"/>
      <c r="AE251" s="240"/>
    </row>
    <row r="252" ht="14.4" spans="1:31">
      <c r="A252" s="190" t="s">
        <v>93</v>
      </c>
      <c r="B252" s="76" t="s">
        <v>698</v>
      </c>
      <c r="C252" s="76" t="s">
        <v>699</v>
      </c>
      <c r="D252" s="76">
        <v>20.679</v>
      </c>
      <c r="E252" s="129">
        <v>5530</v>
      </c>
      <c r="F252" s="253">
        <f>D252*E252*0.3</f>
        <v>34306.461</v>
      </c>
      <c r="G252" s="253">
        <f>17350.2+7534.8+9058.14+27.0970000000016+11.613+205.163000000008+87.9269999999997+31.5209999999861</f>
        <v>34306.461</v>
      </c>
      <c r="H252" s="253">
        <f t="shared" ref="H252:H267" si="38">F252-G252</f>
        <v>0</v>
      </c>
      <c r="I252" s="254">
        <v>45891</v>
      </c>
      <c r="J252" s="333"/>
      <c r="K252" s="190"/>
      <c r="L252" s="333"/>
      <c r="O252" s="267"/>
      <c r="P252" s="240"/>
      <c r="S252" s="240"/>
      <c r="Y252" s="240"/>
      <c r="AB252" s="240"/>
      <c r="AE252" s="240"/>
    </row>
    <row r="253" ht="14.4" spans="1:31">
      <c r="A253" s="190" t="s">
        <v>93</v>
      </c>
      <c r="B253" s="76" t="s">
        <v>698</v>
      </c>
      <c r="C253" s="76" t="s">
        <v>699</v>
      </c>
      <c r="D253" s="76">
        <v>20.679</v>
      </c>
      <c r="E253" s="129">
        <v>5530</v>
      </c>
      <c r="F253" s="253">
        <f>D253*E253*0.7</f>
        <v>80048.409</v>
      </c>
      <c r="G253" s="253">
        <f>79200.66+847.748999999982</f>
        <v>80048.409</v>
      </c>
      <c r="H253" s="253">
        <f t="shared" si="38"/>
        <v>0</v>
      </c>
      <c r="I253" s="254">
        <v>45941</v>
      </c>
      <c r="J253" s="309" t="s">
        <v>441</v>
      </c>
      <c r="K253" s="302"/>
      <c r="L253" s="333"/>
      <c r="P253" s="240"/>
      <c r="S253" s="240"/>
      <c r="Y253" s="240"/>
      <c r="AB253" s="240"/>
      <c r="AE253" s="240"/>
    </row>
    <row r="254" ht="14.4" spans="1:31">
      <c r="A254" s="190" t="s">
        <v>93</v>
      </c>
      <c r="B254" s="76" t="s">
        <v>698</v>
      </c>
      <c r="C254" s="76" t="s">
        <v>703</v>
      </c>
      <c r="D254" s="129">
        <v>20.51</v>
      </c>
      <c r="E254" s="129">
        <v>5530</v>
      </c>
      <c r="F254" s="253">
        <f>D254*E254*0.3</f>
        <v>34026.09</v>
      </c>
      <c r="G254" s="253">
        <f>24885+8555.463+585.626999999993</f>
        <v>34026.09</v>
      </c>
      <c r="H254" s="253">
        <f t="shared" si="38"/>
        <v>0</v>
      </c>
      <c r="I254" s="254">
        <v>45891</v>
      </c>
      <c r="J254" s="333"/>
      <c r="K254" s="190"/>
      <c r="L254" s="333"/>
      <c r="P254" s="240"/>
      <c r="S254" s="240"/>
      <c r="Y254" s="240"/>
      <c r="AB254" s="240"/>
      <c r="AE254" s="240"/>
    </row>
    <row r="255" ht="14.4" spans="1:31">
      <c r="A255" s="190" t="s">
        <v>93</v>
      </c>
      <c r="B255" s="76" t="s">
        <v>698</v>
      </c>
      <c r="C255" s="76" t="s">
        <v>703</v>
      </c>
      <c r="D255" s="129">
        <v>20.51</v>
      </c>
      <c r="E255" s="129">
        <v>5530</v>
      </c>
      <c r="F255" s="253">
        <f>D255*E255*0.7</f>
        <v>79394.21</v>
      </c>
      <c r="G255" s="253">
        <f>78027.747-31.5209999999861-847.748999999982-585.626999999993+2831.35999999996</f>
        <v>79394.21</v>
      </c>
      <c r="H255" s="253">
        <f t="shared" si="38"/>
        <v>0</v>
      </c>
      <c r="I255" s="254">
        <v>45941</v>
      </c>
      <c r="J255" s="309" t="s">
        <v>441</v>
      </c>
      <c r="K255" s="302"/>
      <c r="L255" s="333"/>
      <c r="P255" s="240"/>
      <c r="S255" s="240"/>
      <c r="Y255" s="240"/>
      <c r="AB255" s="240"/>
      <c r="AE255" s="240"/>
    </row>
    <row r="256" ht="14.4" spans="1:31">
      <c r="A256" s="190" t="s">
        <v>93</v>
      </c>
      <c r="B256" s="76" t="s">
        <v>698</v>
      </c>
      <c r="C256" s="76" t="s">
        <v>704</v>
      </c>
      <c r="D256" s="129">
        <v>16.625</v>
      </c>
      <c r="E256" s="129">
        <v>5530</v>
      </c>
      <c r="F256" s="253">
        <f>D256*E256*0.3</f>
        <v>27580.875</v>
      </c>
      <c r="G256" s="253">
        <f>24885+2783.802-87.9269999999997</f>
        <v>27580.875</v>
      </c>
      <c r="H256" s="253">
        <f t="shared" si="38"/>
        <v>0</v>
      </c>
      <c r="I256" s="254">
        <v>45891</v>
      </c>
      <c r="J256" s="333"/>
      <c r="K256" s="190"/>
      <c r="L256" s="333"/>
      <c r="P256" s="240"/>
      <c r="S256" s="240"/>
      <c r="Y256" s="240"/>
      <c r="AB256" s="240"/>
      <c r="AE256" s="240"/>
    </row>
    <row r="257" ht="14.4" spans="1:31">
      <c r="A257" s="190" t="s">
        <v>93</v>
      </c>
      <c r="B257" s="76" t="s">
        <v>698</v>
      </c>
      <c r="C257" s="76" t="s">
        <v>704</v>
      </c>
      <c r="D257" s="129">
        <v>16.625</v>
      </c>
      <c r="E257" s="129">
        <v>5530</v>
      </c>
      <c r="F257" s="253">
        <f>D257*E257*0.7</f>
        <v>64355.375</v>
      </c>
      <c r="G257" s="253">
        <f>64560.538-205.163000000008</f>
        <v>64355.375</v>
      </c>
      <c r="H257" s="253">
        <f t="shared" si="38"/>
        <v>0</v>
      </c>
      <c r="I257" s="254">
        <v>45941</v>
      </c>
      <c r="J257" s="309" t="s">
        <v>441</v>
      </c>
      <c r="K257" s="302"/>
      <c r="L257" s="333"/>
      <c r="P257" s="240"/>
      <c r="S257" s="240"/>
      <c r="Y257" s="240"/>
      <c r="AB257" s="240"/>
      <c r="AE257" s="240"/>
    </row>
    <row r="258" ht="14.4" spans="1:31">
      <c r="A258" s="190" t="s">
        <v>93</v>
      </c>
      <c r="B258" s="76" t="s">
        <v>698</v>
      </c>
      <c r="C258" s="76" t="s">
        <v>705</v>
      </c>
      <c r="D258" s="129">
        <v>16.709</v>
      </c>
      <c r="E258" s="129">
        <v>5530</v>
      </c>
      <c r="F258" s="253">
        <f>D258*E258*0.3</f>
        <v>27720.231</v>
      </c>
      <c r="G258" s="253">
        <f>24885+2073.04+211.050000000017+562.753999999983-11.6130000000012</f>
        <v>27720.231</v>
      </c>
      <c r="H258" s="253">
        <f t="shared" si="38"/>
        <v>0</v>
      </c>
      <c r="I258" s="254">
        <v>45891</v>
      </c>
      <c r="J258" s="333"/>
      <c r="K258" s="190"/>
      <c r="L258" s="333"/>
      <c r="P258" s="240"/>
      <c r="S258" s="240"/>
      <c r="Y258" s="240"/>
      <c r="AB258" s="240"/>
      <c r="AE258" s="240"/>
    </row>
    <row r="259" ht="14.4" spans="1:31">
      <c r="A259" s="190" t="s">
        <v>93</v>
      </c>
      <c r="B259" s="76" t="s">
        <v>698</v>
      </c>
      <c r="C259" s="76" t="s">
        <v>705</v>
      </c>
      <c r="D259" s="129">
        <v>16.709</v>
      </c>
      <c r="E259" s="129">
        <v>5530</v>
      </c>
      <c r="F259" s="253">
        <f>D259*E259*0.7</f>
        <v>64680.539</v>
      </c>
      <c r="G259" s="253">
        <f>64707.636-27.0970000000016</f>
        <v>64680.539</v>
      </c>
      <c r="H259" s="253">
        <f t="shared" si="38"/>
        <v>0</v>
      </c>
      <c r="I259" s="254">
        <v>45941</v>
      </c>
      <c r="J259" s="309" t="s">
        <v>441</v>
      </c>
      <c r="K259" s="302"/>
      <c r="L259" s="333"/>
      <c r="P259" s="240"/>
      <c r="S259" s="240"/>
      <c r="Y259" s="240"/>
      <c r="AB259" s="240"/>
      <c r="AE259" s="240"/>
    </row>
    <row r="260" ht="14.4" spans="1:31">
      <c r="A260" s="190" t="s">
        <v>93</v>
      </c>
      <c r="B260" s="76" t="s">
        <v>1448</v>
      </c>
      <c r="C260" s="76" t="s">
        <v>709</v>
      </c>
      <c r="D260" s="368">
        <v>13.671</v>
      </c>
      <c r="E260" s="129">
        <v>5950</v>
      </c>
      <c r="F260" s="253">
        <f>D260*E260</f>
        <v>81342.45</v>
      </c>
      <c r="G260" s="253">
        <f>80325+1017.45</f>
        <v>81342.45</v>
      </c>
      <c r="H260" s="369">
        <f t="shared" si="38"/>
        <v>0</v>
      </c>
      <c r="I260" s="254">
        <v>45981</v>
      </c>
      <c r="J260" s="190"/>
      <c r="K260" s="190"/>
      <c r="L260" s="333"/>
      <c r="P260" s="240"/>
      <c r="S260" s="240"/>
      <c r="Y260" s="240"/>
      <c r="AB260" s="240"/>
      <c r="AE260" s="240"/>
    </row>
    <row r="261" ht="14.4" spans="1:31">
      <c r="A261" s="190" t="s">
        <v>93</v>
      </c>
      <c r="B261" s="76" t="s">
        <v>1449</v>
      </c>
      <c r="C261" s="76" t="s">
        <v>709</v>
      </c>
      <c r="D261" s="129">
        <v>13.671</v>
      </c>
      <c r="E261" s="129">
        <v>5950</v>
      </c>
      <c r="F261" s="253">
        <f>D261*E261</f>
        <v>81342.45</v>
      </c>
      <c r="G261" s="253">
        <f>72292.5+8032.5+1017.45</f>
        <v>81342.45</v>
      </c>
      <c r="H261" s="370">
        <f t="shared" si="38"/>
        <v>0</v>
      </c>
      <c r="I261" s="254">
        <v>46011</v>
      </c>
      <c r="J261" s="309" t="s">
        <v>441</v>
      </c>
      <c r="K261" s="302"/>
      <c r="L261" s="333"/>
      <c r="P261" s="240"/>
      <c r="S261" s="240"/>
      <c r="Y261" s="240"/>
      <c r="AB261" s="240"/>
      <c r="AE261" s="240"/>
    </row>
    <row r="262" ht="14.4" spans="1:31">
      <c r="A262" s="190" t="s">
        <v>93</v>
      </c>
      <c r="B262" s="76" t="s">
        <v>1450</v>
      </c>
      <c r="C262" s="76" t="s">
        <v>709</v>
      </c>
      <c r="D262" s="129">
        <v>14.817</v>
      </c>
      <c r="E262" s="129">
        <v>5950</v>
      </c>
      <c r="F262" s="253">
        <f>D262*E262</f>
        <v>88161.15</v>
      </c>
      <c r="G262" s="253">
        <f>48489.15+39672</f>
        <v>88161.15</v>
      </c>
      <c r="H262" s="253">
        <f t="shared" si="38"/>
        <v>0</v>
      </c>
      <c r="I262" s="254">
        <v>46090</v>
      </c>
      <c r="J262" s="190" t="s">
        <v>441</v>
      </c>
      <c r="K262" s="190"/>
      <c r="L262" s="333"/>
      <c r="P262" s="240"/>
      <c r="S262" s="240"/>
      <c r="Y262" s="240"/>
      <c r="AB262" s="240"/>
      <c r="AE262" s="240"/>
    </row>
    <row r="263" ht="14.4" spans="1:31">
      <c r="A263" s="190" t="s">
        <v>93</v>
      </c>
      <c r="B263" s="76" t="s">
        <v>1451</v>
      </c>
      <c r="C263" s="76" t="s">
        <v>712</v>
      </c>
      <c r="D263" s="368">
        <v>13.608</v>
      </c>
      <c r="E263" s="129">
        <v>5870</v>
      </c>
      <c r="F263" s="253">
        <f>D263*E263</f>
        <v>79878.96</v>
      </c>
      <c r="G263" s="253">
        <f>79245+633.960000000006</f>
        <v>79878.96</v>
      </c>
      <c r="H263" s="253">
        <f t="shared" si="38"/>
        <v>0</v>
      </c>
      <c r="I263" s="254">
        <v>45950</v>
      </c>
      <c r="J263" s="190"/>
      <c r="K263" s="190"/>
      <c r="L263" s="333"/>
      <c r="P263" s="240"/>
      <c r="S263" s="240"/>
      <c r="Y263" s="240"/>
      <c r="AB263" s="240"/>
      <c r="AE263" s="240"/>
    </row>
    <row r="264" ht="14.4" spans="1:31">
      <c r="A264" s="190" t="s">
        <v>93</v>
      </c>
      <c r="B264" s="76" t="s">
        <v>1448</v>
      </c>
      <c r="C264" s="76" t="s">
        <v>712</v>
      </c>
      <c r="D264" s="368">
        <v>27.216</v>
      </c>
      <c r="E264" s="129">
        <v>5870</v>
      </c>
      <c r="F264" s="253">
        <f t="shared" ref="F264:F268" si="39">D264*E264</f>
        <v>159757.92</v>
      </c>
      <c r="G264" s="253">
        <f>158490+1267.92000000001</f>
        <v>159757.92</v>
      </c>
      <c r="H264" s="369">
        <f t="shared" ref="H264:H266" si="40">F264-G264</f>
        <v>0</v>
      </c>
      <c r="I264" s="254">
        <v>45981</v>
      </c>
      <c r="J264" s="190"/>
      <c r="K264" s="190"/>
      <c r="L264" s="333"/>
      <c r="P264" s="240"/>
      <c r="S264" s="240"/>
      <c r="Y264" s="240"/>
      <c r="AB264" s="240"/>
      <c r="AE264" s="240"/>
    </row>
    <row r="265" ht="14.4" spans="1:31">
      <c r="A265" s="190" t="s">
        <v>93</v>
      </c>
      <c r="B265" s="76" t="s">
        <v>1449</v>
      </c>
      <c r="C265" s="76" t="s">
        <v>712</v>
      </c>
      <c r="D265" s="129">
        <v>30.24</v>
      </c>
      <c r="E265" s="129">
        <v>5870</v>
      </c>
      <c r="F265" s="253">
        <f t="shared" si="39"/>
        <v>177508.8</v>
      </c>
      <c r="G265" s="253">
        <f>142641+15849+19018.8</f>
        <v>177508.8</v>
      </c>
      <c r="H265" s="370">
        <f t="shared" si="40"/>
        <v>0</v>
      </c>
      <c r="I265" s="254">
        <v>46011</v>
      </c>
      <c r="J265" s="309" t="s">
        <v>441</v>
      </c>
      <c r="K265" s="302"/>
      <c r="L265" s="333"/>
      <c r="P265" s="240"/>
      <c r="S265" s="240"/>
      <c r="Y265" s="240"/>
      <c r="AB265" s="240"/>
      <c r="AE265" s="240"/>
    </row>
    <row r="266" ht="14.4" spans="1:31">
      <c r="A266" s="190" t="s">
        <v>93</v>
      </c>
      <c r="B266" s="76" t="s">
        <v>1450</v>
      </c>
      <c r="C266" s="76" t="s">
        <v>712</v>
      </c>
      <c r="D266" s="129">
        <v>28.728</v>
      </c>
      <c r="E266" s="129">
        <v>5870</v>
      </c>
      <c r="F266" s="253">
        <f t="shared" si="39"/>
        <v>168633.36</v>
      </c>
      <c r="G266" s="253">
        <v>168633.36</v>
      </c>
      <c r="H266" s="253">
        <f t="shared" si="40"/>
        <v>0</v>
      </c>
      <c r="I266" s="254">
        <v>46090</v>
      </c>
      <c r="J266" s="190" t="s">
        <v>441</v>
      </c>
      <c r="K266" s="190"/>
      <c r="L266" s="333"/>
      <c r="P266" s="240"/>
      <c r="S266" s="240"/>
      <c r="Y266" s="240"/>
      <c r="AB266" s="240"/>
      <c r="AE266" s="240"/>
    </row>
    <row r="267" ht="14.4" spans="1:31">
      <c r="A267" s="190" t="s">
        <v>93</v>
      </c>
      <c r="B267" s="76" t="s">
        <v>1452</v>
      </c>
      <c r="C267" s="76" t="s">
        <v>714</v>
      </c>
      <c r="D267" s="368">
        <v>15.28</v>
      </c>
      <c r="E267" s="129">
        <v>5780</v>
      </c>
      <c r="F267" s="253">
        <f t="shared" si="39"/>
        <v>88318.4</v>
      </c>
      <c r="G267" s="253">
        <f>78030+10288.4</f>
        <v>88318.4</v>
      </c>
      <c r="H267" s="253">
        <f t="shared" si="38"/>
        <v>0</v>
      </c>
      <c r="I267" s="254">
        <v>45945</v>
      </c>
      <c r="J267" s="309" t="s">
        <v>441</v>
      </c>
      <c r="K267" s="302"/>
      <c r="L267" s="333"/>
      <c r="P267" s="240"/>
      <c r="S267" s="240"/>
      <c r="Y267" s="240"/>
      <c r="AB267" s="240"/>
      <c r="AE267" s="240"/>
    </row>
    <row r="268" ht="14.4" spans="1:31">
      <c r="A268" s="190" t="s">
        <v>93</v>
      </c>
      <c r="B268" s="76" t="s">
        <v>1451</v>
      </c>
      <c r="C268" s="76" t="s">
        <v>714</v>
      </c>
      <c r="D268" s="368">
        <v>27.449</v>
      </c>
      <c r="E268" s="129">
        <v>5780</v>
      </c>
      <c r="F268" s="253">
        <f t="shared" si="39"/>
        <v>158655.22</v>
      </c>
      <c r="G268" s="253">
        <f>156060+2595.22</f>
        <v>158655.22</v>
      </c>
      <c r="H268" s="253">
        <f t="shared" ref="H268:H273" si="41">F268-G268</f>
        <v>0</v>
      </c>
      <c r="I268" s="254">
        <v>45950</v>
      </c>
      <c r="J268" s="190"/>
      <c r="K268" s="190"/>
      <c r="L268" s="333"/>
      <c r="P268" s="240"/>
      <c r="S268" s="240"/>
      <c r="Y268" s="240"/>
      <c r="AB268" s="240"/>
      <c r="AE268" s="240"/>
    </row>
    <row r="269" ht="14.4" spans="1:31">
      <c r="A269" s="190" t="s">
        <v>93</v>
      </c>
      <c r="B269" s="76" t="s">
        <v>1448</v>
      </c>
      <c r="C269" s="76" t="s">
        <v>714</v>
      </c>
      <c r="D269" s="368">
        <v>55.008</v>
      </c>
      <c r="E269" s="129">
        <v>5780</v>
      </c>
      <c r="F269" s="253">
        <f t="shared" ref="F269:F273" si="42">D269*E269</f>
        <v>317946.24</v>
      </c>
      <c r="G269" s="253">
        <f>312120+5826.23999999999</f>
        <v>317946.24</v>
      </c>
      <c r="H269" s="369">
        <f t="shared" si="41"/>
        <v>0</v>
      </c>
      <c r="I269" s="254">
        <v>45981</v>
      </c>
      <c r="J269" s="190"/>
      <c r="K269" s="190"/>
      <c r="L269" s="333"/>
      <c r="P269" s="240"/>
      <c r="S269" s="240"/>
      <c r="Y269" s="240"/>
      <c r="AB269" s="240"/>
      <c r="AE269" s="240"/>
    </row>
    <row r="270" ht="14.4" spans="1:31">
      <c r="A270" s="190" t="s">
        <v>93</v>
      </c>
      <c r="B270" s="76" t="s">
        <v>1449</v>
      </c>
      <c r="C270" s="76" t="s">
        <v>714</v>
      </c>
      <c r="D270" s="129">
        <v>15.451</v>
      </c>
      <c r="E270" s="129">
        <v>5780</v>
      </c>
      <c r="F270" s="253">
        <f t="shared" si="42"/>
        <v>89306.78</v>
      </c>
      <c r="G270" s="253">
        <f>210681+23409-144783.22</f>
        <v>89306.78</v>
      </c>
      <c r="H270" s="370">
        <f t="shared" si="41"/>
        <v>0</v>
      </c>
      <c r="I270" s="254">
        <v>46011</v>
      </c>
      <c r="J270" s="309" t="s">
        <v>441</v>
      </c>
      <c r="K270" s="302"/>
      <c r="L270" s="333"/>
      <c r="P270" s="240"/>
      <c r="S270" s="240"/>
      <c r="Y270" s="240"/>
      <c r="AB270" s="240"/>
      <c r="AE270" s="240"/>
    </row>
    <row r="271" ht="14.4" spans="1:31">
      <c r="A271" s="190" t="s">
        <v>93</v>
      </c>
      <c r="B271" s="76" t="s">
        <v>1450</v>
      </c>
      <c r="C271" s="76" t="s">
        <v>714</v>
      </c>
      <c r="D271" s="129">
        <v>48.183</v>
      </c>
      <c r="E271" s="129">
        <v>5780</v>
      </c>
      <c r="F271" s="253">
        <f t="shared" si="42"/>
        <v>278497.74</v>
      </c>
      <c r="G271" s="253">
        <f>144783.22+133714.52</f>
        <v>278497.74</v>
      </c>
      <c r="H271" s="253">
        <f t="shared" si="41"/>
        <v>0</v>
      </c>
      <c r="I271" s="254">
        <v>46090</v>
      </c>
      <c r="J271" s="190" t="s">
        <v>441</v>
      </c>
      <c r="K271" s="190"/>
      <c r="L271" s="333"/>
      <c r="P271" s="240"/>
      <c r="S271" s="240"/>
      <c r="Y271" s="240"/>
      <c r="AB271" s="240"/>
      <c r="AE271" s="240"/>
    </row>
    <row r="272" ht="14.4" spans="1:31">
      <c r="A272" s="190" t="s">
        <v>93</v>
      </c>
      <c r="B272" s="76" t="s">
        <v>1453</v>
      </c>
      <c r="C272" s="76" t="s">
        <v>714</v>
      </c>
      <c r="D272" s="368">
        <v>27.504</v>
      </c>
      <c r="E272" s="129">
        <v>5780</v>
      </c>
      <c r="F272" s="253">
        <f t="shared" si="42"/>
        <v>158973.12</v>
      </c>
      <c r="G272" s="253">
        <v>158973.12</v>
      </c>
      <c r="H272" s="364">
        <f t="shared" si="41"/>
        <v>0</v>
      </c>
      <c r="I272" s="254">
        <v>46042</v>
      </c>
      <c r="J272" s="309"/>
      <c r="K272" s="302"/>
      <c r="L272" s="333"/>
      <c r="P272" s="240"/>
      <c r="S272" s="240"/>
      <c r="Y272" s="240"/>
      <c r="AB272" s="240"/>
      <c r="AE272" s="240"/>
    </row>
    <row r="273" ht="14.4" spans="1:31">
      <c r="A273" s="190" t="s">
        <v>93</v>
      </c>
      <c r="B273" s="76" t="s">
        <v>1452</v>
      </c>
      <c r="C273" s="76" t="s">
        <v>716</v>
      </c>
      <c r="D273" s="368">
        <v>11.316</v>
      </c>
      <c r="E273" s="129">
        <v>5660</v>
      </c>
      <c r="F273" s="253">
        <f t="shared" si="42"/>
        <v>64048.56</v>
      </c>
      <c r="G273" s="253">
        <f>76410-10288.4-2073.04</f>
        <v>64048.56</v>
      </c>
      <c r="H273" s="253">
        <f t="shared" si="41"/>
        <v>0</v>
      </c>
      <c r="I273" s="254">
        <v>45945</v>
      </c>
      <c r="J273" s="309" t="s">
        <v>441</v>
      </c>
      <c r="K273" s="302"/>
      <c r="L273" s="333"/>
      <c r="P273" s="240"/>
      <c r="S273" s="240"/>
      <c r="Y273" s="240"/>
      <c r="AB273" s="240"/>
      <c r="AE273" s="240"/>
    </row>
    <row r="274" ht="14.4" spans="1:31">
      <c r="A274" s="190" t="s">
        <v>93</v>
      </c>
      <c r="B274" s="76" t="s">
        <v>1448</v>
      </c>
      <c r="C274" s="76" t="s">
        <v>716</v>
      </c>
      <c r="D274" s="368">
        <v>13.662</v>
      </c>
      <c r="E274" s="129">
        <v>5660</v>
      </c>
      <c r="F274" s="253">
        <f t="shared" ref="F274:F277" si="43">D274*E274</f>
        <v>77326.92</v>
      </c>
      <c r="G274" s="253">
        <f>916.919999999998+38990.35+5722.2+31697.45</f>
        <v>77326.92</v>
      </c>
      <c r="H274" s="253">
        <f t="shared" ref="H274:H277" si="44">F274-G274</f>
        <v>0</v>
      </c>
      <c r="I274" s="254">
        <v>45981</v>
      </c>
      <c r="J274" s="190"/>
      <c r="K274" s="190"/>
      <c r="L274" s="333"/>
      <c r="P274" s="240"/>
      <c r="S274" s="240"/>
      <c r="Y274" s="240"/>
      <c r="AB274" s="240"/>
      <c r="AE274" s="240"/>
    </row>
    <row r="275" ht="14.4" spans="1:31">
      <c r="A275" s="190" t="s">
        <v>93</v>
      </c>
      <c r="B275" s="76" t="s">
        <v>1449</v>
      </c>
      <c r="C275" s="76" t="s">
        <v>716</v>
      </c>
      <c r="D275" s="129">
        <v>14.206</v>
      </c>
      <c r="E275" s="129">
        <v>5660</v>
      </c>
      <c r="F275" s="253">
        <f t="shared" si="43"/>
        <v>80405.96</v>
      </c>
      <c r="G275" s="253">
        <f>68769+7641+3995.95999999999</f>
        <v>80405.96</v>
      </c>
      <c r="H275" s="370">
        <f t="shared" si="44"/>
        <v>0</v>
      </c>
      <c r="I275" s="254">
        <v>46011</v>
      </c>
      <c r="J275" s="309" t="s">
        <v>441</v>
      </c>
      <c r="K275" s="302"/>
      <c r="L275" s="333"/>
      <c r="P275" s="240"/>
      <c r="S275" s="240"/>
      <c r="Y275" s="240"/>
      <c r="AB275" s="240"/>
      <c r="AE275" s="240"/>
    </row>
    <row r="276" ht="14.4" spans="1:31">
      <c r="A276" s="190" t="s">
        <v>93</v>
      </c>
      <c r="B276" s="76" t="s">
        <v>1450</v>
      </c>
      <c r="C276" s="76" t="s">
        <v>716</v>
      </c>
      <c r="D276" s="129">
        <v>17.243</v>
      </c>
      <c r="E276" s="129">
        <v>5660</v>
      </c>
      <c r="F276" s="253">
        <f t="shared" si="43"/>
        <v>97595.38</v>
      </c>
      <c r="G276" s="253">
        <f>27620.8+69974.58</f>
        <v>97595.38</v>
      </c>
      <c r="H276" s="253">
        <f t="shared" si="44"/>
        <v>0</v>
      </c>
      <c r="I276" s="254">
        <v>46090</v>
      </c>
      <c r="J276" s="190" t="s">
        <v>441</v>
      </c>
      <c r="K276" s="190"/>
      <c r="L276" s="333"/>
      <c r="P276" s="240"/>
      <c r="S276" s="240"/>
      <c r="Y276" s="240"/>
      <c r="AB276" s="240"/>
      <c r="AE276" s="240"/>
    </row>
    <row r="277" ht="14.4" spans="1:31">
      <c r="A277" s="190" t="s">
        <v>93</v>
      </c>
      <c r="B277" s="76" t="s">
        <v>1451</v>
      </c>
      <c r="C277" s="76" t="s">
        <v>717</v>
      </c>
      <c r="D277" s="368">
        <v>13.725</v>
      </c>
      <c r="E277" s="129">
        <v>5660</v>
      </c>
      <c r="F277" s="253">
        <f t="shared" si="43"/>
        <v>77683.5</v>
      </c>
      <c r="G277" s="253">
        <f>76410+1273.5</f>
        <v>77683.5</v>
      </c>
      <c r="H277" s="253">
        <f t="shared" si="44"/>
        <v>0</v>
      </c>
      <c r="I277" s="254">
        <v>45945</v>
      </c>
      <c r="J277" s="190"/>
      <c r="K277" s="190"/>
      <c r="L277" s="333"/>
      <c r="P277" s="240"/>
      <c r="S277" s="240"/>
      <c r="Y277" s="240"/>
      <c r="AB277" s="240"/>
      <c r="AE277" s="240"/>
    </row>
    <row r="278" ht="14.4" spans="1:31">
      <c r="A278" s="190" t="s">
        <v>93</v>
      </c>
      <c r="B278" s="76" t="s">
        <v>1449</v>
      </c>
      <c r="C278" s="76" t="s">
        <v>717</v>
      </c>
      <c r="D278" s="129">
        <v>8.62</v>
      </c>
      <c r="E278" s="129">
        <v>5660</v>
      </c>
      <c r="F278" s="253">
        <f t="shared" ref="F278:F284" si="45">D278*E278</f>
        <v>48789.2</v>
      </c>
      <c r="G278" s="253">
        <f>68769+7641-27620.8</f>
        <v>48789.2</v>
      </c>
      <c r="H278" s="370">
        <f t="shared" ref="H278:H286" si="46">F278-G278</f>
        <v>0</v>
      </c>
      <c r="I278" s="254">
        <v>46011</v>
      </c>
      <c r="J278" s="309" t="s">
        <v>441</v>
      </c>
      <c r="K278" s="302"/>
      <c r="L278" s="333"/>
      <c r="P278" s="240"/>
      <c r="S278" s="240"/>
      <c r="Y278" s="240"/>
      <c r="AB278" s="240"/>
      <c r="AE278" s="240"/>
    </row>
    <row r="279" ht="14.4" spans="1:31">
      <c r="A279" s="190" t="s">
        <v>93</v>
      </c>
      <c r="B279" s="76" t="s">
        <v>1454</v>
      </c>
      <c r="C279" s="76" t="s">
        <v>709</v>
      </c>
      <c r="D279" s="129">
        <v>6.553</v>
      </c>
      <c r="E279" s="129">
        <v>5950</v>
      </c>
      <c r="F279" s="253">
        <f t="shared" si="45"/>
        <v>38990.35</v>
      </c>
      <c r="G279" s="253">
        <f>38990.35-38990.35+8827.14999999999+30163.2</f>
        <v>38990.35</v>
      </c>
      <c r="H279" s="253">
        <f t="shared" si="46"/>
        <v>0</v>
      </c>
      <c r="I279" s="254">
        <v>46090</v>
      </c>
      <c r="J279" s="190" t="s">
        <v>441</v>
      </c>
      <c r="K279" s="190"/>
      <c r="L279" s="333"/>
      <c r="P279" s="240"/>
      <c r="S279" s="240"/>
      <c r="Y279" s="240"/>
      <c r="AB279" s="240"/>
      <c r="AE279" s="240"/>
    </row>
    <row r="280" ht="14.4" spans="1:31">
      <c r="A280" s="190" t="s">
        <v>93</v>
      </c>
      <c r="B280" s="76" t="s">
        <v>1454</v>
      </c>
      <c r="C280" s="76" t="s">
        <v>714</v>
      </c>
      <c r="D280" s="129">
        <v>0.99</v>
      </c>
      <c r="E280" s="129">
        <v>5780</v>
      </c>
      <c r="F280" s="253">
        <f t="shared" si="45"/>
        <v>5722.2</v>
      </c>
      <c r="G280" s="253">
        <f>5722.2-5722.2+1859.9425+2836.72999999998+1025.52750000002</f>
        <v>5722.2</v>
      </c>
      <c r="H280" s="253">
        <f t="shared" si="46"/>
        <v>0</v>
      </c>
      <c r="I280" s="254">
        <v>46090</v>
      </c>
      <c r="J280" s="190" t="s">
        <v>441</v>
      </c>
      <c r="K280" s="190"/>
      <c r="L280" s="333"/>
      <c r="P280" s="240"/>
      <c r="S280" s="240"/>
      <c r="Y280" s="240"/>
      <c r="AB280" s="240"/>
      <c r="AE280" s="240"/>
    </row>
    <row r="281" ht="14.4" spans="1:31">
      <c r="A281" s="190" t="s">
        <v>93</v>
      </c>
      <c r="B281" s="76" t="s">
        <v>718</v>
      </c>
      <c r="C281" s="76" t="s">
        <v>719</v>
      </c>
      <c r="D281" s="129">
        <v>82.987</v>
      </c>
      <c r="E281" s="129">
        <v>6170</v>
      </c>
      <c r="F281" s="253">
        <f t="shared" si="45"/>
        <v>512029.79</v>
      </c>
      <c r="G281" s="253">
        <f>449793+62236.79</f>
        <v>512029.79</v>
      </c>
      <c r="H281" s="253">
        <f t="shared" si="46"/>
        <v>0</v>
      </c>
      <c r="I281" s="254">
        <v>45973</v>
      </c>
      <c r="J281" s="190"/>
      <c r="K281" s="190"/>
      <c r="L281" s="333"/>
      <c r="P281" s="240"/>
      <c r="S281" s="240"/>
      <c r="Y281" s="240"/>
      <c r="AB281" s="240"/>
      <c r="AE281" s="240"/>
    </row>
    <row r="282" ht="14.4" spans="1:31">
      <c r="A282" s="190" t="s">
        <v>93</v>
      </c>
      <c r="B282" s="76" t="s">
        <v>718</v>
      </c>
      <c r="C282" s="76" t="s">
        <v>559</v>
      </c>
      <c r="D282" s="129">
        <v>153.728</v>
      </c>
      <c r="E282" s="129">
        <v>5930</v>
      </c>
      <c r="F282" s="253">
        <f t="shared" si="45"/>
        <v>911607.04</v>
      </c>
      <c r="G282" s="253">
        <f>864594+47013.04</f>
        <v>911607.04</v>
      </c>
      <c r="H282" s="253">
        <f t="shared" si="46"/>
        <v>0</v>
      </c>
      <c r="I282" s="254">
        <v>45973</v>
      </c>
      <c r="J282" s="190"/>
      <c r="K282" s="190"/>
      <c r="L282" s="333"/>
      <c r="P282" s="240"/>
      <c r="S282" s="240"/>
      <c r="Y282" s="240"/>
      <c r="AB282" s="240"/>
      <c r="AE282" s="240"/>
    </row>
    <row r="283" ht="14.4" hidden="1" spans="1:31">
      <c r="A283" s="190" t="s">
        <v>1367</v>
      </c>
      <c r="B283" s="190" t="s">
        <v>724</v>
      </c>
      <c r="C283" s="190" t="s">
        <v>87</v>
      </c>
      <c r="D283" s="190">
        <v>1160000</v>
      </c>
      <c r="E283" s="190">
        <v>0.15705</v>
      </c>
      <c r="F283" s="253">
        <f t="shared" si="45"/>
        <v>182178</v>
      </c>
      <c r="G283" s="253">
        <f>54653.4+127524.6</f>
        <v>182178</v>
      </c>
      <c r="H283" s="253">
        <f t="shared" si="46"/>
        <v>0</v>
      </c>
      <c r="I283" s="254">
        <v>45915</v>
      </c>
      <c r="J283" s="309" t="s">
        <v>441</v>
      </c>
      <c r="K283" s="330"/>
      <c r="L283" s="333"/>
      <c r="P283" s="240"/>
      <c r="S283" s="240"/>
      <c r="Y283" s="240"/>
      <c r="AB283" s="240"/>
      <c r="AE283" s="240"/>
    </row>
    <row r="284" ht="14.4" spans="1:31">
      <c r="A284" s="190" t="s">
        <v>93</v>
      </c>
      <c r="B284" s="190" t="s">
        <v>726</v>
      </c>
      <c r="C284" s="190" t="s">
        <v>727</v>
      </c>
      <c r="D284" s="190">
        <v>1160000</v>
      </c>
      <c r="E284" s="190">
        <v>0.224</v>
      </c>
      <c r="F284" s="253">
        <f t="shared" si="45"/>
        <v>259840</v>
      </c>
      <c r="G284" s="253">
        <f>284200-24360</f>
        <v>259840</v>
      </c>
      <c r="H284" s="253">
        <f t="shared" si="46"/>
        <v>0</v>
      </c>
      <c r="I284" s="254">
        <v>45920</v>
      </c>
      <c r="J284" s="309" t="s">
        <v>441</v>
      </c>
      <c r="K284" s="302"/>
      <c r="L284" s="333"/>
      <c r="O284" s="267"/>
      <c r="P284" s="240"/>
      <c r="S284" s="240"/>
      <c r="Y284" s="240"/>
      <c r="AB284" s="240"/>
      <c r="AE284" s="240"/>
    </row>
    <row r="285" customHeight="1" spans="1:31">
      <c r="A285" s="293" t="s">
        <v>93</v>
      </c>
      <c r="B285" s="293" t="s">
        <v>731</v>
      </c>
      <c r="C285" s="293" t="s">
        <v>727</v>
      </c>
      <c r="D285" s="293">
        <v>2320000</v>
      </c>
      <c r="E285" s="293">
        <v>0.2329</v>
      </c>
      <c r="F285" s="276">
        <f t="shared" ref="F285:F288" si="47">D285*E285</f>
        <v>540328</v>
      </c>
      <c r="G285" s="276">
        <f>531012+9316</f>
        <v>540328</v>
      </c>
      <c r="H285" s="276">
        <f t="shared" si="46"/>
        <v>0</v>
      </c>
      <c r="I285" s="308">
        <v>45939</v>
      </c>
      <c r="J285" s="293"/>
      <c r="K285" s="293"/>
      <c r="L285" s="332"/>
      <c r="P285" s="240"/>
      <c r="S285" s="240"/>
      <c r="Y285" s="240"/>
      <c r="AB285" s="240"/>
      <c r="AE285" s="240"/>
    </row>
    <row r="286" hidden="1" customHeight="1" spans="1:31">
      <c r="A286" s="296" t="s">
        <v>1438</v>
      </c>
      <c r="B286" s="81" t="s">
        <v>1373</v>
      </c>
      <c r="C286" s="81" t="s">
        <v>592</v>
      </c>
      <c r="D286" s="81">
        <v>28.002</v>
      </c>
      <c r="E286" s="211">
        <v>2551</v>
      </c>
      <c r="F286" s="289">
        <f t="shared" si="47"/>
        <v>71433.102</v>
      </c>
      <c r="G286" s="289">
        <v>71433.102</v>
      </c>
      <c r="H286" s="289">
        <f t="shared" si="46"/>
        <v>0</v>
      </c>
      <c r="I286" s="312">
        <v>46042</v>
      </c>
      <c r="J286" s="366" t="s">
        <v>441</v>
      </c>
      <c r="K286" s="366"/>
      <c r="L286" s="341"/>
      <c r="O286" s="267"/>
      <c r="P286" s="240"/>
      <c r="S286" s="240"/>
      <c r="Y286" s="240"/>
      <c r="AB286" s="240"/>
      <c r="AE286" s="240"/>
    </row>
    <row r="287" hidden="1" customHeight="1" spans="1:31">
      <c r="A287" s="296" t="s">
        <v>1438</v>
      </c>
      <c r="B287" s="81" t="s">
        <v>1377</v>
      </c>
      <c r="C287" s="81" t="s">
        <v>592</v>
      </c>
      <c r="D287" s="81">
        <v>26.298</v>
      </c>
      <c r="E287" s="211">
        <v>2551</v>
      </c>
      <c r="F287" s="289">
        <f t="shared" ref="F287" si="48">D287*E287</f>
        <v>67086.198</v>
      </c>
      <c r="G287" s="289">
        <v>67086.198</v>
      </c>
      <c r="H287" s="289">
        <f t="shared" ref="H287:H294" si="49">F287-G287</f>
        <v>0</v>
      </c>
      <c r="I287" s="312">
        <v>46021</v>
      </c>
      <c r="J287" s="366" t="s">
        <v>441</v>
      </c>
      <c r="K287" s="366"/>
      <c r="L287" s="341"/>
      <c r="O287" s="267"/>
      <c r="P287" s="240"/>
      <c r="S287" s="240"/>
      <c r="Y287" s="240"/>
      <c r="AB287" s="240"/>
      <c r="AE287" s="240"/>
    </row>
    <row r="288" hidden="1" customHeight="1" spans="1:31">
      <c r="A288" s="296" t="s">
        <v>1438</v>
      </c>
      <c r="B288" s="81" t="s">
        <v>1377</v>
      </c>
      <c r="C288" s="81" t="s">
        <v>594</v>
      </c>
      <c r="D288" s="213">
        <v>40.905</v>
      </c>
      <c r="E288" s="211">
        <v>2551</v>
      </c>
      <c r="F288" s="289">
        <f t="shared" si="47"/>
        <v>104348.655</v>
      </c>
      <c r="G288" s="289">
        <v>104348.655</v>
      </c>
      <c r="H288" s="289">
        <f t="shared" si="49"/>
        <v>0</v>
      </c>
      <c r="I288" s="312">
        <v>46021</v>
      </c>
      <c r="J288" s="366" t="s">
        <v>441</v>
      </c>
      <c r="K288" s="366"/>
      <c r="L288" s="341"/>
      <c r="O288" s="272">
        <f>1258268+811282+1170315+236882+664731.72+182178</f>
        <v>4323656.72</v>
      </c>
      <c r="P288" s="240"/>
      <c r="S288" s="240"/>
      <c r="Y288" s="240"/>
      <c r="AB288" s="240"/>
      <c r="AE288" s="240"/>
    </row>
    <row r="289" hidden="1" customHeight="1" spans="1:31">
      <c r="A289" s="296" t="s">
        <v>1438</v>
      </c>
      <c r="B289" s="81" t="s">
        <v>1378</v>
      </c>
      <c r="C289" s="81" t="s">
        <v>594</v>
      </c>
      <c r="D289" s="213">
        <v>40.905</v>
      </c>
      <c r="E289" s="211">
        <v>2551</v>
      </c>
      <c r="F289" s="289">
        <f t="shared" ref="F289:F294" si="50">D289*E289</f>
        <v>104348.655</v>
      </c>
      <c r="G289" s="289">
        <v>104348.655</v>
      </c>
      <c r="H289" s="289">
        <f t="shared" si="49"/>
        <v>0</v>
      </c>
      <c r="I289" s="312">
        <v>46042</v>
      </c>
      <c r="J289" s="366" t="s">
        <v>441</v>
      </c>
      <c r="K289" s="366"/>
      <c r="L289" s="341"/>
      <c r="O289" s="272"/>
      <c r="P289" s="240"/>
      <c r="S289" s="240"/>
      <c r="Y289" s="240"/>
      <c r="AB289" s="240"/>
      <c r="AE289" s="240"/>
    </row>
    <row r="290" hidden="1" customHeight="1" spans="1:31">
      <c r="A290" s="296" t="s">
        <v>1438</v>
      </c>
      <c r="B290" s="81" t="s">
        <v>1373</v>
      </c>
      <c r="C290" s="81" t="s">
        <v>594</v>
      </c>
      <c r="D290" s="213">
        <v>51.51</v>
      </c>
      <c r="E290" s="211">
        <v>2551</v>
      </c>
      <c r="F290" s="289">
        <f t="shared" si="50"/>
        <v>131402.01</v>
      </c>
      <c r="G290" s="289">
        <v>131402.01</v>
      </c>
      <c r="H290" s="289">
        <f t="shared" si="49"/>
        <v>0</v>
      </c>
      <c r="I290" s="312">
        <v>46042</v>
      </c>
      <c r="J290" s="366" t="s">
        <v>441</v>
      </c>
      <c r="K290" s="366"/>
      <c r="L290" s="341"/>
      <c r="O290" s="272"/>
      <c r="P290" s="240"/>
      <c r="S290" s="240"/>
      <c r="Y290" s="240"/>
      <c r="AB290" s="240"/>
      <c r="AE290" s="240"/>
    </row>
    <row r="291" hidden="1" customHeight="1" spans="1:31">
      <c r="A291" s="296" t="s">
        <v>1438</v>
      </c>
      <c r="B291" s="81" t="s">
        <v>1377</v>
      </c>
      <c r="C291" s="81" t="s">
        <v>159</v>
      </c>
      <c r="D291" s="213">
        <v>27.216</v>
      </c>
      <c r="E291" s="211">
        <v>2449</v>
      </c>
      <c r="F291" s="289">
        <f t="shared" si="50"/>
        <v>66651.984</v>
      </c>
      <c r="G291" s="289">
        <v>66651.984</v>
      </c>
      <c r="H291" s="289">
        <f t="shared" si="49"/>
        <v>0</v>
      </c>
      <c r="I291" s="312">
        <v>46021</v>
      </c>
      <c r="J291" s="366" t="s">
        <v>441</v>
      </c>
      <c r="K291" s="366"/>
      <c r="L291" s="341"/>
      <c r="P291" s="240"/>
      <c r="S291" s="240"/>
      <c r="Y291" s="240"/>
      <c r="AB291" s="240"/>
      <c r="AE291" s="240"/>
    </row>
    <row r="292" hidden="1" customHeight="1" spans="1:31">
      <c r="A292" s="296" t="s">
        <v>1438</v>
      </c>
      <c r="B292" s="81" t="s">
        <v>1377</v>
      </c>
      <c r="C292" s="81" t="s">
        <v>598</v>
      </c>
      <c r="D292" s="213">
        <v>27.27</v>
      </c>
      <c r="E292" s="211">
        <v>2551</v>
      </c>
      <c r="F292" s="289">
        <f t="shared" si="50"/>
        <v>69565.77</v>
      </c>
      <c r="G292" s="289">
        <v>69565.77</v>
      </c>
      <c r="H292" s="289">
        <f t="shared" si="49"/>
        <v>0</v>
      </c>
      <c r="I292" s="312">
        <v>46021</v>
      </c>
      <c r="J292" s="366" t="s">
        <v>441</v>
      </c>
      <c r="K292" s="366"/>
      <c r="L292" s="341"/>
      <c r="P292" s="240"/>
      <c r="S292" s="240"/>
      <c r="Y292" s="240"/>
      <c r="AB292" s="240"/>
      <c r="AE292" s="240"/>
    </row>
    <row r="293" hidden="1" customHeight="1" spans="1:31">
      <c r="A293" s="296" t="s">
        <v>1438</v>
      </c>
      <c r="B293" s="81" t="s">
        <v>1373</v>
      </c>
      <c r="C293" s="81" t="s">
        <v>598</v>
      </c>
      <c r="D293" s="213">
        <v>34.77</v>
      </c>
      <c r="E293" s="211">
        <v>2551</v>
      </c>
      <c r="F293" s="289">
        <f t="shared" si="50"/>
        <v>88698.27</v>
      </c>
      <c r="G293" s="289">
        <v>88698.27</v>
      </c>
      <c r="H293" s="289">
        <f t="shared" si="49"/>
        <v>0</v>
      </c>
      <c r="I293" s="312">
        <v>46042</v>
      </c>
      <c r="J293" s="366" t="s">
        <v>441</v>
      </c>
      <c r="K293" s="366"/>
      <c r="L293" s="341"/>
      <c r="P293" s="240"/>
      <c r="S293" s="240"/>
      <c r="Y293" s="240"/>
      <c r="AB293" s="240"/>
      <c r="AE293" s="240"/>
    </row>
    <row r="294" hidden="1" customHeight="1" spans="1:31">
      <c r="A294" s="296" t="s">
        <v>1438</v>
      </c>
      <c r="B294" s="81" t="s">
        <v>1382</v>
      </c>
      <c r="C294" s="81" t="s">
        <v>598</v>
      </c>
      <c r="D294" s="213">
        <v>7.529</v>
      </c>
      <c r="E294" s="211">
        <v>2551</v>
      </c>
      <c r="F294" s="289">
        <f t="shared" si="50"/>
        <v>19206.479</v>
      </c>
      <c r="G294" s="289">
        <v>19206.479</v>
      </c>
      <c r="H294" s="289">
        <f t="shared" si="49"/>
        <v>0</v>
      </c>
      <c r="I294" s="312">
        <v>46042</v>
      </c>
      <c r="J294" s="366" t="s">
        <v>441</v>
      </c>
      <c r="K294" s="366"/>
      <c r="L294" s="341"/>
      <c r="P294" s="240"/>
      <c r="S294" s="240"/>
      <c r="Y294" s="240"/>
      <c r="AB294" s="240"/>
      <c r="AE294" s="240"/>
    </row>
    <row r="295" hidden="1" customHeight="1" spans="1:31">
      <c r="A295" s="296" t="s">
        <v>1438</v>
      </c>
      <c r="B295" s="81" t="s">
        <v>1378</v>
      </c>
      <c r="C295" s="81" t="s">
        <v>598</v>
      </c>
      <c r="D295" s="213">
        <v>42.228</v>
      </c>
      <c r="E295" s="211">
        <v>2551</v>
      </c>
      <c r="F295" s="289">
        <f t="shared" ref="F295:F306" si="51">D295*E295</f>
        <v>107723.628</v>
      </c>
      <c r="G295" s="289">
        <v>107723.628</v>
      </c>
      <c r="H295" s="289">
        <f t="shared" ref="H295:H305" si="52">F295-G295</f>
        <v>0</v>
      </c>
      <c r="I295" s="312">
        <v>46042</v>
      </c>
      <c r="J295" s="366" t="s">
        <v>441</v>
      </c>
      <c r="K295" s="366"/>
      <c r="L295" s="341"/>
      <c r="P295" s="240"/>
      <c r="S295" s="240"/>
      <c r="Y295" s="240"/>
      <c r="AB295" s="240"/>
      <c r="AE295" s="240"/>
    </row>
    <row r="296" hidden="1" customHeight="1" spans="1:31">
      <c r="A296" s="296" t="s">
        <v>1438</v>
      </c>
      <c r="B296" s="81" t="s">
        <v>1373</v>
      </c>
      <c r="C296" s="81" t="s">
        <v>162</v>
      </c>
      <c r="D296" s="213">
        <v>22.47</v>
      </c>
      <c r="E296" s="211">
        <v>2449</v>
      </c>
      <c r="F296" s="289">
        <f t="shared" si="51"/>
        <v>55029.03</v>
      </c>
      <c r="G296" s="289">
        <v>55029.03</v>
      </c>
      <c r="H296" s="289">
        <f t="shared" si="52"/>
        <v>0</v>
      </c>
      <c r="I296" s="312">
        <v>46042</v>
      </c>
      <c r="J296" s="366" t="s">
        <v>441</v>
      </c>
      <c r="K296" s="366"/>
      <c r="L296" s="341"/>
      <c r="P296" s="240"/>
      <c r="S296" s="240"/>
      <c r="Y296" s="240"/>
      <c r="AB296" s="240"/>
      <c r="AE296" s="240"/>
    </row>
    <row r="297" hidden="1" customHeight="1" spans="1:31">
      <c r="A297" s="296" t="s">
        <v>1438</v>
      </c>
      <c r="B297" s="81" t="s">
        <v>1385</v>
      </c>
      <c r="C297" s="81" t="s">
        <v>162</v>
      </c>
      <c r="D297" s="213">
        <v>81.419</v>
      </c>
      <c r="E297" s="211">
        <v>2449</v>
      </c>
      <c r="F297" s="289">
        <f t="shared" si="51"/>
        <v>199395.131</v>
      </c>
      <c r="G297" s="289">
        <f>199395.13</f>
        <v>199395.13</v>
      </c>
      <c r="H297" s="289">
        <f t="shared" si="52"/>
        <v>0.00099999998928979</v>
      </c>
      <c r="I297" s="312">
        <v>45962</v>
      </c>
      <c r="J297" s="366" t="s">
        <v>441</v>
      </c>
      <c r="K297" s="366"/>
      <c r="L297" s="341"/>
      <c r="P297" s="240"/>
      <c r="S297" s="240"/>
      <c r="Y297" s="240"/>
      <c r="AB297" s="240"/>
      <c r="AE297" s="240"/>
    </row>
    <row r="298" hidden="1" customHeight="1" spans="1:31">
      <c r="A298" s="296" t="s">
        <v>1438</v>
      </c>
      <c r="B298" s="81" t="s">
        <v>1377</v>
      </c>
      <c r="C298" s="81" t="s">
        <v>162</v>
      </c>
      <c r="D298" s="213">
        <v>81.442</v>
      </c>
      <c r="E298" s="211">
        <v>2449</v>
      </c>
      <c r="F298" s="289">
        <f t="shared" si="51"/>
        <v>199451.458</v>
      </c>
      <c r="G298" s="289">
        <v>199451.458</v>
      </c>
      <c r="H298" s="289">
        <f t="shared" si="52"/>
        <v>0</v>
      </c>
      <c r="I298" s="312">
        <v>46021</v>
      </c>
      <c r="J298" s="366" t="s">
        <v>441</v>
      </c>
      <c r="K298" s="366"/>
      <c r="L298" s="341"/>
      <c r="P298" s="240"/>
      <c r="S298" s="240"/>
      <c r="Y298" s="240"/>
      <c r="AB298" s="240"/>
      <c r="AE298" s="240"/>
    </row>
    <row r="299" hidden="1" customHeight="1" spans="1:31">
      <c r="A299" s="296" t="s">
        <v>1438</v>
      </c>
      <c r="B299" s="81" t="s">
        <v>1389</v>
      </c>
      <c r="C299" s="81" t="s">
        <v>592</v>
      </c>
      <c r="D299" s="81">
        <f>58.395-D300-D301</f>
        <v>37.986</v>
      </c>
      <c r="E299" s="211">
        <v>2551</v>
      </c>
      <c r="F299" s="289">
        <f t="shared" si="51"/>
        <v>96902.286</v>
      </c>
      <c r="G299" s="289">
        <v>96902.286</v>
      </c>
      <c r="H299" s="289">
        <f t="shared" si="52"/>
        <v>0</v>
      </c>
      <c r="I299" s="312">
        <v>46042</v>
      </c>
      <c r="J299" s="366" t="s">
        <v>441</v>
      </c>
      <c r="K299" s="366"/>
      <c r="L299" s="341"/>
      <c r="P299" s="240"/>
      <c r="S299" s="240"/>
      <c r="Y299" s="240"/>
      <c r="AB299" s="240"/>
      <c r="AE299" s="240"/>
    </row>
    <row r="300" hidden="1" customHeight="1" spans="1:31">
      <c r="A300" s="296" t="s">
        <v>1438</v>
      </c>
      <c r="B300" s="81" t="s">
        <v>1388</v>
      </c>
      <c r="C300" s="81" t="s">
        <v>592</v>
      </c>
      <c r="D300" s="81">
        <v>11.688</v>
      </c>
      <c r="E300" s="211">
        <v>2551</v>
      </c>
      <c r="F300" s="289">
        <f t="shared" si="51"/>
        <v>29816.088</v>
      </c>
      <c r="G300" s="289">
        <v>29816.088</v>
      </c>
      <c r="H300" s="289">
        <f t="shared" si="52"/>
        <v>0</v>
      </c>
      <c r="I300" s="312">
        <v>46042</v>
      </c>
      <c r="J300" s="366" t="s">
        <v>441</v>
      </c>
      <c r="K300" s="366"/>
      <c r="L300" s="341"/>
      <c r="P300" s="240"/>
      <c r="S300" s="240"/>
      <c r="Y300" s="240"/>
      <c r="AB300" s="240"/>
      <c r="AE300" s="240"/>
    </row>
    <row r="301" hidden="1" customHeight="1" spans="1:31">
      <c r="A301" s="296" t="s">
        <v>1438</v>
      </c>
      <c r="B301" s="81" t="s">
        <v>1388</v>
      </c>
      <c r="C301" s="81" t="s">
        <v>592</v>
      </c>
      <c r="D301" s="81">
        <v>8.721</v>
      </c>
      <c r="E301" s="211">
        <v>2551</v>
      </c>
      <c r="F301" s="289">
        <f t="shared" si="51"/>
        <v>22247.271</v>
      </c>
      <c r="G301" s="289">
        <v>22247.271</v>
      </c>
      <c r="H301" s="289">
        <f t="shared" si="52"/>
        <v>0</v>
      </c>
      <c r="I301" s="312">
        <v>46042</v>
      </c>
      <c r="J301" s="366" t="s">
        <v>441</v>
      </c>
      <c r="K301" s="366"/>
      <c r="L301" s="341"/>
      <c r="P301" s="240"/>
      <c r="S301" s="240"/>
      <c r="Y301" s="240"/>
      <c r="AB301" s="240"/>
      <c r="AE301" s="240"/>
    </row>
    <row r="302" hidden="1" customHeight="1" spans="1:31">
      <c r="A302" s="296" t="s">
        <v>1438</v>
      </c>
      <c r="B302" s="81" t="s">
        <v>1389</v>
      </c>
      <c r="C302" s="81" t="s">
        <v>594</v>
      </c>
      <c r="D302" s="81">
        <v>21.21</v>
      </c>
      <c r="E302" s="211">
        <v>2551</v>
      </c>
      <c r="F302" s="289">
        <f t="shared" si="51"/>
        <v>54106.71</v>
      </c>
      <c r="G302" s="289">
        <v>54106.71</v>
      </c>
      <c r="H302" s="289">
        <f t="shared" si="52"/>
        <v>0</v>
      </c>
      <c r="I302" s="312">
        <v>46042</v>
      </c>
      <c r="J302" s="366" t="s">
        <v>441</v>
      </c>
      <c r="K302" s="366"/>
      <c r="L302" s="341"/>
      <c r="P302" s="240"/>
      <c r="S302" s="240"/>
      <c r="Y302" s="240"/>
      <c r="AB302" s="240"/>
      <c r="AE302" s="240"/>
    </row>
    <row r="303" hidden="1" customHeight="1" spans="1:31">
      <c r="A303" s="296" t="s">
        <v>1438</v>
      </c>
      <c r="B303" s="81" t="s">
        <v>1387</v>
      </c>
      <c r="C303" s="81" t="s">
        <v>594</v>
      </c>
      <c r="D303" s="81">
        <v>8.622</v>
      </c>
      <c r="E303" s="211">
        <v>2551</v>
      </c>
      <c r="F303" s="289">
        <f t="shared" si="51"/>
        <v>21994.722</v>
      </c>
      <c r="G303" s="289">
        <v>21994.722</v>
      </c>
      <c r="H303" s="289">
        <f t="shared" si="52"/>
        <v>0</v>
      </c>
      <c r="I303" s="312">
        <v>46042</v>
      </c>
      <c r="J303" s="366" t="s">
        <v>441</v>
      </c>
      <c r="K303" s="366"/>
      <c r="L303" s="341"/>
      <c r="P303" s="240"/>
      <c r="S303" s="240"/>
      <c r="Y303" s="240"/>
      <c r="AB303" s="240"/>
      <c r="AE303" s="240"/>
    </row>
    <row r="304" ht="14.4" hidden="1" spans="1:31">
      <c r="A304" s="296" t="s">
        <v>1438</v>
      </c>
      <c r="B304" s="81" t="s">
        <v>1389</v>
      </c>
      <c r="C304" s="81" t="s">
        <v>159</v>
      </c>
      <c r="D304" s="213">
        <f>23.518-D305</f>
        <v>12.934</v>
      </c>
      <c r="E304" s="211">
        <v>2449</v>
      </c>
      <c r="F304" s="289">
        <f t="shared" si="51"/>
        <v>31675.366</v>
      </c>
      <c r="G304" s="289">
        <v>31675.366</v>
      </c>
      <c r="H304" s="289">
        <f t="shared" si="52"/>
        <v>0</v>
      </c>
      <c r="I304" s="312">
        <v>46042</v>
      </c>
      <c r="J304" s="366" t="s">
        <v>441</v>
      </c>
      <c r="K304" s="366"/>
      <c r="L304" s="341"/>
      <c r="P304" s="240"/>
      <c r="S304" s="240"/>
      <c r="Y304" s="240"/>
      <c r="AB304" s="240"/>
      <c r="AE304" s="240"/>
    </row>
    <row r="305" ht="14.4" hidden="1" spans="1:31">
      <c r="A305" s="296" t="s">
        <v>1438</v>
      </c>
      <c r="B305" s="81" t="s">
        <v>1388</v>
      </c>
      <c r="C305" s="81" t="s">
        <v>159</v>
      </c>
      <c r="D305" s="213">
        <v>10.584</v>
      </c>
      <c r="E305" s="211">
        <v>2449</v>
      </c>
      <c r="F305" s="289">
        <f t="shared" si="51"/>
        <v>25920.216</v>
      </c>
      <c r="G305" s="289">
        <v>25920.216</v>
      </c>
      <c r="H305" s="289">
        <f t="shared" si="52"/>
        <v>0</v>
      </c>
      <c r="I305" s="312">
        <v>46042</v>
      </c>
      <c r="J305" s="366" t="s">
        <v>441</v>
      </c>
      <c r="K305" s="366"/>
      <c r="L305" s="341"/>
      <c r="P305" s="240"/>
      <c r="S305" s="240"/>
      <c r="Y305" s="240"/>
      <c r="AB305" s="240"/>
      <c r="AE305" s="240"/>
    </row>
    <row r="306" hidden="1" customHeight="1" spans="1:31">
      <c r="A306" s="296" t="s">
        <v>1438</v>
      </c>
      <c r="B306" s="81" t="s">
        <v>609</v>
      </c>
      <c r="C306" s="81" t="s">
        <v>162</v>
      </c>
      <c r="D306" s="213">
        <v>27.285</v>
      </c>
      <c r="E306" s="211">
        <v>2449</v>
      </c>
      <c r="F306" s="289">
        <f t="shared" si="51"/>
        <v>66820.965</v>
      </c>
      <c r="G306" s="289">
        <v>66820.965</v>
      </c>
      <c r="H306" s="289">
        <f t="shared" ref="H306:H327" si="53">F306-G306</f>
        <v>0</v>
      </c>
      <c r="I306" s="312">
        <v>46042</v>
      </c>
      <c r="J306" s="366" t="s">
        <v>1455</v>
      </c>
      <c r="K306" s="366"/>
      <c r="L306" s="341"/>
      <c r="P306" s="240"/>
      <c r="S306" s="240"/>
      <c r="Y306" s="240"/>
      <c r="AB306" s="240"/>
      <c r="AE306" s="240"/>
    </row>
    <row r="307" hidden="1" customHeight="1" spans="1:31">
      <c r="A307" s="345" t="s">
        <v>1367</v>
      </c>
      <c r="B307" s="345" t="s">
        <v>734</v>
      </c>
      <c r="C307" s="345" t="s">
        <v>87</v>
      </c>
      <c r="D307" s="345">
        <v>1136670</v>
      </c>
      <c r="E307" s="345">
        <v>0.15705</v>
      </c>
      <c r="F307" s="306">
        <f t="shared" ref="F307:F309" si="54">D307*E307</f>
        <v>178514.0235</v>
      </c>
      <c r="G307" s="306">
        <f>54653.4+123860.62</f>
        <v>178514.02</v>
      </c>
      <c r="H307" s="297">
        <f t="shared" si="53"/>
        <v>0.0034999999916181</v>
      </c>
      <c r="I307" s="371">
        <v>45917</v>
      </c>
      <c r="J307" s="309" t="s">
        <v>441</v>
      </c>
      <c r="K307" s="330"/>
      <c r="L307" s="372"/>
      <c r="O307" s="240">
        <f>1258268+1386882</f>
        <v>2645150</v>
      </c>
      <c r="P307" s="240"/>
      <c r="S307" s="240"/>
      <c r="Y307" s="240"/>
      <c r="AB307" s="240"/>
      <c r="AE307" s="240"/>
    </row>
    <row r="308" hidden="1" customHeight="1" spans="1:31">
      <c r="A308" s="345" t="s">
        <v>1367</v>
      </c>
      <c r="B308" s="345" t="s">
        <v>736</v>
      </c>
      <c r="C308" s="345" t="s">
        <v>87</v>
      </c>
      <c r="D308" s="345">
        <v>1160000</v>
      </c>
      <c r="E308" s="345">
        <v>0.15705</v>
      </c>
      <c r="F308" s="306">
        <f t="shared" si="54"/>
        <v>182178</v>
      </c>
      <c r="G308" s="306">
        <v>182178</v>
      </c>
      <c r="H308" s="297">
        <f t="shared" si="53"/>
        <v>0</v>
      </c>
      <c r="I308" s="308">
        <v>45955</v>
      </c>
      <c r="J308" s="293" t="s">
        <v>441</v>
      </c>
      <c r="K308" s="332"/>
      <c r="L308" s="332"/>
      <c r="P308" s="240"/>
      <c r="S308" s="240"/>
      <c r="Y308" s="240"/>
      <c r="AB308" s="240"/>
      <c r="AE308" s="240"/>
    </row>
    <row r="309" hidden="1" customHeight="1" spans="1:31">
      <c r="A309" s="345" t="s">
        <v>1367</v>
      </c>
      <c r="B309" s="345" t="s">
        <v>737</v>
      </c>
      <c r="C309" s="345" t="s">
        <v>87</v>
      </c>
      <c r="D309" s="345">
        <v>1160000</v>
      </c>
      <c r="E309" s="345">
        <v>0.15705</v>
      </c>
      <c r="F309" s="306">
        <f t="shared" si="54"/>
        <v>182178</v>
      </c>
      <c r="G309" s="306">
        <v>182178</v>
      </c>
      <c r="H309" s="297">
        <f t="shared" si="53"/>
        <v>0</v>
      </c>
      <c r="I309" s="308">
        <v>45986</v>
      </c>
      <c r="J309" s="190" t="s">
        <v>90</v>
      </c>
      <c r="K309" s="332"/>
      <c r="L309" s="332"/>
      <c r="P309" s="240"/>
      <c r="S309" s="240"/>
      <c r="Y309" s="240"/>
      <c r="AB309" s="240"/>
      <c r="AE309" s="240"/>
    </row>
    <row r="310" customHeight="1" spans="1:31">
      <c r="A310" s="190" t="s">
        <v>93</v>
      </c>
      <c r="B310" s="190" t="s">
        <v>738</v>
      </c>
      <c r="C310" s="76" t="s">
        <v>739</v>
      </c>
      <c r="D310" s="264">
        <v>696000</v>
      </c>
      <c r="E310" s="373">
        <v>0.224</v>
      </c>
      <c r="F310" s="253">
        <f t="shared" ref="F310:F322" si="55">D310*E310</f>
        <v>155904</v>
      </c>
      <c r="G310" s="306">
        <v>155904</v>
      </c>
      <c r="H310" s="297">
        <f t="shared" si="53"/>
        <v>0</v>
      </c>
      <c r="I310" s="254">
        <v>45950</v>
      </c>
      <c r="J310" s="309" t="s">
        <v>441</v>
      </c>
      <c r="K310" s="302"/>
      <c r="L310" s="333"/>
      <c r="P310" s="240"/>
      <c r="S310" s="240"/>
      <c r="Y310" s="240"/>
      <c r="AB310" s="240"/>
      <c r="AE310" s="240"/>
    </row>
    <row r="311" customHeight="1" spans="1:31">
      <c r="A311" s="293" t="s">
        <v>93</v>
      </c>
      <c r="B311" s="293" t="s">
        <v>738</v>
      </c>
      <c r="C311" s="224" t="s">
        <v>742</v>
      </c>
      <c r="D311" s="374">
        <v>601920</v>
      </c>
      <c r="E311" s="375">
        <v>0.1695</v>
      </c>
      <c r="F311" s="276">
        <f t="shared" si="55"/>
        <v>102025.44</v>
      </c>
      <c r="G311" s="306">
        <v>102025.44</v>
      </c>
      <c r="H311" s="297">
        <f t="shared" si="53"/>
        <v>0</v>
      </c>
      <c r="I311" s="308">
        <v>45950</v>
      </c>
      <c r="J311" s="309" t="s">
        <v>441</v>
      </c>
      <c r="K311" s="302"/>
      <c r="L311" s="332"/>
      <c r="P311" s="240"/>
      <c r="S311" s="240"/>
      <c r="Y311" s="240"/>
      <c r="AB311" s="240"/>
      <c r="AE311" s="240"/>
    </row>
    <row r="312" customHeight="1" spans="1:31">
      <c r="A312" s="293" t="s">
        <v>93</v>
      </c>
      <c r="B312" s="190" t="s">
        <v>1456</v>
      </c>
      <c r="C312" s="76" t="s">
        <v>1457</v>
      </c>
      <c r="D312" s="368">
        <v>27.566</v>
      </c>
      <c r="E312" s="129">
        <v>6050</v>
      </c>
      <c r="F312" s="114">
        <f t="shared" si="55"/>
        <v>166774.3</v>
      </c>
      <c r="G312" s="306">
        <f>147015+14701.5+3932.5+1125.29999999999</f>
        <v>166774.3</v>
      </c>
      <c r="H312" s="376">
        <f t="shared" si="53"/>
        <v>0</v>
      </c>
      <c r="I312" s="254">
        <v>45976</v>
      </c>
      <c r="J312" s="190"/>
      <c r="K312" s="190"/>
      <c r="L312" s="333"/>
      <c r="P312" s="240"/>
      <c r="S312" s="240"/>
      <c r="Y312" s="240"/>
      <c r="AB312" s="240"/>
      <c r="AE312" s="240"/>
    </row>
    <row r="313" customHeight="1" spans="1:31">
      <c r="A313" s="293" t="s">
        <v>93</v>
      </c>
      <c r="B313" s="190" t="s">
        <v>1456</v>
      </c>
      <c r="C313" s="76" t="s">
        <v>750</v>
      </c>
      <c r="D313" s="368">
        <v>27.536</v>
      </c>
      <c r="E313" s="129">
        <v>6050</v>
      </c>
      <c r="F313" s="114">
        <f t="shared" si="55"/>
        <v>166592.8</v>
      </c>
      <c r="G313" s="306">
        <f>147015+14701.5+21023.75-1125.29999999999-15022.15</f>
        <v>166592.8</v>
      </c>
      <c r="H313" s="376">
        <f t="shared" si="53"/>
        <v>0</v>
      </c>
      <c r="I313" s="254">
        <v>45976</v>
      </c>
      <c r="J313" s="190"/>
      <c r="K313" s="190"/>
      <c r="L313" s="333"/>
      <c r="P313" s="240"/>
      <c r="S313" s="240"/>
      <c r="Y313" s="240"/>
      <c r="AB313" s="240"/>
      <c r="AE313" s="240"/>
    </row>
    <row r="314" customHeight="1" spans="1:31">
      <c r="A314" s="293" t="s">
        <v>93</v>
      </c>
      <c r="B314" s="190" t="s">
        <v>1458</v>
      </c>
      <c r="C314" s="76" t="s">
        <v>750</v>
      </c>
      <c r="D314" s="368">
        <f>30.582-D313</f>
        <v>3.046</v>
      </c>
      <c r="E314" s="129">
        <v>6050</v>
      </c>
      <c r="F314" s="114">
        <f t="shared" si="55"/>
        <v>18428.3</v>
      </c>
      <c r="G314" s="306">
        <f>15022.15+3406.15</f>
        <v>18428.3</v>
      </c>
      <c r="H314" s="297">
        <f t="shared" si="53"/>
        <v>0</v>
      </c>
      <c r="I314" s="254">
        <v>45976</v>
      </c>
      <c r="J314" s="190"/>
      <c r="K314" s="190"/>
      <c r="L314" s="333"/>
      <c r="N314" s="377"/>
      <c r="P314" s="240"/>
      <c r="S314" s="240"/>
      <c r="Y314" s="240"/>
      <c r="AB314" s="240"/>
      <c r="AE314" s="240"/>
    </row>
    <row r="315" customHeight="1" spans="1:31">
      <c r="A315" s="293" t="s">
        <v>93</v>
      </c>
      <c r="B315" s="190" t="s">
        <v>1459</v>
      </c>
      <c r="C315" s="76" t="s">
        <v>752</v>
      </c>
      <c r="D315" s="129">
        <v>31.979</v>
      </c>
      <c r="E315" s="129">
        <v>6200</v>
      </c>
      <c r="F315" s="114">
        <f t="shared" si="55"/>
        <v>198269.8</v>
      </c>
      <c r="G315" s="306">
        <f>150660+15066+23928.4+1576.75+7038.64999999999</f>
        <v>198269.8</v>
      </c>
      <c r="H315" s="297">
        <f t="shared" si="53"/>
        <v>0</v>
      </c>
      <c r="I315" s="254">
        <v>45976</v>
      </c>
      <c r="J315" s="190"/>
      <c r="K315" s="190"/>
      <c r="L315" s="333"/>
      <c r="P315" s="240"/>
      <c r="S315" s="240"/>
      <c r="Y315" s="240"/>
      <c r="AB315" s="240"/>
      <c r="AE315" s="240"/>
    </row>
    <row r="316" customHeight="1" spans="1:31">
      <c r="A316" s="293" t="s">
        <v>93</v>
      </c>
      <c r="B316" s="190" t="s">
        <v>1458</v>
      </c>
      <c r="C316" s="76" t="s">
        <v>753</v>
      </c>
      <c r="D316" s="368">
        <v>95.587</v>
      </c>
      <c r="E316" s="129">
        <v>6050</v>
      </c>
      <c r="F316" s="114">
        <f t="shared" si="55"/>
        <v>578301.35</v>
      </c>
      <c r="G316" s="306">
        <f>588060+58806+43348.25-111912.9</f>
        <v>578301.35</v>
      </c>
      <c r="H316" s="376">
        <f t="shared" si="53"/>
        <v>0</v>
      </c>
      <c r="I316" s="254">
        <v>45976</v>
      </c>
      <c r="J316" s="190"/>
      <c r="K316" s="190"/>
      <c r="L316" s="333"/>
      <c r="N316" s="377"/>
      <c r="P316" s="240"/>
      <c r="S316" s="240"/>
      <c r="Y316" s="240"/>
      <c r="AB316" s="240"/>
      <c r="AE316" s="240"/>
    </row>
    <row r="317" customHeight="1" spans="1:31">
      <c r="A317" s="293" t="s">
        <v>93</v>
      </c>
      <c r="B317" s="190" t="s">
        <v>1460</v>
      </c>
      <c r="C317" s="76" t="s">
        <v>753</v>
      </c>
      <c r="D317" s="368">
        <v>18.799</v>
      </c>
      <c r="E317" s="129">
        <v>6050</v>
      </c>
      <c r="F317" s="114">
        <f t="shared" si="55"/>
        <v>113733.95</v>
      </c>
      <c r="G317" s="306">
        <f>111912.9+1821.05</f>
        <v>113733.95</v>
      </c>
      <c r="H317" s="297">
        <f t="shared" si="53"/>
        <v>0</v>
      </c>
      <c r="I317" s="254">
        <v>45976</v>
      </c>
      <c r="J317" s="190"/>
      <c r="K317" s="190"/>
      <c r="L317" s="333"/>
      <c r="N317" s="377" t="s">
        <v>1461</v>
      </c>
      <c r="P317" s="240"/>
      <c r="S317" s="240"/>
      <c r="Y317" s="240"/>
      <c r="AB317" s="240"/>
      <c r="AE317" s="240"/>
    </row>
    <row r="318" customHeight="1" spans="1:31">
      <c r="A318" s="293" t="s">
        <v>93</v>
      </c>
      <c r="B318" s="190" t="s">
        <v>1459</v>
      </c>
      <c r="C318" s="76" t="s">
        <v>757</v>
      </c>
      <c r="D318" s="129">
        <v>76.7</v>
      </c>
      <c r="E318" s="129">
        <v>5760</v>
      </c>
      <c r="F318" s="114">
        <f t="shared" si="55"/>
        <v>441792</v>
      </c>
      <c r="G318" s="306">
        <f>699840+69984-328032</f>
        <v>441792</v>
      </c>
      <c r="H318" s="297">
        <f t="shared" si="53"/>
        <v>0</v>
      </c>
      <c r="I318" s="254">
        <v>45976</v>
      </c>
      <c r="J318" s="190"/>
      <c r="K318" s="190"/>
      <c r="L318" s="333"/>
      <c r="P318" s="240"/>
      <c r="S318" s="240"/>
      <c r="Y318" s="240"/>
      <c r="AB318" s="240"/>
      <c r="AE318" s="240"/>
    </row>
    <row r="319" customHeight="1" spans="1:31">
      <c r="A319" s="293" t="s">
        <v>93</v>
      </c>
      <c r="B319" s="190" t="s">
        <v>1456</v>
      </c>
      <c r="C319" s="76" t="s">
        <v>757</v>
      </c>
      <c r="D319" s="129">
        <v>55.224</v>
      </c>
      <c r="E319" s="129">
        <v>5760</v>
      </c>
      <c r="F319" s="114">
        <f t="shared" si="55"/>
        <v>318090.24</v>
      </c>
      <c r="G319" s="306">
        <f>328032-9941.76000000001</f>
        <v>318090.24</v>
      </c>
      <c r="H319" s="297">
        <f t="shared" si="53"/>
        <v>0</v>
      </c>
      <c r="I319" s="254">
        <v>45976</v>
      </c>
      <c r="J319" s="190"/>
      <c r="K319" s="190"/>
      <c r="L319" s="333"/>
      <c r="P319" s="240"/>
      <c r="S319" s="240"/>
      <c r="Y319" s="240"/>
      <c r="AB319" s="240"/>
      <c r="AE319" s="240"/>
    </row>
    <row r="320" customHeight="1" spans="1:31">
      <c r="A320" s="293" t="s">
        <v>93</v>
      </c>
      <c r="B320" s="190" t="s">
        <v>1458</v>
      </c>
      <c r="C320" s="76" t="s">
        <v>757</v>
      </c>
      <c r="D320" s="129">
        <v>7.846</v>
      </c>
      <c r="E320" s="129">
        <v>5760</v>
      </c>
      <c r="F320" s="114">
        <f t="shared" si="55"/>
        <v>45192.96</v>
      </c>
      <c r="G320" s="306">
        <f>9941.76000000001+35251.2</f>
        <v>45192.96</v>
      </c>
      <c r="H320" s="297">
        <f t="shared" si="53"/>
        <v>0</v>
      </c>
      <c r="I320" s="254">
        <v>45976</v>
      </c>
      <c r="J320" s="190"/>
      <c r="K320" s="190"/>
      <c r="L320" s="333"/>
      <c r="N320" s="377"/>
      <c r="P320" s="240"/>
      <c r="S320" s="240"/>
      <c r="Y320" s="240"/>
      <c r="AB320" s="240"/>
      <c r="AE320" s="240"/>
    </row>
    <row r="321" customHeight="1" spans="1:31">
      <c r="A321" s="190" t="s">
        <v>93</v>
      </c>
      <c r="B321" s="190" t="s">
        <v>1460</v>
      </c>
      <c r="C321" s="76" t="s">
        <v>758</v>
      </c>
      <c r="D321" s="368">
        <v>28.054</v>
      </c>
      <c r="E321" s="129">
        <v>5760</v>
      </c>
      <c r="F321" s="114">
        <f t="shared" si="55"/>
        <v>161591.04</v>
      </c>
      <c r="G321" s="306">
        <f>139968+13996.8+7228.80000000002+397.439999999973</f>
        <v>161591.04</v>
      </c>
      <c r="H321" s="378">
        <f t="shared" si="53"/>
        <v>0</v>
      </c>
      <c r="I321" s="254">
        <v>45976</v>
      </c>
      <c r="J321" s="190"/>
      <c r="K321" s="190"/>
      <c r="L321" s="333"/>
      <c r="N321" s="377" t="s">
        <v>1462</v>
      </c>
      <c r="P321" s="240"/>
      <c r="S321" s="240"/>
      <c r="Y321" s="240"/>
      <c r="AB321" s="240"/>
      <c r="AE321" s="240"/>
    </row>
    <row r="322" hidden="1" customHeight="1" spans="1:31">
      <c r="A322" s="296" t="s">
        <v>1438</v>
      </c>
      <c r="B322" s="81" t="s">
        <v>1387</v>
      </c>
      <c r="C322" s="81" t="s">
        <v>162</v>
      </c>
      <c r="D322" s="379">
        <v>26.134</v>
      </c>
      <c r="E322" s="211">
        <v>2449</v>
      </c>
      <c r="F322" s="289">
        <f t="shared" si="55"/>
        <v>64002.166</v>
      </c>
      <c r="G322" s="306">
        <v>64002.166</v>
      </c>
      <c r="H322" s="289">
        <f t="shared" si="53"/>
        <v>0</v>
      </c>
      <c r="I322" s="312">
        <v>46042</v>
      </c>
      <c r="J322" s="366" t="s">
        <v>441</v>
      </c>
      <c r="K322" s="330"/>
      <c r="L322" s="332"/>
      <c r="N322" s="377"/>
      <c r="P322" s="240"/>
      <c r="S322" s="240"/>
      <c r="Y322" s="240"/>
      <c r="AB322" s="240"/>
      <c r="AE322" s="240"/>
    </row>
    <row r="323" hidden="1" customHeight="1" spans="1:31">
      <c r="A323" s="295" t="s">
        <v>1438</v>
      </c>
      <c r="B323" s="293"/>
      <c r="C323" s="224" t="s">
        <v>1463</v>
      </c>
      <c r="D323" s="293">
        <v>7</v>
      </c>
      <c r="E323" s="380">
        <v>38775.5102040816</v>
      </c>
      <c r="F323" s="276">
        <f>E323*D323</f>
        <v>271428.571428571</v>
      </c>
      <c r="G323" s="276">
        <f>174489.8+96938.7714285712</f>
        <v>271428.571428571</v>
      </c>
      <c r="H323" s="276">
        <f t="shared" si="53"/>
        <v>0</v>
      </c>
      <c r="I323" s="308">
        <v>45945</v>
      </c>
      <c r="J323" s="293"/>
      <c r="K323" s="332"/>
      <c r="L323" s="332"/>
      <c r="P323" s="240"/>
      <c r="S323" s="240"/>
      <c r="Y323" s="240"/>
      <c r="AB323" s="240"/>
      <c r="AE323" s="240"/>
    </row>
    <row r="324" customHeight="1" spans="1:31">
      <c r="A324" s="190" t="s">
        <v>93</v>
      </c>
      <c r="B324" s="76" t="s">
        <v>1464</v>
      </c>
      <c r="C324" s="76" t="s">
        <v>769</v>
      </c>
      <c r="D324" s="129">
        <v>53.241</v>
      </c>
      <c r="E324" s="129">
        <v>6030</v>
      </c>
      <c r="F324" s="114">
        <f t="shared" ref="F324:F327" si="56">D324*E324</f>
        <v>321043.23</v>
      </c>
      <c r="G324" s="253">
        <v>321043.23</v>
      </c>
      <c r="H324" s="381">
        <f t="shared" si="53"/>
        <v>0</v>
      </c>
      <c r="I324" s="254">
        <v>46004</v>
      </c>
      <c r="J324" s="333"/>
      <c r="K324" s="190"/>
      <c r="L324" s="333"/>
    </row>
    <row r="325" customHeight="1" spans="1:31">
      <c r="A325" s="190" t="s">
        <v>93</v>
      </c>
      <c r="B325" s="76" t="s">
        <v>760</v>
      </c>
      <c r="C325" s="76" t="s">
        <v>1465</v>
      </c>
      <c r="D325" s="368">
        <v>1.4</v>
      </c>
      <c r="E325" s="129">
        <v>5600</v>
      </c>
      <c r="F325" s="114">
        <f t="shared" si="56"/>
        <v>7840</v>
      </c>
      <c r="G325" s="253">
        <v>7840</v>
      </c>
      <c r="H325" s="381">
        <f t="shared" si="53"/>
        <v>0</v>
      </c>
      <c r="I325" s="254">
        <v>46004</v>
      </c>
      <c r="J325" s="333"/>
      <c r="K325" s="190"/>
      <c r="L325" s="333"/>
    </row>
    <row r="326" customHeight="1" spans="1:31">
      <c r="A326" s="190" t="s">
        <v>93</v>
      </c>
      <c r="B326" s="76" t="s">
        <v>1464</v>
      </c>
      <c r="C326" s="76" t="s">
        <v>1465</v>
      </c>
      <c r="D326" s="129">
        <v>1.4</v>
      </c>
      <c r="E326" s="129">
        <v>5600</v>
      </c>
      <c r="F326" s="114">
        <f t="shared" si="56"/>
        <v>7840</v>
      </c>
      <c r="G326" s="253">
        <v>7840</v>
      </c>
      <c r="H326" s="381">
        <f t="shared" si="53"/>
        <v>0</v>
      </c>
      <c r="I326" s="254">
        <v>46004</v>
      </c>
      <c r="J326" s="333"/>
      <c r="K326" s="190"/>
      <c r="L326" s="333"/>
    </row>
    <row r="327" customHeight="1" spans="1:31">
      <c r="A327" s="190" t="s">
        <v>93</v>
      </c>
      <c r="B327" s="76" t="s">
        <v>1466</v>
      </c>
      <c r="C327" s="76" t="s">
        <v>1465</v>
      </c>
      <c r="D327" s="129">
        <f>5.6-1.4</f>
        <v>4.2</v>
      </c>
      <c r="E327" s="129">
        <v>5600</v>
      </c>
      <c r="F327" s="114">
        <f t="shared" si="56"/>
        <v>23520</v>
      </c>
      <c r="G327" s="253">
        <v>23520</v>
      </c>
      <c r="H327" s="381">
        <f t="shared" si="53"/>
        <v>0</v>
      </c>
      <c r="I327" s="254">
        <v>46004</v>
      </c>
      <c r="J327" s="333"/>
      <c r="K327" s="190"/>
      <c r="L327" s="333"/>
      <c r="N327" s="240" t="s">
        <v>1467</v>
      </c>
    </row>
    <row r="328" hidden="1" customHeight="1" spans="1:31">
      <c r="A328" s="190" t="s">
        <v>1367</v>
      </c>
      <c r="B328" s="190" t="s">
        <v>486</v>
      </c>
      <c r="C328" s="113" t="s">
        <v>471</v>
      </c>
      <c r="D328" s="76">
        <f t="shared" ref="D328:D335" si="57">1960400*2</f>
        <v>3920800</v>
      </c>
      <c r="E328" s="190">
        <v>0.123</v>
      </c>
      <c r="F328" s="253">
        <f t="shared" ref="F328:F337" si="58">E328*D328</f>
        <v>482258.4</v>
      </c>
      <c r="G328" s="253">
        <v>482258.4</v>
      </c>
      <c r="H328" s="253">
        <f t="shared" ref="H328:H337" si="59">F328-G328</f>
        <v>0</v>
      </c>
      <c r="I328" s="254">
        <v>45955</v>
      </c>
      <c r="J328" s="190" t="s">
        <v>441</v>
      </c>
      <c r="K328" s="333"/>
      <c r="L328" s="333"/>
    </row>
    <row r="329" hidden="1" customHeight="1" spans="1:31">
      <c r="A329" s="190" t="s">
        <v>1367</v>
      </c>
      <c r="B329" s="190" t="s">
        <v>488</v>
      </c>
      <c r="C329" s="113" t="s">
        <v>471</v>
      </c>
      <c r="D329" s="76">
        <f t="shared" si="57"/>
        <v>3920800</v>
      </c>
      <c r="E329" s="190">
        <v>0.123</v>
      </c>
      <c r="F329" s="253">
        <f t="shared" si="58"/>
        <v>482258.4</v>
      </c>
      <c r="G329" s="253">
        <f>218458.94+263799.46</f>
        <v>482258.4</v>
      </c>
      <c r="H329" s="253">
        <f t="shared" si="59"/>
        <v>0</v>
      </c>
      <c r="I329" s="254">
        <v>45966</v>
      </c>
      <c r="J329" s="190" t="s">
        <v>90</v>
      </c>
      <c r="K329" s="333"/>
      <c r="L329" s="333"/>
    </row>
    <row r="330" hidden="1" customHeight="1" spans="1:31">
      <c r="A330" s="190" t="s">
        <v>1367</v>
      </c>
      <c r="B330" s="190" t="s">
        <v>489</v>
      </c>
      <c r="C330" s="113" t="s">
        <v>471</v>
      </c>
      <c r="D330" s="76">
        <f t="shared" si="57"/>
        <v>3920800</v>
      </c>
      <c r="E330" s="190">
        <v>0.123</v>
      </c>
      <c r="F330" s="253">
        <f t="shared" si="58"/>
        <v>482258.4</v>
      </c>
      <c r="G330" s="253">
        <v>482258.4</v>
      </c>
      <c r="H330" s="253">
        <f t="shared" si="59"/>
        <v>0</v>
      </c>
      <c r="I330" s="254">
        <v>46050</v>
      </c>
      <c r="J330" s="190" t="s">
        <v>90</v>
      </c>
      <c r="K330" s="333"/>
      <c r="L330" s="333"/>
    </row>
    <row r="331" hidden="1" customHeight="1" spans="1:31">
      <c r="A331" s="190" t="s">
        <v>1367</v>
      </c>
      <c r="B331" s="190" t="s">
        <v>490</v>
      </c>
      <c r="C331" s="113" t="s">
        <v>471</v>
      </c>
      <c r="D331" s="76">
        <f t="shared" si="57"/>
        <v>3920800</v>
      </c>
      <c r="E331" s="190">
        <v>0.123</v>
      </c>
      <c r="F331" s="253">
        <f t="shared" si="58"/>
        <v>482258.4</v>
      </c>
      <c r="G331" s="253">
        <v>482258.4</v>
      </c>
      <c r="H331" s="253">
        <f t="shared" si="59"/>
        <v>0</v>
      </c>
      <c r="I331" s="254">
        <v>46088</v>
      </c>
      <c r="J331" s="190" t="s">
        <v>441</v>
      </c>
      <c r="K331" s="333"/>
      <c r="L331" s="333"/>
    </row>
    <row r="332" hidden="1" customHeight="1" spans="1:31">
      <c r="A332" s="190" t="s">
        <v>1367</v>
      </c>
      <c r="B332" s="190" t="s">
        <v>492</v>
      </c>
      <c r="C332" s="113" t="s">
        <v>471</v>
      </c>
      <c r="D332" s="76">
        <f t="shared" si="57"/>
        <v>3920800</v>
      </c>
      <c r="E332" s="190">
        <v>0.123</v>
      </c>
      <c r="F332" s="253">
        <f t="shared" si="58"/>
        <v>482258.4</v>
      </c>
      <c r="G332" s="253">
        <v>482258.4</v>
      </c>
      <c r="H332" s="253">
        <f t="shared" si="59"/>
        <v>0</v>
      </c>
      <c r="I332" s="254">
        <v>46119</v>
      </c>
      <c r="J332" s="190"/>
      <c r="K332" s="333"/>
      <c r="L332" s="333"/>
    </row>
    <row r="333" hidden="1" customHeight="1" spans="1:31">
      <c r="A333" s="190" t="s">
        <v>1367</v>
      </c>
      <c r="B333" s="190" t="s">
        <v>494</v>
      </c>
      <c r="C333" s="113" t="s">
        <v>471</v>
      </c>
      <c r="D333" s="76">
        <f>1960400*3</f>
        <v>5881200</v>
      </c>
      <c r="E333" s="190">
        <v>0.123</v>
      </c>
      <c r="F333" s="253">
        <f t="shared" si="58"/>
        <v>723387.6</v>
      </c>
      <c r="G333" s="253">
        <v>723387.6</v>
      </c>
      <c r="H333" s="253">
        <f t="shared" si="59"/>
        <v>0</v>
      </c>
      <c r="I333" s="254">
        <v>46140</v>
      </c>
      <c r="J333" s="190"/>
      <c r="K333" s="333"/>
      <c r="L333" s="333"/>
    </row>
    <row r="334" hidden="1" customHeight="1" spans="1:31">
      <c r="A334" s="190" t="s">
        <v>1367</v>
      </c>
      <c r="B334" s="190" t="s">
        <v>496</v>
      </c>
      <c r="C334" s="113" t="s">
        <v>471</v>
      </c>
      <c r="D334" s="76">
        <f>1960400</f>
        <v>1960400</v>
      </c>
      <c r="E334" s="190">
        <v>0.12764</v>
      </c>
      <c r="F334" s="253">
        <f t="shared" si="58"/>
        <v>250225.456</v>
      </c>
      <c r="G334" s="253">
        <f>206217.57+44007.89</f>
        <v>250225.46</v>
      </c>
      <c r="H334" s="253">
        <f t="shared" si="59"/>
        <v>-0.00400000001536682</v>
      </c>
      <c r="I334" s="254">
        <v>46170</v>
      </c>
      <c r="J334" s="190" t="s">
        <v>441</v>
      </c>
      <c r="K334" s="190" t="s">
        <v>88</v>
      </c>
      <c r="L334" s="333"/>
    </row>
    <row r="335" hidden="1" customHeight="1" spans="1:31">
      <c r="A335" s="190" t="s">
        <v>1367</v>
      </c>
      <c r="B335" s="190" t="s">
        <v>498</v>
      </c>
      <c r="C335" s="113" t="s">
        <v>471</v>
      </c>
      <c r="D335" s="76">
        <f t="shared" si="57"/>
        <v>3920800</v>
      </c>
      <c r="E335" s="190">
        <v>0.123</v>
      </c>
      <c r="F335" s="253">
        <f t="shared" si="58"/>
        <v>482258.4</v>
      </c>
      <c r="G335" s="253">
        <v>0</v>
      </c>
      <c r="H335" s="253">
        <f t="shared" si="59"/>
        <v>482258.4</v>
      </c>
      <c r="I335" s="254">
        <v>46201</v>
      </c>
      <c r="J335" s="190"/>
      <c r="K335" s="333"/>
      <c r="L335" s="333"/>
    </row>
    <row r="336" hidden="1" customHeight="1" spans="1:31">
      <c r="A336" s="190" t="s">
        <v>1367</v>
      </c>
      <c r="B336" s="190" t="s">
        <v>500</v>
      </c>
      <c r="C336" s="113" t="s">
        <v>471</v>
      </c>
      <c r="D336" s="76">
        <v>3920800</v>
      </c>
      <c r="E336" s="190">
        <v>0.123</v>
      </c>
      <c r="F336" s="253">
        <f t="shared" si="58"/>
        <v>482258.4</v>
      </c>
      <c r="G336" s="253">
        <v>0</v>
      </c>
      <c r="H336" s="253">
        <f t="shared" si="59"/>
        <v>482258.4</v>
      </c>
      <c r="I336" s="254">
        <v>46231</v>
      </c>
      <c r="J336" s="190"/>
      <c r="K336" s="333"/>
      <c r="L336" s="333"/>
    </row>
    <row r="337" hidden="1" customHeight="1" spans="1:12">
      <c r="A337" s="190" t="s">
        <v>1367</v>
      </c>
      <c r="B337" s="190" t="s">
        <v>502</v>
      </c>
      <c r="C337" s="113" t="s">
        <v>471</v>
      </c>
      <c r="D337" s="76">
        <v>1188000</v>
      </c>
      <c r="E337" s="190">
        <v>0.123</v>
      </c>
      <c r="F337" s="253">
        <f t="shared" si="58"/>
        <v>146124</v>
      </c>
      <c r="G337" s="253">
        <v>0</v>
      </c>
      <c r="H337" s="253">
        <f t="shared" si="59"/>
        <v>146124</v>
      </c>
      <c r="I337" s="254">
        <v>46262</v>
      </c>
      <c r="J337" s="190"/>
      <c r="K337" s="333"/>
      <c r="L337" s="333"/>
    </row>
    <row r="338" hidden="1" customHeight="1" spans="1:12">
      <c r="A338" s="190" t="s">
        <v>1367</v>
      </c>
      <c r="B338" s="190" t="s">
        <v>770</v>
      </c>
      <c r="C338" s="76" t="s">
        <v>771</v>
      </c>
      <c r="D338" s="129">
        <v>6</v>
      </c>
      <c r="E338" s="129">
        <v>160</v>
      </c>
      <c r="F338" s="114">
        <f>D338*E338</f>
        <v>960</v>
      </c>
      <c r="G338" s="253">
        <v>0</v>
      </c>
      <c r="H338" s="253">
        <f t="shared" ref="H338:H351" si="60">F338-G338</f>
        <v>960</v>
      </c>
      <c r="I338" s="254">
        <f>'Sheet7 (2)'!V651</f>
        <v>45955</v>
      </c>
      <c r="J338" s="190"/>
      <c r="K338" s="333"/>
      <c r="L338" s="333"/>
    </row>
    <row r="339" hidden="1" customHeight="1" spans="1:12">
      <c r="A339" s="190" t="s">
        <v>1367</v>
      </c>
      <c r="B339" s="190" t="s">
        <v>770</v>
      </c>
      <c r="C339" s="76" t="s">
        <v>771</v>
      </c>
      <c r="D339" s="129">
        <v>10</v>
      </c>
      <c r="E339" s="129">
        <v>160</v>
      </c>
      <c r="F339" s="114">
        <f>D339*E339</f>
        <v>1600</v>
      </c>
      <c r="G339" s="253">
        <v>0</v>
      </c>
      <c r="H339" s="253">
        <f t="shared" si="60"/>
        <v>1600</v>
      </c>
      <c r="I339" s="254">
        <f>'Sheet7 (2)'!V651</f>
        <v>45955</v>
      </c>
      <c r="J339" s="190"/>
      <c r="K339" s="333"/>
      <c r="L339" s="333"/>
    </row>
    <row r="340" hidden="1" customHeight="1" spans="1:12">
      <c r="A340" s="190" t="s">
        <v>1367</v>
      </c>
      <c r="B340" s="190" t="s">
        <v>770</v>
      </c>
      <c r="C340" s="76" t="s">
        <v>771</v>
      </c>
      <c r="D340" s="129">
        <v>6</v>
      </c>
      <c r="E340" s="129">
        <v>170</v>
      </c>
      <c r="F340" s="114">
        <f>D340*E340</f>
        <v>1020</v>
      </c>
      <c r="G340" s="253">
        <v>0</v>
      </c>
      <c r="H340" s="253">
        <f t="shared" si="60"/>
        <v>1020</v>
      </c>
      <c r="I340" s="254">
        <f>'Sheet7 (2)'!V651</f>
        <v>45955</v>
      </c>
      <c r="J340" s="190"/>
      <c r="K340" s="333"/>
      <c r="L340" s="333"/>
    </row>
    <row r="341" hidden="1" customHeight="1" spans="1:12">
      <c r="A341" s="190" t="s">
        <v>1367</v>
      </c>
      <c r="B341" s="190" t="s">
        <v>772</v>
      </c>
      <c r="C341" s="76" t="s">
        <v>773</v>
      </c>
      <c r="D341" s="264">
        <v>522000</v>
      </c>
      <c r="E341" s="143">
        <v>0.26748</v>
      </c>
      <c r="F341" s="114">
        <f t="shared" ref="F341:F344" si="61">E341*D341</f>
        <v>139624.56</v>
      </c>
      <c r="G341" s="253">
        <f>41887.368+97737.192</f>
        <v>139624.56</v>
      </c>
      <c r="H341" s="253">
        <f t="shared" si="60"/>
        <v>0</v>
      </c>
      <c r="I341" s="254">
        <f>'Sheet7 (2)'!V655</f>
        <v>45969</v>
      </c>
      <c r="J341" s="190" t="s">
        <v>90</v>
      </c>
      <c r="K341" s="333"/>
      <c r="L341" s="333"/>
    </row>
    <row r="342" hidden="1" customHeight="1" spans="1:12">
      <c r="A342" s="190" t="s">
        <v>1367</v>
      </c>
      <c r="B342" s="190" t="s">
        <v>772</v>
      </c>
      <c r="C342" s="76" t="s">
        <v>776</v>
      </c>
      <c r="D342" s="264">
        <v>512240</v>
      </c>
      <c r="E342" s="143">
        <v>0.22766</v>
      </c>
      <c r="F342" s="114">
        <f t="shared" si="61"/>
        <v>116616.5584</v>
      </c>
      <c r="G342" s="253">
        <f>35651.556+80965.0024</f>
        <v>116616.5584</v>
      </c>
      <c r="H342" s="253">
        <f t="shared" si="60"/>
        <v>0</v>
      </c>
      <c r="I342" s="254">
        <f>'Sheet7 (2)'!V655</f>
        <v>45969</v>
      </c>
      <c r="J342" s="190" t="s">
        <v>90</v>
      </c>
      <c r="K342" s="333"/>
      <c r="L342" s="333"/>
    </row>
    <row r="343" hidden="1" customHeight="1" spans="1:12">
      <c r="A343" s="190" t="s">
        <v>1367</v>
      </c>
      <c r="B343" s="190" t="s">
        <v>772</v>
      </c>
      <c r="C343" s="76" t="s">
        <v>778</v>
      </c>
      <c r="D343" s="264">
        <v>116000</v>
      </c>
      <c r="E343" s="129">
        <v>0.15705</v>
      </c>
      <c r="F343" s="114">
        <f t="shared" si="61"/>
        <v>18217.8</v>
      </c>
      <c r="G343" s="253">
        <f>5465.34+12752.46</f>
        <v>18217.8</v>
      </c>
      <c r="H343" s="253">
        <f t="shared" si="60"/>
        <v>0</v>
      </c>
      <c r="I343" s="254">
        <f>'Sheet7 (2)'!V655</f>
        <v>45969</v>
      </c>
      <c r="J343" s="190" t="s">
        <v>90</v>
      </c>
      <c r="K343" s="333"/>
      <c r="L343" s="333"/>
    </row>
    <row r="344" hidden="1" customHeight="1" spans="1:12">
      <c r="A344" s="190" t="s">
        <v>1367</v>
      </c>
      <c r="B344" s="190" t="s">
        <v>780</v>
      </c>
      <c r="C344" s="76" t="s">
        <v>781</v>
      </c>
      <c r="D344" s="264">
        <v>2183020</v>
      </c>
      <c r="E344" s="143">
        <v>0.09038</v>
      </c>
      <c r="F344" s="114">
        <f t="shared" si="61"/>
        <v>197301.3476</v>
      </c>
      <c r="G344" s="253">
        <f>127524.6+69776.75</f>
        <v>197301.35</v>
      </c>
      <c r="H344" s="253">
        <f t="shared" si="60"/>
        <v>-0.00239999999757856</v>
      </c>
      <c r="I344" s="254">
        <f>'Sheet7 (2)'!V657</f>
        <v>45968</v>
      </c>
      <c r="J344" s="190" t="s">
        <v>90</v>
      </c>
      <c r="K344" s="333"/>
      <c r="L344" s="333"/>
    </row>
    <row r="345" customHeight="1" spans="1:12">
      <c r="A345" s="237" t="s">
        <v>93</v>
      </c>
      <c r="B345" s="190" t="s">
        <v>1468</v>
      </c>
      <c r="C345" s="382" t="s">
        <v>785</v>
      </c>
      <c r="D345" s="337">
        <v>30.576</v>
      </c>
      <c r="E345" s="337">
        <v>6000</v>
      </c>
      <c r="F345" s="383">
        <f t="shared" ref="F345:F350" si="62">D345*E345</f>
        <v>183456</v>
      </c>
      <c r="G345" s="276">
        <f>145800+37656</f>
        <v>183456</v>
      </c>
      <c r="H345" s="384">
        <f t="shared" si="60"/>
        <v>0</v>
      </c>
      <c r="I345" s="385">
        <v>45991</v>
      </c>
      <c r="J345" s="190" t="s">
        <v>90</v>
      </c>
      <c r="K345" s="190"/>
      <c r="L345" s="333"/>
    </row>
    <row r="346" customHeight="1" spans="1:12">
      <c r="A346" s="190" t="s">
        <v>93</v>
      </c>
      <c r="B346" s="190" t="s">
        <v>1468</v>
      </c>
      <c r="C346" s="386" t="s">
        <v>787</v>
      </c>
      <c r="D346" s="129">
        <f>26.388-1.523-0.497</f>
        <v>24.368</v>
      </c>
      <c r="E346" s="129">
        <v>6000</v>
      </c>
      <c r="F346" s="114">
        <f t="shared" si="62"/>
        <v>146208</v>
      </c>
      <c r="G346" s="253">
        <f>145800+12528-9138-2982</f>
        <v>146208</v>
      </c>
      <c r="H346" s="364">
        <f t="shared" si="60"/>
        <v>0</v>
      </c>
      <c r="I346" s="387">
        <v>45991</v>
      </c>
      <c r="J346" s="190" t="s">
        <v>90</v>
      </c>
      <c r="K346" s="190"/>
      <c r="L346" s="333"/>
    </row>
    <row r="347" customHeight="1" spans="1:12">
      <c r="A347" s="190" t="s">
        <v>93</v>
      </c>
      <c r="B347" s="190" t="s">
        <v>1469</v>
      </c>
      <c r="C347" s="386" t="s">
        <v>787</v>
      </c>
      <c r="D347" s="129">
        <v>0.497</v>
      </c>
      <c r="E347" s="129">
        <v>6000</v>
      </c>
      <c r="F347" s="114">
        <f t="shared" si="62"/>
        <v>2982</v>
      </c>
      <c r="G347" s="253">
        <v>2982</v>
      </c>
      <c r="H347" s="364">
        <f t="shared" si="60"/>
        <v>0</v>
      </c>
      <c r="I347" s="387">
        <v>45991</v>
      </c>
      <c r="J347" s="190" t="s">
        <v>90</v>
      </c>
      <c r="K347" s="190"/>
      <c r="L347" s="333"/>
    </row>
    <row r="348" customHeight="1" spans="1:12">
      <c r="A348" s="190" t="s">
        <v>93</v>
      </c>
      <c r="B348" s="190" t="s">
        <v>1470</v>
      </c>
      <c r="C348" s="386" t="s">
        <v>787</v>
      </c>
      <c r="D348" s="129">
        <v>1.523</v>
      </c>
      <c r="E348" s="129">
        <v>6000</v>
      </c>
      <c r="F348" s="114">
        <f t="shared" si="62"/>
        <v>9138</v>
      </c>
      <c r="G348" s="253">
        <v>9138</v>
      </c>
      <c r="H348" s="253">
        <f t="shared" si="60"/>
        <v>0</v>
      </c>
      <c r="I348" s="387">
        <v>45991</v>
      </c>
      <c r="J348" s="190" t="s">
        <v>90</v>
      </c>
      <c r="K348" s="190"/>
      <c r="L348" s="333"/>
    </row>
    <row r="349" customHeight="1" spans="1:12">
      <c r="A349" s="190" t="s">
        <v>93</v>
      </c>
      <c r="B349" s="190" t="s">
        <v>1469</v>
      </c>
      <c r="C349" s="386" t="s">
        <v>788</v>
      </c>
      <c r="D349" s="129">
        <v>7.51</v>
      </c>
      <c r="E349" s="129">
        <v>6100</v>
      </c>
      <c r="F349" s="114">
        <f t="shared" si="62"/>
        <v>45811</v>
      </c>
      <c r="G349" s="253">
        <v>45811</v>
      </c>
      <c r="H349" s="364">
        <f t="shared" si="60"/>
        <v>0</v>
      </c>
      <c r="I349" s="387">
        <v>45991</v>
      </c>
      <c r="J349" s="190" t="s">
        <v>90</v>
      </c>
      <c r="K349" s="190"/>
      <c r="L349" s="333"/>
    </row>
    <row r="350" customHeight="1" spans="1:12">
      <c r="A350" s="190" t="s">
        <v>93</v>
      </c>
      <c r="B350" s="190" t="s">
        <v>1468</v>
      </c>
      <c r="C350" s="386" t="s">
        <v>788</v>
      </c>
      <c r="D350" s="129">
        <v>26.821</v>
      </c>
      <c r="E350" s="129">
        <v>6100</v>
      </c>
      <c r="F350" s="114">
        <f t="shared" si="62"/>
        <v>163608.1</v>
      </c>
      <c r="G350" s="253">
        <f>148230+61189.1-45811</f>
        <v>163608.1</v>
      </c>
      <c r="H350" s="364">
        <f t="shared" si="60"/>
        <v>0</v>
      </c>
      <c r="I350" s="387">
        <v>45991</v>
      </c>
      <c r="J350" s="190" t="s">
        <v>90</v>
      </c>
      <c r="K350" s="190"/>
      <c r="L350" s="333"/>
    </row>
    <row r="351" customHeight="1" spans="1:12">
      <c r="A351" s="190" t="s">
        <v>93</v>
      </c>
      <c r="B351" s="190" t="s">
        <v>1471</v>
      </c>
      <c r="C351" s="386" t="s">
        <v>789</v>
      </c>
      <c r="D351" s="388">
        <v>106.556</v>
      </c>
      <c r="E351" s="129">
        <v>5900</v>
      </c>
      <c r="F351" s="114">
        <f>D351*E351*0.1</f>
        <v>62868.04</v>
      </c>
      <c r="G351" s="253">
        <f>63720+5048.04000000001-5900</f>
        <v>62868.04</v>
      </c>
      <c r="H351" s="253">
        <f t="shared" si="60"/>
        <v>0</v>
      </c>
      <c r="I351" s="387">
        <v>45950</v>
      </c>
      <c r="J351" s="190" t="s">
        <v>90</v>
      </c>
      <c r="K351" s="190"/>
      <c r="L351" s="333"/>
    </row>
    <row r="352" customHeight="1" spans="1:12">
      <c r="A352" s="190" t="s">
        <v>93</v>
      </c>
      <c r="B352" s="190" t="s">
        <v>1471</v>
      </c>
      <c r="C352" s="386" t="s">
        <v>789</v>
      </c>
      <c r="D352" s="388">
        <v>106.556</v>
      </c>
      <c r="E352" s="129">
        <v>5900</v>
      </c>
      <c r="F352" s="114">
        <f t="shared" ref="F352:F355" si="63">D352*E352*0.9</f>
        <v>565812.36</v>
      </c>
      <c r="G352" s="253">
        <f>516132+102780.36-53100</f>
        <v>565812.36</v>
      </c>
      <c r="H352" s="378">
        <f t="shared" ref="H352:H357" si="64">F352-G352</f>
        <v>0</v>
      </c>
      <c r="I352" s="387">
        <v>45984</v>
      </c>
      <c r="J352" s="190" t="s">
        <v>90</v>
      </c>
      <c r="K352" s="190"/>
      <c r="L352" s="333"/>
    </row>
    <row r="353" customHeight="1" spans="1:14">
      <c r="A353" s="190" t="s">
        <v>93</v>
      </c>
      <c r="B353" s="190" t="s">
        <v>1472</v>
      </c>
      <c r="C353" s="386" t="s">
        <v>789</v>
      </c>
      <c r="D353" s="388">
        <v>10</v>
      </c>
      <c r="E353" s="129">
        <v>5900</v>
      </c>
      <c r="F353" s="114">
        <f t="shared" ref="F353:F357" si="65">D353*E353</f>
        <v>59000</v>
      </c>
      <c r="G353" s="253">
        <f>5900+53100</f>
        <v>59000</v>
      </c>
      <c r="H353" s="253">
        <f t="shared" si="64"/>
        <v>0</v>
      </c>
      <c r="I353" s="387">
        <v>45984</v>
      </c>
      <c r="J353" s="190" t="s">
        <v>90</v>
      </c>
      <c r="K353" s="190"/>
      <c r="L353" s="333"/>
    </row>
    <row r="354" customHeight="1" spans="1:14">
      <c r="A354" s="190" t="s">
        <v>93</v>
      </c>
      <c r="B354" s="190" t="s">
        <v>1472</v>
      </c>
      <c r="C354" s="386" t="s">
        <v>791</v>
      </c>
      <c r="D354" s="388">
        <v>41.418</v>
      </c>
      <c r="E354" s="129">
        <v>5600</v>
      </c>
      <c r="F354" s="114">
        <f>D354*E354*0.1</f>
        <v>23194.08</v>
      </c>
      <c r="G354" s="253">
        <f>30240+1774.08-8820</f>
        <v>23194.08</v>
      </c>
      <c r="H354" s="253">
        <f t="shared" si="64"/>
        <v>0</v>
      </c>
      <c r="I354" s="387">
        <v>45950</v>
      </c>
      <c r="J354" s="190" t="s">
        <v>90</v>
      </c>
      <c r="K354" s="190"/>
      <c r="L354" s="333"/>
    </row>
    <row r="355" customHeight="1" spans="1:14">
      <c r="A355" s="190" t="s">
        <v>93</v>
      </c>
      <c r="B355" s="190" t="s">
        <v>1472</v>
      </c>
      <c r="C355" s="386" t="s">
        <v>791</v>
      </c>
      <c r="D355" s="388">
        <v>41.418</v>
      </c>
      <c r="E355" s="129">
        <v>5600</v>
      </c>
      <c r="F355" s="114">
        <f t="shared" si="63"/>
        <v>208746.72</v>
      </c>
      <c r="G355" s="253">
        <f>244944+18568.05+24614.67-79380</f>
        <v>208746.72</v>
      </c>
      <c r="H355" s="253">
        <f t="shared" si="64"/>
        <v>0</v>
      </c>
      <c r="I355" s="387">
        <v>45984</v>
      </c>
      <c r="J355" s="190" t="s">
        <v>90</v>
      </c>
      <c r="K355" s="190"/>
      <c r="L355" s="333"/>
    </row>
    <row r="356" customHeight="1" spans="1:14">
      <c r="A356" s="190" t="s">
        <v>93</v>
      </c>
      <c r="B356" s="190" t="s">
        <v>1473</v>
      </c>
      <c r="C356" s="386" t="s">
        <v>791</v>
      </c>
      <c r="D356" s="388">
        <f>15.75-10.738</f>
        <v>5.012</v>
      </c>
      <c r="E356" s="129">
        <v>5600</v>
      </c>
      <c r="F356" s="114">
        <f t="shared" si="65"/>
        <v>28067.2</v>
      </c>
      <c r="G356" s="253">
        <f>8820+79380-60132.8</f>
        <v>28067.2</v>
      </c>
      <c r="H356" s="253">
        <f t="shared" si="64"/>
        <v>0</v>
      </c>
      <c r="I356" s="387">
        <v>45984</v>
      </c>
      <c r="J356" s="190" t="s">
        <v>90</v>
      </c>
      <c r="K356" s="190"/>
      <c r="L356" s="333"/>
    </row>
    <row r="357" customHeight="1" spans="1:14">
      <c r="A357" s="190" t="s">
        <v>93</v>
      </c>
      <c r="B357" s="190" t="s">
        <v>1470</v>
      </c>
      <c r="C357" s="386" t="s">
        <v>791</v>
      </c>
      <c r="D357" s="388">
        <v>10.738</v>
      </c>
      <c r="E357" s="129">
        <v>5600</v>
      </c>
      <c r="F357" s="114">
        <f t="shared" si="65"/>
        <v>60132.8</v>
      </c>
      <c r="G357" s="253">
        <v>60132.8</v>
      </c>
      <c r="H357" s="253">
        <f t="shared" si="64"/>
        <v>0</v>
      </c>
      <c r="I357" s="387">
        <v>45984</v>
      </c>
      <c r="J357" s="190" t="s">
        <v>90</v>
      </c>
      <c r="K357" s="190"/>
      <c r="L357" s="333"/>
    </row>
    <row r="358" customHeight="1" spans="1:14">
      <c r="A358" s="190" t="s">
        <v>93</v>
      </c>
      <c r="B358" s="190" t="s">
        <v>1472</v>
      </c>
      <c r="C358" s="386" t="s">
        <v>792</v>
      </c>
      <c r="D358" s="388">
        <v>57.569</v>
      </c>
      <c r="E358" s="129">
        <v>5600</v>
      </c>
      <c r="F358" s="114">
        <f>D358*E358*0.1</f>
        <v>32238.64</v>
      </c>
      <c r="G358" s="253">
        <f>30240+1998.64</f>
        <v>32238.64</v>
      </c>
      <c r="H358" s="253">
        <f t="shared" ref="H358:H374" si="66">F358-G358</f>
        <v>0</v>
      </c>
      <c r="I358" s="387">
        <v>45950</v>
      </c>
      <c r="J358" s="190" t="s">
        <v>90</v>
      </c>
      <c r="K358" s="190"/>
      <c r="L358" s="333"/>
    </row>
    <row r="359" customHeight="1" spans="1:14">
      <c r="A359" s="190" t="s">
        <v>93</v>
      </c>
      <c r="B359" s="190" t="s">
        <v>1472</v>
      </c>
      <c r="C359" s="386" t="s">
        <v>792</v>
      </c>
      <c r="D359" s="388">
        <v>57.569</v>
      </c>
      <c r="E359" s="129">
        <v>5600</v>
      </c>
      <c r="F359" s="114">
        <f>D359*E359*0.9</f>
        <v>290147.76</v>
      </c>
      <c r="G359" s="253">
        <f>244944+45203.76</f>
        <v>290147.76</v>
      </c>
      <c r="H359" s="378">
        <f t="shared" si="66"/>
        <v>0</v>
      </c>
      <c r="I359" s="387">
        <v>45984</v>
      </c>
      <c r="J359" s="190" t="s">
        <v>90</v>
      </c>
      <c r="K359" s="190"/>
      <c r="L359" s="333"/>
    </row>
    <row r="360" hidden="1" customHeight="1" spans="1:14">
      <c r="A360" s="190" t="s">
        <v>1367</v>
      </c>
      <c r="B360" s="190" t="s">
        <v>793</v>
      </c>
      <c r="C360" s="190" t="s">
        <v>794</v>
      </c>
      <c r="D360" s="190">
        <v>346500</v>
      </c>
      <c r="E360" s="129">
        <v>0.18</v>
      </c>
      <c r="F360" s="114">
        <f>D360*E360</f>
        <v>62370</v>
      </c>
      <c r="G360" s="253">
        <v>62370</v>
      </c>
      <c r="H360" s="253">
        <f t="shared" si="66"/>
        <v>0</v>
      </c>
      <c r="I360" s="254">
        <v>45966</v>
      </c>
      <c r="J360" s="190" t="s">
        <v>90</v>
      </c>
      <c r="K360" s="333"/>
      <c r="L360" s="333"/>
    </row>
    <row r="361" customHeight="1" spans="1:14">
      <c r="A361" s="190" t="s">
        <v>93</v>
      </c>
      <c r="B361" s="190" t="s">
        <v>798</v>
      </c>
      <c r="C361" s="76" t="s">
        <v>799</v>
      </c>
      <c r="D361" s="129">
        <v>10.462</v>
      </c>
      <c r="E361" s="129">
        <v>5220</v>
      </c>
      <c r="F361" s="114">
        <f>D361*E361*0.1</f>
        <v>5461.164</v>
      </c>
      <c r="G361" s="253">
        <f>7830-2368.836</f>
        <v>5461.164</v>
      </c>
      <c r="H361" s="253">
        <f t="shared" si="66"/>
        <v>0</v>
      </c>
      <c r="I361" s="387">
        <v>45950</v>
      </c>
      <c r="J361" s="190"/>
      <c r="K361" s="190"/>
      <c r="L361" s="333"/>
    </row>
    <row r="362" customHeight="1" spans="1:14">
      <c r="A362" s="190" t="s">
        <v>93</v>
      </c>
      <c r="B362" s="190" t="s">
        <v>798</v>
      </c>
      <c r="C362" s="76" t="s">
        <v>799</v>
      </c>
      <c r="D362" s="129">
        <v>10.462</v>
      </c>
      <c r="E362" s="129">
        <v>5220</v>
      </c>
      <c r="F362" s="114">
        <f t="shared" ref="F362:F364" si="67">D362*E362*0.9</f>
        <v>49150.476</v>
      </c>
      <c r="G362" s="253">
        <v>49150.476</v>
      </c>
      <c r="H362" s="253">
        <f t="shared" si="66"/>
        <v>0</v>
      </c>
      <c r="I362" s="387">
        <v>45984</v>
      </c>
      <c r="J362" s="190"/>
      <c r="K362" s="190"/>
      <c r="L362" s="333"/>
    </row>
    <row r="363" customHeight="1" spans="1:14">
      <c r="A363" s="190" t="s">
        <v>93</v>
      </c>
      <c r="B363" s="190" t="s">
        <v>798</v>
      </c>
      <c r="C363" s="76" t="s">
        <v>801</v>
      </c>
      <c r="D363" s="129">
        <v>14.988</v>
      </c>
      <c r="E363" s="129">
        <v>5220</v>
      </c>
      <c r="F363" s="114">
        <f>D363*E363*0.1</f>
        <v>7823.736</v>
      </c>
      <c r="G363" s="253">
        <f>7830-6.26400000000012</f>
        <v>7823.736</v>
      </c>
      <c r="H363" s="253">
        <f t="shared" si="66"/>
        <v>0</v>
      </c>
      <c r="I363" s="387">
        <v>45950</v>
      </c>
      <c r="J363" s="190"/>
      <c r="K363" s="190"/>
      <c r="L363" s="333"/>
    </row>
    <row r="364" customHeight="1" spans="1:14">
      <c r="A364" s="190" t="s">
        <v>93</v>
      </c>
      <c r="B364" s="190" t="s">
        <v>798</v>
      </c>
      <c r="C364" s="76" t="s">
        <v>801</v>
      </c>
      <c r="D364" s="129">
        <v>14.988</v>
      </c>
      <c r="E364" s="129">
        <v>5220</v>
      </c>
      <c r="F364" s="114">
        <f t="shared" si="67"/>
        <v>70413.624</v>
      </c>
      <c r="G364" s="253">
        <v>70413.624</v>
      </c>
      <c r="H364" s="253">
        <f t="shared" si="66"/>
        <v>0</v>
      </c>
      <c r="I364" s="387">
        <v>45984</v>
      </c>
      <c r="J364" s="190"/>
      <c r="K364" s="190"/>
      <c r="L364" s="333"/>
    </row>
    <row r="365" customHeight="1" spans="1:14">
      <c r="A365" s="190" t="s">
        <v>93</v>
      </c>
      <c r="B365" s="190" t="s">
        <v>802</v>
      </c>
      <c r="C365" s="76" t="s">
        <v>803</v>
      </c>
      <c r="D365" s="129">
        <v>14.735</v>
      </c>
      <c r="E365" s="129">
        <v>5950</v>
      </c>
      <c r="F365" s="114">
        <f>D365*E365</f>
        <v>87673.25</v>
      </c>
      <c r="G365" s="253">
        <f>89250-1576.75</f>
        <v>87673.25</v>
      </c>
      <c r="H365" s="381">
        <f t="shared" si="66"/>
        <v>0</v>
      </c>
      <c r="I365" s="254">
        <v>46021</v>
      </c>
      <c r="J365" s="317" t="s">
        <v>1379</v>
      </c>
      <c r="K365" s="256"/>
      <c r="L365" s="333"/>
    </row>
    <row r="366" hidden="1" customHeight="1" spans="1:14">
      <c r="A366" s="190" t="s">
        <v>1358</v>
      </c>
      <c r="B366" s="190" t="s">
        <v>1474</v>
      </c>
      <c r="C366" s="190" t="s">
        <v>808</v>
      </c>
      <c r="D366" s="190">
        <v>7.48</v>
      </c>
      <c r="E366" s="190">
        <v>6720</v>
      </c>
      <c r="F366" s="114">
        <f>D366*E366</f>
        <v>50265.6</v>
      </c>
      <c r="G366" s="253">
        <f>15079.68+35185.92</f>
        <v>50265.6</v>
      </c>
      <c r="H366" s="253">
        <f t="shared" si="66"/>
        <v>0</v>
      </c>
      <c r="I366" s="254">
        <v>46115</v>
      </c>
      <c r="J366" s="190" t="s">
        <v>441</v>
      </c>
      <c r="K366" s="333"/>
      <c r="L366" s="333"/>
    </row>
    <row r="367" hidden="1" customHeight="1" spans="1:14">
      <c r="A367" s="190" t="s">
        <v>1358</v>
      </c>
      <c r="B367" s="190" t="s">
        <v>1475</v>
      </c>
      <c r="C367" s="190" t="s">
        <v>810</v>
      </c>
      <c r="D367" s="190">
        <v>21.154</v>
      </c>
      <c r="E367" s="190">
        <v>6720</v>
      </c>
      <c r="F367" s="114">
        <f>D367*E367</f>
        <v>142154.88</v>
      </c>
      <c r="G367" s="253">
        <f>42646.464+99508.42</f>
        <v>142154.884</v>
      </c>
      <c r="H367" s="253">
        <f t="shared" si="66"/>
        <v>-0.00399999998626299</v>
      </c>
      <c r="I367" s="254">
        <v>46082</v>
      </c>
      <c r="J367" s="190" t="s">
        <v>441</v>
      </c>
      <c r="K367" s="333"/>
      <c r="L367" s="333"/>
    </row>
    <row r="368" hidden="1" customHeight="1" spans="1:14">
      <c r="A368" s="190" t="s">
        <v>1358</v>
      </c>
      <c r="B368" s="190" t="s">
        <v>1476</v>
      </c>
      <c r="C368" s="190" t="s">
        <v>810</v>
      </c>
      <c r="D368" s="190">
        <v>10.31</v>
      </c>
      <c r="E368" s="190">
        <v>6720</v>
      </c>
      <c r="F368" s="114">
        <f>D368*E368</f>
        <v>69283.2</v>
      </c>
      <c r="G368" s="253">
        <f>20784.96+48498.24</f>
        <v>69283.2</v>
      </c>
      <c r="H368" s="253">
        <f t="shared" si="66"/>
        <v>0</v>
      </c>
      <c r="I368" s="254">
        <v>46114</v>
      </c>
      <c r="J368" s="190" t="s">
        <v>441</v>
      </c>
      <c r="K368" s="333"/>
      <c r="L368" s="333"/>
      <c r="N368" s="240" t="s">
        <v>1477</v>
      </c>
    </row>
    <row r="369" hidden="1" customHeight="1" spans="1:12">
      <c r="A369" s="190" t="s">
        <v>1358</v>
      </c>
      <c r="B369" s="190" t="s">
        <v>1478</v>
      </c>
      <c r="C369" s="190" t="s">
        <v>811</v>
      </c>
      <c r="D369" s="190">
        <v>10.703</v>
      </c>
      <c r="E369" s="190">
        <v>6660</v>
      </c>
      <c r="F369" s="114">
        <f t="shared" ref="F369:F378" si="68">D369*E369</f>
        <v>71281.98</v>
      </c>
      <c r="G369" s="253">
        <f>21384.594+49897.386</f>
        <v>71281.98</v>
      </c>
      <c r="H369" s="253">
        <f t="shared" si="66"/>
        <v>0</v>
      </c>
      <c r="I369" s="254">
        <v>46109</v>
      </c>
      <c r="J369" s="190" t="s">
        <v>441</v>
      </c>
      <c r="K369" s="333"/>
      <c r="L369" s="333"/>
    </row>
    <row r="370" hidden="1" customHeight="1" spans="1:12">
      <c r="A370" s="190" t="s">
        <v>1358</v>
      </c>
      <c r="B370" s="190" t="s">
        <v>1476</v>
      </c>
      <c r="C370" s="190" t="s">
        <v>811</v>
      </c>
      <c r="D370" s="190">
        <v>10.962</v>
      </c>
      <c r="E370" s="190">
        <v>6660</v>
      </c>
      <c r="F370" s="114">
        <f t="shared" si="68"/>
        <v>73006.92</v>
      </c>
      <c r="G370" s="253">
        <f>21902.076+51104.844</f>
        <v>73006.92</v>
      </c>
      <c r="H370" s="253">
        <f t="shared" si="66"/>
        <v>0</v>
      </c>
      <c r="I370" s="254">
        <v>46114</v>
      </c>
      <c r="J370" s="190" t="s">
        <v>441</v>
      </c>
      <c r="K370" s="333"/>
      <c r="L370" s="333"/>
    </row>
    <row r="371" hidden="1" customHeight="1" spans="1:12">
      <c r="A371" s="190" t="s">
        <v>1358</v>
      </c>
      <c r="B371" s="190" t="s">
        <v>1474</v>
      </c>
      <c r="C371" s="190" t="s">
        <v>811</v>
      </c>
      <c r="D371" s="190">
        <v>7.645</v>
      </c>
      <c r="E371" s="190">
        <v>6660</v>
      </c>
      <c r="F371" s="114">
        <f t="shared" si="68"/>
        <v>50915.7</v>
      </c>
      <c r="G371" s="253">
        <f>15274.71+35640.99</f>
        <v>50915.7</v>
      </c>
      <c r="H371" s="253">
        <f t="shared" si="66"/>
        <v>0</v>
      </c>
      <c r="I371" s="254">
        <v>46115</v>
      </c>
      <c r="J371" s="190" t="s">
        <v>441</v>
      </c>
      <c r="K371" s="333"/>
      <c r="L371" s="333"/>
    </row>
    <row r="372" hidden="1" customHeight="1" spans="1:12">
      <c r="A372" s="190" t="s">
        <v>1358</v>
      </c>
      <c r="B372" s="190" t="s">
        <v>1479</v>
      </c>
      <c r="C372" s="190" t="s">
        <v>811</v>
      </c>
      <c r="D372" s="190">
        <v>12.291</v>
      </c>
      <c r="E372" s="190">
        <v>6660</v>
      </c>
      <c r="F372" s="114">
        <f t="shared" si="68"/>
        <v>81858.06</v>
      </c>
      <c r="G372" s="253">
        <f>160560-137072.484+58370.24</f>
        <v>81857.756</v>
      </c>
      <c r="H372" s="253">
        <f t="shared" si="66"/>
        <v>0.304000000003725</v>
      </c>
      <c r="I372" s="254">
        <v>46115</v>
      </c>
      <c r="J372" s="190" t="s">
        <v>441</v>
      </c>
      <c r="K372" s="333"/>
      <c r="L372" s="333"/>
    </row>
    <row r="373" hidden="1" customHeight="1" spans="1:12">
      <c r="A373" s="190" t="s">
        <v>1358</v>
      </c>
      <c r="B373" s="190" t="s">
        <v>1480</v>
      </c>
      <c r="C373" s="190" t="s">
        <v>813</v>
      </c>
      <c r="D373" s="190">
        <v>9.102</v>
      </c>
      <c r="E373" s="190">
        <v>7215</v>
      </c>
      <c r="F373" s="114">
        <f t="shared" si="68"/>
        <v>65670.93</v>
      </c>
      <c r="G373" s="253">
        <f>F373*0.3+45969.651</f>
        <v>65670.93</v>
      </c>
      <c r="H373" s="253">
        <f t="shared" si="66"/>
        <v>0</v>
      </c>
      <c r="I373" s="254">
        <v>46082</v>
      </c>
      <c r="J373" s="190" t="s">
        <v>441</v>
      </c>
      <c r="K373" s="333"/>
      <c r="L373" s="333"/>
    </row>
    <row r="374" hidden="1" customHeight="1" spans="1:12">
      <c r="A374" s="190" t="s">
        <v>1358</v>
      </c>
      <c r="B374" s="190" t="s">
        <v>1480</v>
      </c>
      <c r="C374" s="190" t="s">
        <v>814</v>
      </c>
      <c r="D374" s="190">
        <v>7.191</v>
      </c>
      <c r="E374" s="190">
        <v>7215</v>
      </c>
      <c r="F374" s="114">
        <f t="shared" si="68"/>
        <v>51883.065</v>
      </c>
      <c r="G374" s="253">
        <f>F374*0.3+36318.1455</f>
        <v>51883.065</v>
      </c>
      <c r="H374" s="253">
        <f t="shared" ref="H374:H378" si="69">F374-G374</f>
        <v>0</v>
      </c>
      <c r="I374" s="254">
        <v>46082</v>
      </c>
      <c r="J374" s="190" t="s">
        <v>441</v>
      </c>
      <c r="K374" s="333"/>
      <c r="L374" s="333"/>
    </row>
    <row r="375" hidden="1" customHeight="1" spans="1:12">
      <c r="A375" s="190" t="s">
        <v>1358</v>
      </c>
      <c r="B375" s="190" t="s">
        <v>1481</v>
      </c>
      <c r="C375" s="190" t="s">
        <v>815</v>
      </c>
      <c r="D375" s="190">
        <f>16.205-D376</f>
        <v>7.097</v>
      </c>
      <c r="E375" s="190">
        <v>7215</v>
      </c>
      <c r="F375" s="114">
        <f t="shared" si="68"/>
        <v>51204.855</v>
      </c>
      <c r="G375" s="253">
        <f>F375*0.3+35843.3985</f>
        <v>51204.855</v>
      </c>
      <c r="H375" s="253">
        <f t="shared" si="69"/>
        <v>0</v>
      </c>
      <c r="I375" s="254">
        <v>46082</v>
      </c>
      <c r="J375" s="190" t="s">
        <v>441</v>
      </c>
      <c r="K375" s="333"/>
      <c r="L375" s="333"/>
    </row>
    <row r="376" hidden="1" customHeight="1" spans="1:12">
      <c r="A376" s="190" t="s">
        <v>1358</v>
      </c>
      <c r="B376" s="190" t="s">
        <v>1480</v>
      </c>
      <c r="C376" s="190" t="s">
        <v>815</v>
      </c>
      <c r="D376" s="190">
        <v>9.108</v>
      </c>
      <c r="E376" s="190">
        <v>7215</v>
      </c>
      <c r="F376" s="114">
        <f t="shared" si="68"/>
        <v>65714.22</v>
      </c>
      <c r="G376" s="253">
        <f>F376*0.3+45999.954</f>
        <v>65714.22</v>
      </c>
      <c r="H376" s="253">
        <f t="shared" si="69"/>
        <v>0</v>
      </c>
      <c r="I376" s="254">
        <v>46082</v>
      </c>
      <c r="J376" s="190" t="s">
        <v>441</v>
      </c>
      <c r="K376" s="333"/>
      <c r="L376" s="333"/>
    </row>
    <row r="377" hidden="1" customHeight="1" spans="1:12">
      <c r="A377" s="190" t="s">
        <v>1358</v>
      </c>
      <c r="B377" s="190" t="s">
        <v>1481</v>
      </c>
      <c r="C377" s="190" t="s">
        <v>816</v>
      </c>
      <c r="D377" s="190">
        <f>36.17-D378</f>
        <v>8.291</v>
      </c>
      <c r="E377" s="190">
        <v>6900</v>
      </c>
      <c r="F377" s="114">
        <f t="shared" si="68"/>
        <v>57207.9</v>
      </c>
      <c r="G377" s="253">
        <f>F377*0.3+3466.179+36579.351</f>
        <v>57207.9</v>
      </c>
      <c r="H377" s="253">
        <f t="shared" si="69"/>
        <v>0</v>
      </c>
      <c r="I377" s="254">
        <v>46082</v>
      </c>
      <c r="J377" s="190" t="s">
        <v>441</v>
      </c>
      <c r="K377" s="333"/>
      <c r="L377" s="333"/>
    </row>
    <row r="378" hidden="1" customHeight="1" spans="1:12">
      <c r="A378" s="190" t="s">
        <v>1358</v>
      </c>
      <c r="B378" s="190" t="s">
        <v>1480</v>
      </c>
      <c r="C378" s="190" t="s">
        <v>816</v>
      </c>
      <c r="D378" s="190">
        <v>27.879</v>
      </c>
      <c r="E378" s="190">
        <v>6900</v>
      </c>
      <c r="F378" s="114">
        <f t="shared" si="68"/>
        <v>192365.1</v>
      </c>
      <c r="G378" s="253">
        <f>F378*0.3+134655.57</f>
        <v>192365.1</v>
      </c>
      <c r="H378" s="253">
        <f t="shared" si="69"/>
        <v>0</v>
      </c>
      <c r="I378" s="254">
        <v>46082</v>
      </c>
      <c r="J378" s="190" t="s">
        <v>441</v>
      </c>
      <c r="K378" s="333"/>
      <c r="L378" s="333"/>
    </row>
    <row r="379" hidden="1" customHeight="1" spans="1:12">
      <c r="A379" s="190" t="s">
        <v>1358</v>
      </c>
      <c r="B379" s="190" t="s">
        <v>1482</v>
      </c>
      <c r="C379" s="190" t="s">
        <v>818</v>
      </c>
      <c r="D379" s="190">
        <v>28.198</v>
      </c>
      <c r="E379" s="190">
        <v>6080</v>
      </c>
      <c r="F379" s="114">
        <f t="shared" ref="F379:F388" si="70">D379*E379</f>
        <v>171443.84</v>
      </c>
      <c r="G379" s="253">
        <f>F379*0.3+120010.688</f>
        <v>171443.84</v>
      </c>
      <c r="H379" s="253">
        <f t="shared" ref="H379:H388" si="71">F379-G379</f>
        <v>0</v>
      </c>
      <c r="I379" s="254">
        <v>46082</v>
      </c>
      <c r="J379" s="190" t="s">
        <v>441</v>
      </c>
      <c r="K379" s="333"/>
      <c r="L379" s="333"/>
    </row>
    <row r="380" hidden="1" customHeight="1" spans="1:12">
      <c r="A380" s="190" t="s">
        <v>1358</v>
      </c>
      <c r="B380" s="190" t="s">
        <v>1482</v>
      </c>
      <c r="C380" s="190" t="s">
        <v>819</v>
      </c>
      <c r="D380" s="190">
        <v>19.418</v>
      </c>
      <c r="E380" s="190">
        <v>6080</v>
      </c>
      <c r="F380" s="114">
        <f t="shared" si="70"/>
        <v>118061.44</v>
      </c>
      <c r="G380" s="253">
        <f>F380*0.3+82643.008</f>
        <v>118061.44</v>
      </c>
      <c r="H380" s="253">
        <f t="shared" si="71"/>
        <v>0</v>
      </c>
      <c r="I380" s="254">
        <v>46082</v>
      </c>
      <c r="J380" s="190" t="s">
        <v>441</v>
      </c>
      <c r="K380" s="333"/>
      <c r="L380" s="333"/>
    </row>
    <row r="381" hidden="1" customHeight="1" spans="1:12">
      <c r="A381" s="190" t="s">
        <v>1358</v>
      </c>
      <c r="B381" s="190" t="s">
        <v>1483</v>
      </c>
      <c r="C381" s="190" t="s">
        <v>820</v>
      </c>
      <c r="D381" s="190">
        <v>10.493</v>
      </c>
      <c r="E381" s="190">
        <v>5790</v>
      </c>
      <c r="F381" s="114">
        <f t="shared" si="70"/>
        <v>60754.47</v>
      </c>
      <c r="G381" s="253">
        <f>F381*0.3+42528.129</f>
        <v>60754.47</v>
      </c>
      <c r="H381" s="253">
        <f t="shared" si="71"/>
        <v>0</v>
      </c>
      <c r="I381" s="254">
        <v>46023</v>
      </c>
      <c r="J381" s="190" t="s">
        <v>441</v>
      </c>
      <c r="K381" s="333"/>
      <c r="L381" s="333"/>
    </row>
    <row r="382" hidden="1" customHeight="1" spans="1:12">
      <c r="A382" s="190" t="s">
        <v>1358</v>
      </c>
      <c r="B382" s="190" t="s">
        <v>1484</v>
      </c>
      <c r="C382" s="190" t="s">
        <v>820</v>
      </c>
      <c r="D382" s="190">
        <v>11.815</v>
      </c>
      <c r="E382" s="190">
        <v>5790</v>
      </c>
      <c r="F382" s="114">
        <f t="shared" si="70"/>
        <v>68408.85</v>
      </c>
      <c r="G382" s="253">
        <f>F382*0.3+47886.195</f>
        <v>68408.85</v>
      </c>
      <c r="H382" s="253">
        <f t="shared" si="71"/>
        <v>0</v>
      </c>
      <c r="I382" s="254">
        <v>46054</v>
      </c>
      <c r="J382" s="190" t="s">
        <v>441</v>
      </c>
      <c r="K382" s="333"/>
      <c r="L382" s="333"/>
    </row>
    <row r="383" hidden="1" customHeight="1" spans="1:12">
      <c r="A383" s="190" t="s">
        <v>1358</v>
      </c>
      <c r="B383" s="190" t="s">
        <v>1484</v>
      </c>
      <c r="C383" s="190" t="s">
        <v>821</v>
      </c>
      <c r="D383" s="190">
        <v>6.072</v>
      </c>
      <c r="E383" s="190">
        <v>6080</v>
      </c>
      <c r="F383" s="114">
        <f t="shared" si="70"/>
        <v>36917.76</v>
      </c>
      <c r="G383" s="253">
        <f>F383*0.3+25842.432</f>
        <v>36917.76</v>
      </c>
      <c r="H383" s="253">
        <f t="shared" si="71"/>
        <v>0</v>
      </c>
      <c r="I383" s="254">
        <v>46054</v>
      </c>
      <c r="J383" s="190" t="s">
        <v>441</v>
      </c>
      <c r="K383" s="333"/>
      <c r="L383" s="333"/>
    </row>
    <row r="384" hidden="1" customHeight="1" spans="1:12">
      <c r="A384" s="190" t="s">
        <v>1358</v>
      </c>
      <c r="B384" s="190" t="s">
        <v>1483</v>
      </c>
      <c r="C384" s="190" t="s">
        <v>822</v>
      </c>
      <c r="D384" s="190">
        <v>15.11</v>
      </c>
      <c r="E384" s="190">
        <v>5790</v>
      </c>
      <c r="F384" s="114">
        <f t="shared" si="70"/>
        <v>87486.9</v>
      </c>
      <c r="G384" s="253">
        <f>F384*0.3+61240.83</f>
        <v>87486.9</v>
      </c>
      <c r="H384" s="253">
        <f t="shared" si="71"/>
        <v>0</v>
      </c>
      <c r="I384" s="254">
        <v>46023</v>
      </c>
      <c r="J384" s="190" t="s">
        <v>441</v>
      </c>
      <c r="K384" s="333"/>
      <c r="L384" s="333"/>
    </row>
    <row r="385" hidden="1" customHeight="1" spans="1:14">
      <c r="A385" s="190" t="s">
        <v>1358</v>
      </c>
      <c r="B385" s="190" t="s">
        <v>1485</v>
      </c>
      <c r="C385" s="190" t="s">
        <v>822</v>
      </c>
      <c r="D385" s="190">
        <v>7.492</v>
      </c>
      <c r="E385" s="190">
        <v>5790</v>
      </c>
      <c r="F385" s="114">
        <f t="shared" si="70"/>
        <v>43378.68</v>
      </c>
      <c r="G385" s="253">
        <f>F385*0.3+30365.076</f>
        <v>43378.68</v>
      </c>
      <c r="H385" s="253">
        <f t="shared" si="71"/>
        <v>0</v>
      </c>
      <c r="I385" s="254">
        <v>46023</v>
      </c>
      <c r="J385" s="190" t="s">
        <v>441</v>
      </c>
      <c r="K385" s="333"/>
      <c r="L385" s="333"/>
    </row>
    <row r="386" hidden="1" customHeight="1" spans="1:14">
      <c r="A386" s="190" t="s">
        <v>1358</v>
      </c>
      <c r="B386" s="190" t="s">
        <v>1486</v>
      </c>
      <c r="C386" s="190" t="s">
        <v>823</v>
      </c>
      <c r="D386" s="190">
        <v>10.556</v>
      </c>
      <c r="E386" s="190">
        <v>5830</v>
      </c>
      <c r="F386" s="114">
        <f t="shared" si="70"/>
        <v>61541.48</v>
      </c>
      <c r="G386" s="253">
        <f>49778.895+11762.585</f>
        <v>61541.48</v>
      </c>
      <c r="H386" s="253">
        <f t="shared" si="71"/>
        <v>0</v>
      </c>
      <c r="I386" s="254">
        <v>46082</v>
      </c>
      <c r="J386" s="190" t="s">
        <v>441</v>
      </c>
      <c r="K386" s="333"/>
      <c r="L386" s="333"/>
    </row>
    <row r="387" hidden="1" customHeight="1" spans="1:14">
      <c r="A387" s="190" t="s">
        <v>1358</v>
      </c>
      <c r="B387" s="190" t="s">
        <v>1487</v>
      </c>
      <c r="C387" s="190" t="s">
        <v>823</v>
      </c>
      <c r="D387" s="190">
        <v>21.112</v>
      </c>
      <c r="E387" s="190">
        <v>5830</v>
      </c>
      <c r="F387" s="114">
        <f t="shared" si="70"/>
        <v>123082.96</v>
      </c>
      <c r="G387" s="253">
        <f>F387*0.3+86158.072</f>
        <v>123082.96</v>
      </c>
      <c r="H387" s="253">
        <f t="shared" si="71"/>
        <v>0</v>
      </c>
      <c r="I387" s="254">
        <v>46082</v>
      </c>
      <c r="J387" s="190" t="s">
        <v>441</v>
      </c>
      <c r="K387" s="333"/>
      <c r="L387" s="333"/>
    </row>
    <row r="388" hidden="1" customHeight="1" spans="1:14">
      <c r="A388" s="190" t="s">
        <v>1358</v>
      </c>
      <c r="B388" s="190" t="s">
        <v>1485</v>
      </c>
      <c r="C388" s="190" t="s">
        <v>824</v>
      </c>
      <c r="D388" s="190">
        <v>18.348</v>
      </c>
      <c r="E388" s="190">
        <v>6660</v>
      </c>
      <c r="F388" s="114">
        <f t="shared" si="70"/>
        <v>122197.68</v>
      </c>
      <c r="G388" s="253">
        <f>F388*0.3+60000+25538.376</f>
        <v>122197.68</v>
      </c>
      <c r="H388" s="253">
        <f t="shared" si="71"/>
        <v>0</v>
      </c>
      <c r="I388" s="254">
        <v>46023</v>
      </c>
      <c r="J388" s="190" t="s">
        <v>441</v>
      </c>
      <c r="K388" s="333"/>
      <c r="L388" s="333"/>
    </row>
    <row r="389" hidden="1" customHeight="1" spans="1:14">
      <c r="A389" s="190" t="s">
        <v>1358</v>
      </c>
      <c r="B389" s="190" t="s">
        <v>1488</v>
      </c>
      <c r="C389" s="190" t="s">
        <v>824</v>
      </c>
      <c r="D389" s="190">
        <v>5.169</v>
      </c>
      <c r="E389" s="190">
        <v>6660</v>
      </c>
      <c r="F389" s="114">
        <f t="shared" ref="F389:F394" si="72">D389*E389</f>
        <v>34425.54</v>
      </c>
      <c r="G389" s="253">
        <f>F389*0.3+24097.878</f>
        <v>34425.54</v>
      </c>
      <c r="H389" s="253">
        <f t="shared" ref="H389:H394" si="73">F389-G389</f>
        <v>0</v>
      </c>
      <c r="I389" s="254">
        <v>46023</v>
      </c>
      <c r="J389" s="190" t="s">
        <v>441</v>
      </c>
      <c r="K389" s="333"/>
      <c r="L389" s="333"/>
    </row>
    <row r="390" hidden="1" customHeight="1" spans="1:14">
      <c r="A390" s="190" t="s">
        <v>1358</v>
      </c>
      <c r="B390" s="190" t="s">
        <v>1489</v>
      </c>
      <c r="C390" s="190" t="s">
        <v>825</v>
      </c>
      <c r="D390" s="190">
        <v>10.7</v>
      </c>
      <c r="E390" s="190">
        <v>5770</v>
      </c>
      <c r="F390" s="114">
        <f t="shared" si="72"/>
        <v>61739</v>
      </c>
      <c r="G390" s="253">
        <f>F390*0.3+43217.3</f>
        <v>61739</v>
      </c>
      <c r="H390" s="253">
        <f t="shared" si="73"/>
        <v>0</v>
      </c>
      <c r="I390" s="254">
        <v>46109</v>
      </c>
      <c r="J390" s="190" t="s">
        <v>441</v>
      </c>
      <c r="K390" s="333"/>
      <c r="L390" s="333"/>
    </row>
    <row r="391" hidden="1" customHeight="1" spans="1:14">
      <c r="A391" s="190" t="s">
        <v>1358</v>
      </c>
      <c r="B391" s="190" t="s">
        <v>1490</v>
      </c>
      <c r="C391" s="190" t="s">
        <v>825</v>
      </c>
      <c r="D391" s="190">
        <v>21.224</v>
      </c>
      <c r="E391" s="190">
        <v>5770</v>
      </c>
      <c r="F391" s="114">
        <f t="shared" si="72"/>
        <v>122462.48</v>
      </c>
      <c r="G391" s="253">
        <f>F391*0.3+85723.736</f>
        <v>122462.48</v>
      </c>
      <c r="H391" s="253">
        <f t="shared" si="73"/>
        <v>0</v>
      </c>
      <c r="I391" s="254">
        <v>46124</v>
      </c>
      <c r="J391" s="190" t="s">
        <v>441</v>
      </c>
      <c r="K391" s="333"/>
      <c r="L391" s="333"/>
    </row>
    <row r="392" hidden="1" customHeight="1" spans="1:14">
      <c r="A392" s="190" t="s">
        <v>1358</v>
      </c>
      <c r="B392" s="190" t="s">
        <v>1488</v>
      </c>
      <c r="C392" s="190" t="s">
        <v>826</v>
      </c>
      <c r="D392" s="190">
        <v>21.024</v>
      </c>
      <c r="E392" s="190">
        <v>5720</v>
      </c>
      <c r="F392" s="114">
        <f t="shared" si="72"/>
        <v>120257.28</v>
      </c>
      <c r="G392" s="253">
        <f>F392*0.3+84180.096</f>
        <v>120257.28</v>
      </c>
      <c r="H392" s="253">
        <f t="shared" si="73"/>
        <v>0</v>
      </c>
      <c r="I392" s="254">
        <v>46023</v>
      </c>
      <c r="J392" s="190" t="s">
        <v>441</v>
      </c>
      <c r="K392" s="333"/>
      <c r="L392" s="333"/>
    </row>
    <row r="393" hidden="1" customHeight="1" spans="1:14">
      <c r="A393" s="190" t="s">
        <v>1358</v>
      </c>
      <c r="B393" s="190" t="s">
        <v>1484</v>
      </c>
      <c r="C393" s="190" t="s">
        <v>826</v>
      </c>
      <c r="D393" s="190">
        <v>7.283</v>
      </c>
      <c r="E393" s="190">
        <v>5720</v>
      </c>
      <c r="F393" s="114">
        <f t="shared" si="72"/>
        <v>41658.76</v>
      </c>
      <c r="G393" s="253">
        <f>F393*0.3+29161.132</f>
        <v>41658.76</v>
      </c>
      <c r="H393" s="253">
        <f t="shared" si="73"/>
        <v>0</v>
      </c>
      <c r="I393" s="254">
        <v>46054</v>
      </c>
      <c r="J393" s="190" t="s">
        <v>441</v>
      </c>
      <c r="K393" s="333"/>
      <c r="L393" s="333"/>
    </row>
    <row r="394" hidden="1" customHeight="1" spans="1:14">
      <c r="A394" s="190" t="s">
        <v>1358</v>
      </c>
      <c r="B394" s="190" t="s">
        <v>1491</v>
      </c>
      <c r="C394" s="190" t="s">
        <v>821</v>
      </c>
      <c r="D394" s="190">
        <v>14.612</v>
      </c>
      <c r="E394" s="190">
        <v>6080</v>
      </c>
      <c r="F394" s="114">
        <f t="shared" si="72"/>
        <v>88840.96</v>
      </c>
      <c r="G394" s="253">
        <f>F394*0.3+62188.672</f>
        <v>88840.96</v>
      </c>
      <c r="H394" s="253">
        <f t="shared" si="73"/>
        <v>0</v>
      </c>
      <c r="I394" s="254">
        <v>46054</v>
      </c>
      <c r="J394" s="190" t="s">
        <v>441</v>
      </c>
      <c r="K394" s="333"/>
      <c r="L394" s="333"/>
    </row>
    <row r="395" hidden="1" customHeight="1" spans="1:14">
      <c r="A395" s="190" t="s">
        <v>1358</v>
      </c>
      <c r="B395" s="190" t="s">
        <v>1492</v>
      </c>
      <c r="C395" s="190" t="s">
        <v>827</v>
      </c>
      <c r="D395" s="190">
        <v>12.934</v>
      </c>
      <c r="E395" s="190">
        <v>5720</v>
      </c>
      <c r="F395" s="114">
        <f t="shared" ref="F395:F403" si="74">D395*E395</f>
        <v>73982.48</v>
      </c>
      <c r="G395" s="253">
        <f>F395*0.3+21532.152+30255.584</f>
        <v>73982.48</v>
      </c>
      <c r="H395" s="253">
        <f t="shared" ref="H395:H403" si="75">F395-G395</f>
        <v>0</v>
      </c>
      <c r="I395" s="254">
        <v>46023</v>
      </c>
      <c r="J395" s="190" t="s">
        <v>441</v>
      </c>
      <c r="K395" s="333"/>
      <c r="L395" s="333"/>
    </row>
    <row r="396" hidden="1" customHeight="1" spans="1:14">
      <c r="A396" s="190" t="s">
        <v>1358</v>
      </c>
      <c r="B396" s="190" t="s">
        <v>1482</v>
      </c>
      <c r="C396" s="190" t="s">
        <v>827</v>
      </c>
      <c r="D396" s="190">
        <v>3.068</v>
      </c>
      <c r="E396" s="190">
        <v>5720</v>
      </c>
      <c r="F396" s="114">
        <f t="shared" si="74"/>
        <v>17548.96</v>
      </c>
      <c r="G396" s="253">
        <f>F396*0.3+12284.272</f>
        <v>17548.96</v>
      </c>
      <c r="H396" s="253">
        <f t="shared" si="75"/>
        <v>0</v>
      </c>
      <c r="I396" s="254">
        <v>46023</v>
      </c>
      <c r="J396" s="190" t="s">
        <v>90</v>
      </c>
      <c r="K396" s="333"/>
      <c r="L396" s="333"/>
      <c r="N396" s="240" t="s">
        <v>1493</v>
      </c>
    </row>
    <row r="397" hidden="1" customHeight="1" spans="1:14">
      <c r="A397" s="190" t="s">
        <v>1358</v>
      </c>
      <c r="B397" s="190" t="s">
        <v>1494</v>
      </c>
      <c r="C397" s="190" t="s">
        <v>829</v>
      </c>
      <c r="D397" s="190">
        <v>1.471</v>
      </c>
      <c r="E397" s="190">
        <v>5570</v>
      </c>
      <c r="F397" s="114">
        <f t="shared" si="74"/>
        <v>8193.47</v>
      </c>
      <c r="G397" s="253">
        <f>F397*0.3+5735.429</f>
        <v>8193.47</v>
      </c>
      <c r="H397" s="253">
        <f t="shared" si="75"/>
        <v>0</v>
      </c>
      <c r="I397" s="254">
        <v>46023</v>
      </c>
      <c r="J397" s="190" t="s">
        <v>441</v>
      </c>
      <c r="K397" s="333"/>
      <c r="L397" s="333"/>
    </row>
    <row r="398" hidden="1" customHeight="1" spans="1:14">
      <c r="A398" s="190" t="s">
        <v>1358</v>
      </c>
      <c r="B398" s="190" t="s">
        <v>1495</v>
      </c>
      <c r="C398" s="190" t="s">
        <v>829</v>
      </c>
      <c r="D398" s="190">
        <v>15.004</v>
      </c>
      <c r="E398" s="190">
        <v>5570</v>
      </c>
      <c r="F398" s="114">
        <f t="shared" si="74"/>
        <v>83572.28</v>
      </c>
      <c r="G398" s="253">
        <f>F398*0.3+58500.596</f>
        <v>83572.28</v>
      </c>
      <c r="H398" s="253">
        <f t="shared" si="75"/>
        <v>0</v>
      </c>
      <c r="I398" s="254">
        <v>46023</v>
      </c>
      <c r="J398" s="190" t="s">
        <v>441</v>
      </c>
      <c r="K398" s="333"/>
      <c r="L398" s="333"/>
    </row>
    <row r="399" hidden="1" customHeight="1" spans="1:14">
      <c r="A399" s="190" t="s">
        <v>1358</v>
      </c>
      <c r="B399" s="190" t="s">
        <v>1483</v>
      </c>
      <c r="C399" s="190" t="s">
        <v>830</v>
      </c>
      <c r="D399" s="190">
        <v>0.363</v>
      </c>
      <c r="E399" s="190">
        <v>5570</v>
      </c>
      <c r="F399" s="114">
        <f t="shared" si="74"/>
        <v>2021.91</v>
      </c>
      <c r="G399" s="253">
        <f>F399*0.3+1415.337</f>
        <v>2021.91</v>
      </c>
      <c r="H399" s="253">
        <f t="shared" si="75"/>
        <v>0</v>
      </c>
      <c r="I399" s="254">
        <v>46023</v>
      </c>
      <c r="J399" s="190" t="s">
        <v>441</v>
      </c>
      <c r="K399" s="333"/>
      <c r="L399" s="333"/>
    </row>
    <row r="400" hidden="1" customHeight="1" spans="1:14">
      <c r="A400" s="190" t="s">
        <v>1358</v>
      </c>
      <c r="B400" s="190" t="s">
        <v>1494</v>
      </c>
      <c r="C400" s="190" t="s">
        <v>830</v>
      </c>
      <c r="D400" s="190">
        <v>12.22</v>
      </c>
      <c r="E400" s="190">
        <v>5570</v>
      </c>
      <c r="F400" s="114">
        <f t="shared" si="74"/>
        <v>68065.4</v>
      </c>
      <c r="G400" s="253">
        <f>F400*0.3+47645.78</f>
        <v>68065.4</v>
      </c>
      <c r="H400" s="253">
        <f t="shared" si="75"/>
        <v>0</v>
      </c>
      <c r="I400" s="254">
        <v>46023</v>
      </c>
      <c r="J400" s="190" t="s">
        <v>441</v>
      </c>
      <c r="K400" s="333"/>
      <c r="L400" s="333"/>
    </row>
    <row r="401" hidden="1" customHeight="1" spans="1:14">
      <c r="A401" s="190" t="s">
        <v>1358</v>
      </c>
      <c r="B401" s="190" t="s">
        <v>1495</v>
      </c>
      <c r="C401" s="190" t="s">
        <v>831</v>
      </c>
      <c r="D401" s="190">
        <v>10.977</v>
      </c>
      <c r="E401" s="190">
        <v>5570</v>
      </c>
      <c r="F401" s="114">
        <f t="shared" si="74"/>
        <v>61141.89</v>
      </c>
      <c r="G401" s="253">
        <f>F401*0.3+42799.323</f>
        <v>61141.89</v>
      </c>
      <c r="H401" s="253">
        <f t="shared" si="75"/>
        <v>0</v>
      </c>
      <c r="I401" s="254">
        <v>46023</v>
      </c>
      <c r="J401" s="190" t="s">
        <v>441</v>
      </c>
      <c r="K401" s="333"/>
      <c r="L401" s="333"/>
    </row>
    <row r="402" hidden="1" customHeight="1" spans="1:14">
      <c r="A402" s="190" t="s">
        <v>1358</v>
      </c>
      <c r="B402" s="190" t="s">
        <v>1496</v>
      </c>
      <c r="C402" s="190" t="s">
        <v>831</v>
      </c>
      <c r="D402" s="190">
        <v>2.992</v>
      </c>
      <c r="E402" s="190">
        <v>5570</v>
      </c>
      <c r="F402" s="114">
        <f t="shared" si="74"/>
        <v>16665.44</v>
      </c>
      <c r="G402" s="253">
        <f>F402*0.3+11665.808</f>
        <v>16665.44</v>
      </c>
      <c r="H402" s="253">
        <f t="shared" si="75"/>
        <v>0</v>
      </c>
      <c r="I402" s="254">
        <v>46023</v>
      </c>
      <c r="J402" s="190" t="s">
        <v>441</v>
      </c>
      <c r="K402" s="333"/>
      <c r="L402" s="333"/>
      <c r="N402" s="240" t="s">
        <v>1497</v>
      </c>
    </row>
    <row r="403" hidden="1" customHeight="1" spans="1:14">
      <c r="A403" s="190" t="s">
        <v>1358</v>
      </c>
      <c r="B403" s="190" t="s">
        <v>1494</v>
      </c>
      <c r="C403" s="190" t="s">
        <v>832</v>
      </c>
      <c r="D403" s="190">
        <v>12.56</v>
      </c>
      <c r="E403" s="190">
        <v>5570</v>
      </c>
      <c r="F403" s="114">
        <f t="shared" si="74"/>
        <v>69959.2</v>
      </c>
      <c r="G403" s="253">
        <f>F403*0.3+48971.44</f>
        <v>69959.2</v>
      </c>
      <c r="H403" s="253">
        <f t="shared" si="75"/>
        <v>0</v>
      </c>
      <c r="I403" s="254">
        <v>46023</v>
      </c>
      <c r="J403" s="190" t="s">
        <v>441</v>
      </c>
      <c r="K403" s="333"/>
      <c r="L403" s="333"/>
    </row>
    <row r="404" hidden="1" customHeight="1" spans="1:14">
      <c r="A404" s="190" t="s">
        <v>1358</v>
      </c>
      <c r="B404" s="190" t="s">
        <v>1491</v>
      </c>
      <c r="C404" s="190" t="s">
        <v>833</v>
      </c>
      <c r="D404" s="190">
        <v>11.117</v>
      </c>
      <c r="E404" s="190">
        <v>5520</v>
      </c>
      <c r="F404" s="114">
        <f t="shared" ref="F404:F409" si="76">D404*E404</f>
        <v>61365.84</v>
      </c>
      <c r="G404" s="253">
        <f>F404*0.3+42956.088</f>
        <v>61365.84</v>
      </c>
      <c r="H404" s="253">
        <f t="shared" ref="H404:H409" si="77">F404-G404</f>
        <v>0</v>
      </c>
      <c r="I404" s="254">
        <v>46054</v>
      </c>
      <c r="J404" s="190" t="s">
        <v>441</v>
      </c>
      <c r="K404" s="333"/>
      <c r="L404" s="333"/>
    </row>
    <row r="405" hidden="1" customHeight="1" spans="1:14">
      <c r="A405" s="190" t="s">
        <v>1358</v>
      </c>
      <c r="B405" s="190" t="s">
        <v>1492</v>
      </c>
      <c r="C405" s="190" t="s">
        <v>834</v>
      </c>
      <c r="D405" s="190">
        <v>13.55</v>
      </c>
      <c r="E405" s="190">
        <v>5520</v>
      </c>
      <c r="F405" s="114">
        <f t="shared" si="76"/>
        <v>74796</v>
      </c>
      <c r="G405" s="253">
        <f>F405*0.3+52357.2</f>
        <v>74796</v>
      </c>
      <c r="H405" s="253">
        <f t="shared" si="77"/>
        <v>0</v>
      </c>
      <c r="I405" s="254">
        <v>46054</v>
      </c>
      <c r="J405" s="190" t="s">
        <v>441</v>
      </c>
      <c r="K405" s="333"/>
      <c r="L405" s="333"/>
    </row>
    <row r="406" hidden="1" customHeight="1" spans="1:14">
      <c r="A406" s="190" t="s">
        <v>1358</v>
      </c>
      <c r="B406" s="190" t="s">
        <v>835</v>
      </c>
      <c r="C406" s="190" t="s">
        <v>824</v>
      </c>
      <c r="D406" s="190">
        <v>20.842</v>
      </c>
      <c r="E406" s="190">
        <v>5770</v>
      </c>
      <c r="F406" s="114">
        <f t="shared" si="76"/>
        <v>120258.34</v>
      </c>
      <c r="G406" s="253">
        <f>34620+85638.34</f>
        <v>120258.34</v>
      </c>
      <c r="H406" s="253">
        <f t="shared" si="77"/>
        <v>0</v>
      </c>
      <c r="I406" s="254">
        <v>46054</v>
      </c>
      <c r="J406" s="190" t="s">
        <v>441</v>
      </c>
      <c r="K406" s="333"/>
      <c r="L406" s="333"/>
    </row>
    <row r="407" customHeight="1" spans="1:14">
      <c r="A407" s="190" t="s">
        <v>93</v>
      </c>
      <c r="B407" s="190" t="s">
        <v>1498</v>
      </c>
      <c r="C407" s="190" t="s">
        <v>840</v>
      </c>
      <c r="D407" s="190">
        <v>82.35</v>
      </c>
      <c r="E407" s="190">
        <f t="shared" ref="E407:E409" si="78">5350+250</f>
        <v>5600</v>
      </c>
      <c r="F407" s="114">
        <f t="shared" si="76"/>
        <v>461160</v>
      </c>
      <c r="G407" s="253">
        <v>461160</v>
      </c>
      <c r="H407" s="253">
        <f t="shared" si="77"/>
        <v>0</v>
      </c>
      <c r="I407" s="254">
        <v>46042</v>
      </c>
      <c r="J407" s="190" t="s">
        <v>441</v>
      </c>
      <c r="K407" s="190"/>
      <c r="L407" s="333"/>
    </row>
    <row r="408" customHeight="1" spans="1:14">
      <c r="A408" s="190" t="s">
        <v>93</v>
      </c>
      <c r="B408" s="190" t="s">
        <v>839</v>
      </c>
      <c r="C408" s="190" t="s">
        <v>840</v>
      </c>
      <c r="D408" s="190">
        <f>412.5-D407-SUM(D410:D417)</f>
        <v>41.525</v>
      </c>
      <c r="E408" s="190">
        <f t="shared" si="78"/>
        <v>5600</v>
      </c>
      <c r="F408" s="114">
        <f t="shared" si="76"/>
        <v>232540</v>
      </c>
      <c r="G408" s="253">
        <v>0</v>
      </c>
      <c r="H408" s="253">
        <f t="shared" si="77"/>
        <v>232540</v>
      </c>
      <c r="I408" s="389">
        <v>46388</v>
      </c>
      <c r="J408" s="190"/>
      <c r="K408" s="190"/>
      <c r="L408" s="333"/>
    </row>
    <row r="409" customHeight="1" spans="1:14">
      <c r="A409" s="190" t="s">
        <v>93</v>
      </c>
      <c r="B409" s="190" t="s">
        <v>1499</v>
      </c>
      <c r="C409" s="190" t="s">
        <v>840</v>
      </c>
      <c r="D409" s="190">
        <v>27.45</v>
      </c>
      <c r="E409" s="190">
        <f t="shared" si="78"/>
        <v>5600</v>
      </c>
      <c r="F409" s="114">
        <f t="shared" si="76"/>
        <v>153720</v>
      </c>
      <c r="G409" s="253">
        <f>F409</f>
        <v>153720</v>
      </c>
      <c r="H409" s="253">
        <f t="shared" si="77"/>
        <v>0</v>
      </c>
      <c r="I409" s="389">
        <v>46096</v>
      </c>
      <c r="J409" s="190" t="s">
        <v>441</v>
      </c>
      <c r="K409" s="190"/>
      <c r="L409" s="333"/>
    </row>
    <row r="410" customHeight="1" spans="1:14">
      <c r="A410" s="190" t="s">
        <v>93</v>
      </c>
      <c r="B410" s="190" t="s">
        <v>1500</v>
      </c>
      <c r="C410" s="190" t="s">
        <v>840</v>
      </c>
      <c r="D410" s="351">
        <f>55-D409</f>
        <v>27.55</v>
      </c>
      <c r="E410" s="190">
        <f t="shared" ref="E410:E417" si="79">5350+250</f>
        <v>5600</v>
      </c>
      <c r="F410" s="114">
        <f t="shared" ref="F410:F417" si="80">D410*E410</f>
        <v>154280</v>
      </c>
      <c r="G410" s="253">
        <f>F410</f>
        <v>154280</v>
      </c>
      <c r="H410" s="253">
        <f t="shared" ref="H410:H417" si="81">F410-G410</f>
        <v>0</v>
      </c>
      <c r="I410" s="389">
        <v>46096</v>
      </c>
      <c r="J410" s="190" t="s">
        <v>1501</v>
      </c>
      <c r="K410" s="190"/>
      <c r="L410" s="333"/>
    </row>
    <row r="411" customHeight="1" spans="1:14">
      <c r="A411" s="190" t="s">
        <v>93</v>
      </c>
      <c r="B411" s="190" t="s">
        <v>1502</v>
      </c>
      <c r="C411" s="190" t="s">
        <v>840</v>
      </c>
      <c r="D411" s="190">
        <v>54.9</v>
      </c>
      <c r="E411" s="190">
        <f t="shared" si="79"/>
        <v>5600</v>
      </c>
      <c r="F411" s="114">
        <f t="shared" si="80"/>
        <v>307440</v>
      </c>
      <c r="G411" s="253">
        <f>230840+76600</f>
        <v>307440</v>
      </c>
      <c r="H411" s="253">
        <f t="shared" si="81"/>
        <v>0</v>
      </c>
      <c r="I411" s="389">
        <v>46127</v>
      </c>
      <c r="J411" s="190" t="s">
        <v>441</v>
      </c>
      <c r="K411" s="190"/>
      <c r="L411" s="333"/>
    </row>
    <row r="412" customHeight="1" spans="1:14">
      <c r="A412" s="190" t="s">
        <v>93</v>
      </c>
      <c r="B412" s="190" t="s">
        <v>1503</v>
      </c>
      <c r="C412" s="190" t="s">
        <v>840</v>
      </c>
      <c r="D412" s="190">
        <v>41.175</v>
      </c>
      <c r="E412" s="190">
        <f t="shared" si="79"/>
        <v>5600</v>
      </c>
      <c r="F412" s="114">
        <f t="shared" si="80"/>
        <v>230580</v>
      </c>
      <c r="G412" s="253">
        <f>308000-77420</f>
        <v>230580</v>
      </c>
      <c r="H412" s="253">
        <f t="shared" si="81"/>
        <v>0</v>
      </c>
      <c r="I412" s="389">
        <v>46157</v>
      </c>
      <c r="J412" s="190" t="s">
        <v>1504</v>
      </c>
      <c r="K412" s="190"/>
      <c r="L412" s="333"/>
    </row>
    <row r="413" customHeight="1" spans="1:14">
      <c r="A413" s="190" t="s">
        <v>93</v>
      </c>
      <c r="B413" s="190" t="s">
        <v>1505</v>
      </c>
      <c r="C413" s="190" t="s">
        <v>840</v>
      </c>
      <c r="D413" s="190">
        <f>27.5*2</f>
        <v>55</v>
      </c>
      <c r="E413" s="190">
        <f t="shared" si="79"/>
        <v>5600</v>
      </c>
      <c r="F413" s="114">
        <f t="shared" si="80"/>
        <v>308000</v>
      </c>
      <c r="G413" s="253">
        <v>77420</v>
      </c>
      <c r="H413" s="253">
        <f t="shared" si="81"/>
        <v>230580</v>
      </c>
      <c r="I413" s="389">
        <v>46188</v>
      </c>
      <c r="J413" s="190" t="s">
        <v>1506</v>
      </c>
      <c r="K413" s="190"/>
      <c r="L413" s="333"/>
    </row>
    <row r="414" customHeight="1" spans="1:14">
      <c r="A414" s="190" t="s">
        <v>93</v>
      </c>
      <c r="B414" s="190" t="s">
        <v>1507</v>
      </c>
      <c r="C414" s="190" t="s">
        <v>840</v>
      </c>
      <c r="D414" s="190">
        <v>27.5</v>
      </c>
      <c r="E414" s="190">
        <f t="shared" si="79"/>
        <v>5600</v>
      </c>
      <c r="F414" s="114">
        <f t="shared" si="80"/>
        <v>154000</v>
      </c>
      <c r="G414" s="253">
        <v>0</v>
      </c>
      <c r="H414" s="253">
        <f t="shared" si="81"/>
        <v>154000</v>
      </c>
      <c r="I414" s="389">
        <v>46218</v>
      </c>
      <c r="J414" s="190"/>
      <c r="K414" s="190" t="s">
        <v>88</v>
      </c>
      <c r="L414" s="333"/>
    </row>
    <row r="415" customHeight="1" spans="1:14">
      <c r="A415" s="190" t="s">
        <v>93</v>
      </c>
      <c r="B415" s="190" t="s">
        <v>1508</v>
      </c>
      <c r="C415" s="190" t="s">
        <v>840</v>
      </c>
      <c r="D415" s="190">
        <v>27.5</v>
      </c>
      <c r="E415" s="190">
        <f t="shared" si="79"/>
        <v>5600</v>
      </c>
      <c r="F415" s="114">
        <f t="shared" si="80"/>
        <v>154000</v>
      </c>
      <c r="G415" s="253">
        <v>0</v>
      </c>
      <c r="H415" s="253">
        <f t="shared" si="81"/>
        <v>154000</v>
      </c>
      <c r="I415" s="389">
        <v>46249</v>
      </c>
      <c r="J415" s="190"/>
      <c r="K415" s="190" t="s">
        <v>88</v>
      </c>
      <c r="L415" s="333"/>
    </row>
    <row r="416" customHeight="1" spans="1:14">
      <c r="A416" s="190" t="s">
        <v>93</v>
      </c>
      <c r="B416" s="190" t="s">
        <v>1509</v>
      </c>
      <c r="C416" s="190" t="s">
        <v>840</v>
      </c>
      <c r="D416" s="190">
        <v>27.5</v>
      </c>
      <c r="E416" s="190">
        <f t="shared" si="79"/>
        <v>5600</v>
      </c>
      <c r="F416" s="114">
        <f t="shared" si="80"/>
        <v>154000</v>
      </c>
      <c r="G416" s="253">
        <v>0</v>
      </c>
      <c r="H416" s="253">
        <f t="shared" si="81"/>
        <v>154000</v>
      </c>
      <c r="I416" s="389">
        <v>46341</v>
      </c>
      <c r="J416" s="190"/>
      <c r="K416" s="190"/>
      <c r="L416" s="333"/>
    </row>
    <row r="417" customHeight="1" spans="1:14">
      <c r="A417" s="190" t="s">
        <v>93</v>
      </c>
      <c r="B417" s="190" t="s">
        <v>1510</v>
      </c>
      <c r="C417" s="190" t="s">
        <v>840</v>
      </c>
      <c r="D417" s="190">
        <v>27.5</v>
      </c>
      <c r="E417" s="190">
        <f t="shared" si="79"/>
        <v>5600</v>
      </c>
      <c r="F417" s="114">
        <f t="shared" si="80"/>
        <v>154000</v>
      </c>
      <c r="G417" s="253">
        <v>0</v>
      </c>
      <c r="H417" s="253">
        <f t="shared" si="81"/>
        <v>154000</v>
      </c>
      <c r="I417" s="389">
        <v>46371</v>
      </c>
      <c r="J417" s="190"/>
      <c r="K417" s="190"/>
      <c r="L417" s="333"/>
    </row>
    <row r="418" customHeight="1" spans="1:14">
      <c r="A418" s="190" t="s">
        <v>93</v>
      </c>
      <c r="B418" s="190" t="s">
        <v>843</v>
      </c>
      <c r="C418" s="76" t="s">
        <v>652</v>
      </c>
      <c r="D418" s="190">
        <v>97.008</v>
      </c>
      <c r="E418" s="190">
        <v>5890</v>
      </c>
      <c r="F418" s="114">
        <f>D418*E418*0.1</f>
        <v>57137.712</v>
      </c>
      <c r="G418" s="114">
        <f>58900-1762.288</f>
        <v>57137.712</v>
      </c>
      <c r="H418" s="253">
        <f t="shared" ref="H418:H430" si="82">F418-G418</f>
        <v>0</v>
      </c>
      <c r="I418" s="254">
        <v>45971</v>
      </c>
      <c r="J418" s="190"/>
      <c r="K418" s="190"/>
      <c r="L418" s="333"/>
    </row>
    <row r="419" customHeight="1" spans="1:14">
      <c r="A419" s="190" t="s">
        <v>93</v>
      </c>
      <c r="B419" s="190" t="s">
        <v>843</v>
      </c>
      <c r="C419" s="76" t="s">
        <v>652</v>
      </c>
      <c r="D419" s="190">
        <v>97.008</v>
      </c>
      <c r="E419" s="190">
        <v>5890</v>
      </c>
      <c r="F419" s="114">
        <f>D419*E419*0.9</f>
        <v>514239.408</v>
      </c>
      <c r="G419" s="114">
        <f>477090+1762.288+906.990000000005+2142.09999999999+32338.03</f>
        <v>514239.408</v>
      </c>
      <c r="H419" s="364">
        <f t="shared" si="82"/>
        <v>0</v>
      </c>
      <c r="I419" s="254">
        <v>46028</v>
      </c>
      <c r="J419" s="365"/>
      <c r="K419" s="365"/>
      <c r="L419" s="333"/>
    </row>
    <row r="420" customHeight="1" spans="1:14">
      <c r="A420" s="190" t="s">
        <v>93</v>
      </c>
      <c r="B420" s="190" t="s">
        <v>843</v>
      </c>
      <c r="C420" s="76" t="s">
        <v>654</v>
      </c>
      <c r="D420" s="190">
        <v>100.492</v>
      </c>
      <c r="E420" s="190">
        <v>5890</v>
      </c>
      <c r="F420" s="114">
        <f>D420*E420*0.1</f>
        <v>59189.788</v>
      </c>
      <c r="G420" s="114">
        <f>58900+289.788</f>
        <v>59189.788</v>
      </c>
      <c r="H420" s="253">
        <f t="shared" si="82"/>
        <v>0</v>
      </c>
      <c r="I420" s="254">
        <v>45971</v>
      </c>
      <c r="J420" s="365"/>
      <c r="K420" s="365"/>
      <c r="L420" s="333"/>
    </row>
    <row r="421" customHeight="1" spans="1:14">
      <c r="A421" s="190" t="s">
        <v>93</v>
      </c>
      <c r="B421" s="190" t="s">
        <v>843</v>
      </c>
      <c r="C421" s="76" t="s">
        <v>654</v>
      </c>
      <c r="D421" s="190">
        <v>100.492</v>
      </c>
      <c r="E421" s="190">
        <v>5890</v>
      </c>
      <c r="F421" s="114">
        <f>D421*E421*0.9</f>
        <v>532708.092</v>
      </c>
      <c r="G421" s="114">
        <f>477090-289.788+55907.8799999999</f>
        <v>532708.092</v>
      </c>
      <c r="H421" s="364">
        <f t="shared" si="82"/>
        <v>0</v>
      </c>
      <c r="I421" s="254">
        <v>46028</v>
      </c>
      <c r="J421" s="365"/>
      <c r="K421" s="365"/>
      <c r="L421" s="333"/>
    </row>
    <row r="422" customHeight="1" spans="1:14">
      <c r="A422" s="269" t="s">
        <v>93</v>
      </c>
      <c r="B422" s="269" t="s">
        <v>848</v>
      </c>
      <c r="C422" s="269" t="s">
        <v>849</v>
      </c>
      <c r="D422" s="190">
        <v>13.353</v>
      </c>
      <c r="E422" s="190">
        <v>6170</v>
      </c>
      <c r="F422" s="114">
        <f>D422*E422</f>
        <v>82388.01</v>
      </c>
      <c r="G422" s="253">
        <f>83295-906.990000000005</f>
        <v>82388.01</v>
      </c>
      <c r="H422" s="253">
        <f t="shared" si="82"/>
        <v>0</v>
      </c>
      <c r="I422" s="254">
        <v>46029</v>
      </c>
      <c r="J422" s="365"/>
      <c r="K422" s="365"/>
      <c r="L422" s="333"/>
    </row>
    <row r="423" customHeight="1" spans="1:14">
      <c r="A423" s="269" t="s">
        <v>93</v>
      </c>
      <c r="B423" s="269" t="s">
        <v>848</v>
      </c>
      <c r="C423" s="269" t="s">
        <v>851</v>
      </c>
      <c r="D423" s="190">
        <v>10.49</v>
      </c>
      <c r="E423" s="190">
        <v>6910</v>
      </c>
      <c r="F423" s="114">
        <f>D423*E423</f>
        <v>72485.9</v>
      </c>
      <c r="G423" s="253">
        <f>74628-2142.09999999999</f>
        <v>72485.9</v>
      </c>
      <c r="H423" s="253">
        <f t="shared" si="82"/>
        <v>0</v>
      </c>
      <c r="I423" s="254">
        <v>46033</v>
      </c>
      <c r="J423" s="365"/>
      <c r="K423" s="365"/>
      <c r="L423" s="333"/>
    </row>
    <row r="424" customHeight="1" spans="1:14">
      <c r="A424" s="190" t="s">
        <v>93</v>
      </c>
      <c r="B424" s="190" t="s">
        <v>853</v>
      </c>
      <c r="C424" s="76" t="s">
        <v>639</v>
      </c>
      <c r="D424" s="190">
        <v>84.906</v>
      </c>
      <c r="E424" s="190">
        <v>5925</v>
      </c>
      <c r="F424" s="114">
        <f>D424*E424*0.1</f>
        <v>50306.805</v>
      </c>
      <c r="G424" s="114">
        <f>53325-3018.19499999999</f>
        <v>50306.805</v>
      </c>
      <c r="H424" s="253">
        <f t="shared" si="82"/>
        <v>0</v>
      </c>
      <c r="I424" s="254">
        <v>45971</v>
      </c>
      <c r="J424" s="190" t="s">
        <v>90</v>
      </c>
      <c r="K424" s="190"/>
      <c r="L424" s="333"/>
    </row>
    <row r="425" customHeight="1" spans="1:14">
      <c r="A425" s="190" t="s">
        <v>93</v>
      </c>
      <c r="B425" s="190" t="s">
        <v>853</v>
      </c>
      <c r="C425" s="76" t="s">
        <v>639</v>
      </c>
      <c r="D425" s="190">
        <v>84.906</v>
      </c>
      <c r="E425" s="190">
        <v>5925</v>
      </c>
      <c r="F425" s="114">
        <f>D425*E425*0.9</f>
        <v>452761.245</v>
      </c>
      <c r="G425" s="114">
        <f>3018.19499999999+449743.05</f>
        <v>452761.245</v>
      </c>
      <c r="H425" s="253">
        <f t="shared" si="82"/>
        <v>0</v>
      </c>
      <c r="I425" s="254">
        <v>46016</v>
      </c>
      <c r="J425" s="190" t="s">
        <v>90</v>
      </c>
      <c r="K425" s="190"/>
      <c r="L425" s="333"/>
    </row>
    <row r="426" customHeight="1" spans="1:14">
      <c r="A426" s="190" t="s">
        <v>93</v>
      </c>
      <c r="B426" s="190" t="s">
        <v>1511</v>
      </c>
      <c r="C426" s="76" t="s">
        <v>639</v>
      </c>
      <c r="D426" s="190">
        <f>90.683-84.906</f>
        <v>5.777</v>
      </c>
      <c r="E426" s="190">
        <v>5925</v>
      </c>
      <c r="F426" s="114">
        <f>D426*E426</f>
        <v>34228.725</v>
      </c>
      <c r="G426" s="253">
        <v>34228.725</v>
      </c>
      <c r="H426" s="253">
        <f t="shared" si="82"/>
        <v>0</v>
      </c>
      <c r="I426" s="254">
        <v>46016</v>
      </c>
      <c r="J426" s="190" t="s">
        <v>90</v>
      </c>
      <c r="K426" s="190"/>
      <c r="L426" s="333"/>
      <c r="N426" s="377" t="s">
        <v>1512</v>
      </c>
    </row>
    <row r="427" customHeight="1" spans="1:14">
      <c r="A427" s="190" t="s">
        <v>93</v>
      </c>
      <c r="B427" s="190" t="s">
        <v>853</v>
      </c>
      <c r="C427" s="76" t="s">
        <v>637</v>
      </c>
      <c r="D427" s="190">
        <v>14.405</v>
      </c>
      <c r="E427" s="190">
        <v>5925</v>
      </c>
      <c r="F427" s="114">
        <f>D427*E427*0.1</f>
        <v>8534.9625</v>
      </c>
      <c r="G427" s="253">
        <f>8887.5-352.5375</f>
        <v>8534.9625</v>
      </c>
      <c r="H427" s="253">
        <f t="shared" si="82"/>
        <v>0</v>
      </c>
      <c r="I427" s="254">
        <v>45971</v>
      </c>
      <c r="J427" s="190" t="s">
        <v>90</v>
      </c>
      <c r="K427" s="190"/>
      <c r="L427" s="333"/>
    </row>
    <row r="428" customHeight="1" spans="1:14">
      <c r="A428" s="190" t="s">
        <v>93</v>
      </c>
      <c r="B428" s="190" t="s">
        <v>853</v>
      </c>
      <c r="C428" s="76" t="s">
        <v>637</v>
      </c>
      <c r="D428" s="190">
        <v>14.405</v>
      </c>
      <c r="E428" s="190">
        <v>5925</v>
      </c>
      <c r="F428" s="114">
        <f t="shared" ref="F428:F430" si="83">D428*E428*0.9</f>
        <v>76814.6625</v>
      </c>
      <c r="G428" s="253">
        <f>352.5375+76462.125</f>
        <v>76814.6625</v>
      </c>
      <c r="H428" s="253">
        <f t="shared" si="82"/>
        <v>0</v>
      </c>
      <c r="I428" s="254">
        <v>46016</v>
      </c>
      <c r="J428" s="190" t="s">
        <v>90</v>
      </c>
      <c r="K428" s="190"/>
      <c r="L428" s="333"/>
    </row>
    <row r="429" customHeight="1" spans="1:14">
      <c r="A429" s="190" t="s">
        <v>93</v>
      </c>
      <c r="B429" s="190" t="s">
        <v>853</v>
      </c>
      <c r="C429" s="76" t="s">
        <v>640</v>
      </c>
      <c r="D429" s="190">
        <v>46.304</v>
      </c>
      <c r="E429" s="190">
        <v>5875</v>
      </c>
      <c r="F429" s="114">
        <f>D429*E429*0.1</f>
        <v>27203.6</v>
      </c>
      <c r="G429" s="114">
        <f>31725-1213.775-3307.625</f>
        <v>27203.6</v>
      </c>
      <c r="H429" s="253">
        <f t="shared" si="82"/>
        <v>0</v>
      </c>
      <c r="I429" s="254">
        <v>45971</v>
      </c>
      <c r="J429" s="190" t="s">
        <v>90</v>
      </c>
      <c r="K429" s="190"/>
      <c r="L429" s="333"/>
    </row>
    <row r="430" customHeight="1" spans="1:14">
      <c r="A430" s="190" t="s">
        <v>93</v>
      </c>
      <c r="B430" s="190" t="s">
        <v>853</v>
      </c>
      <c r="C430" s="76" t="s">
        <v>640</v>
      </c>
      <c r="D430" s="190">
        <v>46.304</v>
      </c>
      <c r="E430" s="190">
        <v>5875</v>
      </c>
      <c r="F430" s="114">
        <f t="shared" si="83"/>
        <v>244832.4</v>
      </c>
      <c r="G430" s="253">
        <f>1213.775+3307.625+240311</f>
        <v>244832.4</v>
      </c>
      <c r="H430" s="253">
        <f t="shared" si="82"/>
        <v>0</v>
      </c>
      <c r="I430" s="254">
        <v>46016</v>
      </c>
      <c r="J430" s="190" t="s">
        <v>90</v>
      </c>
      <c r="K430" s="190"/>
      <c r="L430" s="333"/>
    </row>
    <row r="431" customHeight="1" spans="1:14">
      <c r="A431" s="190" t="s">
        <v>93</v>
      </c>
      <c r="B431" s="190" t="s">
        <v>1511</v>
      </c>
      <c r="C431" s="76" t="s">
        <v>640</v>
      </c>
      <c r="D431" s="304">
        <f>51.934-46.304</f>
        <v>5.63</v>
      </c>
      <c r="E431" s="190">
        <v>5875</v>
      </c>
      <c r="F431" s="114">
        <f t="shared" ref="F431:F436" si="84">D431*E431</f>
        <v>33076.25</v>
      </c>
      <c r="G431" s="253">
        <v>33076.25</v>
      </c>
      <c r="H431" s="253">
        <f t="shared" ref="H431:H436" si="85">F431-G431</f>
        <v>0</v>
      </c>
      <c r="I431" s="254">
        <v>46016</v>
      </c>
      <c r="J431" s="190" t="s">
        <v>90</v>
      </c>
      <c r="K431" s="190"/>
      <c r="L431" s="333"/>
      <c r="N431" s="377" t="s">
        <v>1512</v>
      </c>
    </row>
    <row r="432" customHeight="1" spans="1:14">
      <c r="A432" s="190" t="s">
        <v>93</v>
      </c>
      <c r="B432" s="190" t="s">
        <v>857</v>
      </c>
      <c r="C432" s="190" t="s">
        <v>858</v>
      </c>
      <c r="D432" s="190">
        <v>14.388</v>
      </c>
      <c r="E432" s="190">
        <v>5650</v>
      </c>
      <c r="F432" s="114">
        <f t="shared" si="84"/>
        <v>81292.2</v>
      </c>
      <c r="G432" s="253">
        <v>81292.2</v>
      </c>
      <c r="H432" s="253">
        <f t="shared" si="85"/>
        <v>0</v>
      </c>
      <c r="I432" s="390">
        <v>46032</v>
      </c>
      <c r="J432" s="190"/>
      <c r="K432" s="190"/>
      <c r="L432" s="333"/>
    </row>
    <row r="433" customHeight="1" spans="1:13">
      <c r="A433" s="190" t="s">
        <v>93</v>
      </c>
      <c r="B433" s="190" t="s">
        <v>857</v>
      </c>
      <c r="C433" s="190" t="s">
        <v>860</v>
      </c>
      <c r="D433" s="190">
        <v>17.042</v>
      </c>
      <c r="E433" s="190">
        <v>5550</v>
      </c>
      <c r="F433" s="114">
        <f t="shared" si="84"/>
        <v>94583.1</v>
      </c>
      <c r="G433" s="253">
        <v>94583.1</v>
      </c>
      <c r="H433" s="253">
        <f t="shared" si="85"/>
        <v>0</v>
      </c>
      <c r="I433" s="390">
        <v>46032</v>
      </c>
      <c r="J433" s="190"/>
      <c r="K433" s="190"/>
      <c r="L433" s="333"/>
    </row>
    <row r="434" customHeight="1" spans="1:13">
      <c r="A434" s="190" t="s">
        <v>93</v>
      </c>
      <c r="B434" s="190" t="s">
        <v>857</v>
      </c>
      <c r="C434" s="190" t="s">
        <v>861</v>
      </c>
      <c r="D434" s="190">
        <v>16.5</v>
      </c>
      <c r="E434" s="190">
        <v>5680</v>
      </c>
      <c r="F434" s="114">
        <f t="shared" si="84"/>
        <v>93720</v>
      </c>
      <c r="G434" s="253">
        <v>93720</v>
      </c>
      <c r="H434" s="253">
        <f t="shared" si="85"/>
        <v>0</v>
      </c>
      <c r="I434" s="390">
        <v>46032</v>
      </c>
      <c r="J434" s="190"/>
      <c r="K434" s="190"/>
      <c r="L434" s="333"/>
    </row>
    <row r="435" hidden="1" customHeight="1" spans="1:13">
      <c r="A435" s="190" t="s">
        <v>1364</v>
      </c>
      <c r="B435" s="76" t="s">
        <v>1513</v>
      </c>
      <c r="C435" s="76" t="s">
        <v>863</v>
      </c>
      <c r="D435" s="76">
        <v>164.484</v>
      </c>
      <c r="E435" s="127">
        <v>8381</v>
      </c>
      <c r="F435" s="114">
        <f t="shared" si="84"/>
        <v>1378540.404</v>
      </c>
      <c r="G435" s="253">
        <f>F435*0.25+1033905.3</f>
        <v>1378540.401</v>
      </c>
      <c r="H435" s="253">
        <f t="shared" si="85"/>
        <v>0.00300000002607703</v>
      </c>
      <c r="I435" s="254">
        <v>46011</v>
      </c>
      <c r="J435" s="190" t="s">
        <v>90</v>
      </c>
      <c r="K435" s="254" t="s">
        <v>88</v>
      </c>
      <c r="L435" s="254">
        <v>46078</v>
      </c>
      <c r="M435" s="254">
        <f t="shared" ref="M435:M444" si="86">L435+60</f>
        <v>46138</v>
      </c>
    </row>
    <row r="436" hidden="1" customHeight="1" spans="1:13">
      <c r="A436" s="190" t="s">
        <v>1364</v>
      </c>
      <c r="B436" s="76" t="s">
        <v>1514</v>
      </c>
      <c r="C436" s="76" t="s">
        <v>865</v>
      </c>
      <c r="D436" s="76">
        <v>42.868</v>
      </c>
      <c r="E436" s="127">
        <v>7680</v>
      </c>
      <c r="F436" s="114">
        <f t="shared" si="84"/>
        <v>329226.24</v>
      </c>
      <c r="G436" s="253">
        <f>F436*0.25+246919.68</f>
        <v>329226.24</v>
      </c>
      <c r="H436" s="253">
        <f t="shared" si="85"/>
        <v>0</v>
      </c>
      <c r="I436" s="254">
        <v>46032</v>
      </c>
      <c r="J436" s="190" t="s">
        <v>1515</v>
      </c>
      <c r="K436" s="254" t="s">
        <v>88</v>
      </c>
      <c r="L436" s="254">
        <v>46078</v>
      </c>
      <c r="M436" s="254">
        <f t="shared" si="86"/>
        <v>46138</v>
      </c>
    </row>
    <row r="437" hidden="1" customHeight="1" spans="1:13">
      <c r="A437" s="190" t="s">
        <v>1364</v>
      </c>
      <c r="B437" s="76" t="s">
        <v>1516</v>
      </c>
      <c r="C437" s="76" t="s">
        <v>865</v>
      </c>
      <c r="D437" s="76">
        <v>26.856</v>
      </c>
      <c r="E437" s="127">
        <v>7680</v>
      </c>
      <c r="F437" s="114">
        <f t="shared" ref="F437:F447" si="87">D437*E437</f>
        <v>206254.08</v>
      </c>
      <c r="G437" s="253">
        <f>F437*0.25+154690.56</f>
        <v>206254.08</v>
      </c>
      <c r="H437" s="253">
        <f t="shared" ref="H437:H447" si="88">F437-G437</f>
        <v>0</v>
      </c>
      <c r="I437" s="254">
        <v>46032</v>
      </c>
      <c r="J437" s="190" t="s">
        <v>90</v>
      </c>
      <c r="K437" s="254" t="s">
        <v>88</v>
      </c>
      <c r="L437" s="254">
        <v>46078</v>
      </c>
      <c r="M437" s="254">
        <f t="shared" si="86"/>
        <v>46138</v>
      </c>
    </row>
    <row r="438" hidden="1" customHeight="1" spans="1:13">
      <c r="A438" s="190" t="s">
        <v>1364</v>
      </c>
      <c r="B438" s="76" t="s">
        <v>1517</v>
      </c>
      <c r="C438" s="76" t="s">
        <v>865</v>
      </c>
      <c r="D438" s="76">
        <v>26.856</v>
      </c>
      <c r="E438" s="127">
        <v>8593</v>
      </c>
      <c r="F438" s="114">
        <f t="shared" si="87"/>
        <v>230773.608</v>
      </c>
      <c r="G438" s="253">
        <f>F438*0.25+173080.21</f>
        <v>230773.612</v>
      </c>
      <c r="H438" s="253">
        <f t="shared" si="88"/>
        <v>-0.00399999998626299</v>
      </c>
      <c r="I438" s="254">
        <v>46032</v>
      </c>
      <c r="J438" s="190" t="s">
        <v>90</v>
      </c>
      <c r="K438" s="254" t="s">
        <v>88</v>
      </c>
      <c r="L438" s="254">
        <v>46078</v>
      </c>
      <c r="M438" s="254">
        <f t="shared" si="86"/>
        <v>46138</v>
      </c>
    </row>
    <row r="439" hidden="1" customHeight="1" spans="1:13">
      <c r="A439" s="190" t="s">
        <v>1364</v>
      </c>
      <c r="B439" s="76" t="s">
        <v>1518</v>
      </c>
      <c r="C439" s="76" t="s">
        <v>865</v>
      </c>
      <c r="D439" s="76">
        <v>79.076</v>
      </c>
      <c r="E439" s="127">
        <v>7778.3</v>
      </c>
      <c r="F439" s="114">
        <f t="shared" si="87"/>
        <v>615076.8508</v>
      </c>
      <c r="G439" s="253">
        <f>F439*0.25+461307.6381</f>
        <v>615076.8508</v>
      </c>
      <c r="H439" s="253">
        <f t="shared" si="88"/>
        <v>0</v>
      </c>
      <c r="I439" s="254">
        <v>46032</v>
      </c>
      <c r="J439" s="190" t="s">
        <v>90</v>
      </c>
      <c r="K439" s="254" t="s">
        <v>88</v>
      </c>
      <c r="L439" s="254">
        <v>46078</v>
      </c>
      <c r="M439" s="254">
        <f t="shared" si="86"/>
        <v>46138</v>
      </c>
    </row>
    <row r="440" hidden="1" customHeight="1" spans="1:13">
      <c r="A440" s="190" t="s">
        <v>1364</v>
      </c>
      <c r="B440" s="76" t="s">
        <v>1518</v>
      </c>
      <c r="C440" s="113" t="s">
        <v>868</v>
      </c>
      <c r="D440" s="76">
        <v>55.152</v>
      </c>
      <c r="E440" s="127">
        <v>7361.3</v>
      </c>
      <c r="F440" s="114">
        <f t="shared" si="87"/>
        <v>405990.4176</v>
      </c>
      <c r="G440" s="253">
        <f>F440*0.25+304492.8132</f>
        <v>405990.4176</v>
      </c>
      <c r="H440" s="253">
        <f t="shared" si="88"/>
        <v>0</v>
      </c>
      <c r="I440" s="254">
        <v>46037</v>
      </c>
      <c r="J440" s="190" t="s">
        <v>90</v>
      </c>
      <c r="K440" s="254" t="s">
        <v>88</v>
      </c>
      <c r="L440" s="254">
        <f>I440+45</f>
        <v>46082</v>
      </c>
      <c r="M440" s="254">
        <f t="shared" si="86"/>
        <v>46142</v>
      </c>
    </row>
    <row r="441" hidden="1" customHeight="1" spans="1:13">
      <c r="A441" s="190" t="s">
        <v>1364</v>
      </c>
      <c r="B441" s="76" t="s">
        <v>1519</v>
      </c>
      <c r="C441" s="76" t="s">
        <v>863</v>
      </c>
      <c r="D441" s="76">
        <f>328.148+274.14</f>
        <v>602.288</v>
      </c>
      <c r="E441" s="391">
        <v>8597.1</v>
      </c>
      <c r="F441" s="114">
        <f t="shared" si="87"/>
        <v>5177930.1648</v>
      </c>
      <c r="G441" s="253">
        <f>F441*0.25+3583447.62+300000</f>
        <v>5177930.1612</v>
      </c>
      <c r="H441" s="253">
        <f t="shared" si="88"/>
        <v>0.00360000040382147</v>
      </c>
      <c r="I441" s="254">
        <v>46073</v>
      </c>
      <c r="J441" s="190" t="s">
        <v>90</v>
      </c>
      <c r="K441" s="254" t="s">
        <v>88</v>
      </c>
      <c r="L441" s="254">
        <v>46137</v>
      </c>
      <c r="M441" s="254">
        <f t="shared" si="86"/>
        <v>46197</v>
      </c>
    </row>
    <row r="442" hidden="1" customHeight="1" spans="1:13">
      <c r="A442" s="190" t="s">
        <v>1364</v>
      </c>
      <c r="B442" s="76" t="s">
        <v>1520</v>
      </c>
      <c r="C442" s="76" t="s">
        <v>865</v>
      </c>
      <c r="D442" s="76">
        <v>53.41</v>
      </c>
      <c r="E442" s="127">
        <v>8519</v>
      </c>
      <c r="F442" s="114">
        <f t="shared" si="87"/>
        <v>454999.79</v>
      </c>
      <c r="G442" s="253">
        <f>F442*0.25+341249.84</f>
        <v>454999.7875</v>
      </c>
      <c r="H442" s="253">
        <f t="shared" si="88"/>
        <v>0.00249999994412065</v>
      </c>
      <c r="I442" s="254">
        <v>46063</v>
      </c>
      <c r="J442" s="190" t="s">
        <v>90</v>
      </c>
      <c r="K442" s="254" t="s">
        <v>88</v>
      </c>
      <c r="L442" s="254">
        <v>46106</v>
      </c>
      <c r="M442" s="254">
        <f t="shared" si="86"/>
        <v>46166</v>
      </c>
    </row>
    <row r="443" hidden="1" customHeight="1" spans="1:13">
      <c r="A443" s="190" t="s">
        <v>1364</v>
      </c>
      <c r="B443" s="76" t="s">
        <v>1521</v>
      </c>
      <c r="C443" s="76" t="s">
        <v>865</v>
      </c>
      <c r="D443" s="76">
        <v>53.712</v>
      </c>
      <c r="E443" s="127">
        <v>8884</v>
      </c>
      <c r="F443" s="114">
        <f t="shared" si="87"/>
        <v>477177.408</v>
      </c>
      <c r="G443" s="253">
        <f>F443*0.25+357883.06</f>
        <v>477177.412</v>
      </c>
      <c r="H443" s="253">
        <f t="shared" si="88"/>
        <v>-0.00399999995715916</v>
      </c>
      <c r="I443" s="254">
        <v>46063</v>
      </c>
      <c r="J443" s="190" t="s">
        <v>90</v>
      </c>
      <c r="K443" s="254" t="s">
        <v>88</v>
      </c>
      <c r="L443" s="254">
        <v>46106</v>
      </c>
      <c r="M443" s="254">
        <f t="shared" si="86"/>
        <v>46166</v>
      </c>
    </row>
    <row r="444" hidden="1" customHeight="1" spans="1:13">
      <c r="A444" s="190" t="s">
        <v>1364</v>
      </c>
      <c r="B444" s="76" t="s">
        <v>1522</v>
      </c>
      <c r="C444" s="76" t="s">
        <v>863</v>
      </c>
      <c r="D444" s="76">
        <v>137.07</v>
      </c>
      <c r="E444" s="127">
        <v>8548</v>
      </c>
      <c r="F444" s="114">
        <f t="shared" si="87"/>
        <v>1171674.36</v>
      </c>
      <c r="G444" s="253">
        <f>F444*0.25+878755.77</f>
        <v>1171674.36</v>
      </c>
      <c r="H444" s="253">
        <f t="shared" si="88"/>
        <v>0</v>
      </c>
      <c r="I444" s="254">
        <v>46154</v>
      </c>
      <c r="J444" s="190" t="s">
        <v>90</v>
      </c>
      <c r="K444" s="254" t="s">
        <v>88</v>
      </c>
      <c r="L444" s="254">
        <v>46167</v>
      </c>
      <c r="M444" s="254">
        <f t="shared" si="86"/>
        <v>46227</v>
      </c>
    </row>
    <row r="445" hidden="1" customHeight="1" spans="1:13">
      <c r="A445" s="190" t="s">
        <v>1364</v>
      </c>
      <c r="B445" s="76" t="s">
        <v>1523</v>
      </c>
      <c r="C445" s="76" t="s">
        <v>865</v>
      </c>
      <c r="D445" s="76">
        <v>53.712</v>
      </c>
      <c r="E445" s="127">
        <v>8734</v>
      </c>
      <c r="F445" s="114">
        <f t="shared" si="87"/>
        <v>469120.608</v>
      </c>
      <c r="G445" s="253">
        <f>F445*0.25+300000+51840.46</f>
        <v>469120.612</v>
      </c>
      <c r="H445" s="253">
        <f t="shared" si="88"/>
        <v>-0.00400000001536682</v>
      </c>
      <c r="I445" s="254">
        <v>46091</v>
      </c>
      <c r="J445" s="190" t="s">
        <v>90</v>
      </c>
      <c r="K445" s="254" t="s">
        <v>88</v>
      </c>
      <c r="L445" s="254">
        <v>46137</v>
      </c>
      <c r="M445" s="254">
        <f t="shared" ref="M445:M450" si="89">L445+60</f>
        <v>46197</v>
      </c>
    </row>
    <row r="446" hidden="1" customHeight="1" spans="1:13">
      <c r="A446" s="190" t="s">
        <v>1364</v>
      </c>
      <c r="B446" s="76" t="s">
        <v>1524</v>
      </c>
      <c r="C446" s="76" t="s">
        <v>865</v>
      </c>
      <c r="D446" s="76">
        <v>107.959</v>
      </c>
      <c r="E446" s="127">
        <v>8736.1</v>
      </c>
      <c r="F446" s="114">
        <f t="shared" si="87"/>
        <v>943140.6199</v>
      </c>
      <c r="G446" s="253">
        <f>F446*0.25+707355.47</f>
        <v>943140.624975</v>
      </c>
      <c r="H446" s="253">
        <f t="shared" si="88"/>
        <v>-0.00507499999366701</v>
      </c>
      <c r="I446" s="254">
        <v>46091</v>
      </c>
      <c r="J446" s="190" t="s">
        <v>90</v>
      </c>
      <c r="K446" s="254" t="s">
        <v>88</v>
      </c>
      <c r="L446" s="254">
        <v>46137</v>
      </c>
      <c r="M446" s="254">
        <f t="shared" si="89"/>
        <v>46197</v>
      </c>
    </row>
    <row r="447" hidden="1" customHeight="1" spans="1:13">
      <c r="A447" s="190" t="s">
        <v>1364</v>
      </c>
      <c r="B447" s="76" t="s">
        <v>1525</v>
      </c>
      <c r="C447" s="113" t="s">
        <v>868</v>
      </c>
      <c r="D447" s="76">
        <v>165.456</v>
      </c>
      <c r="E447" s="127">
        <v>8582</v>
      </c>
      <c r="F447" s="114">
        <f t="shared" ref="F447:F450" si="90">D447*E447</f>
        <v>1419943.392</v>
      </c>
      <c r="G447" s="253">
        <f>F447*0.25+1064957.544</f>
        <v>1419943.392</v>
      </c>
      <c r="H447" s="253">
        <f t="shared" ref="H447:H450" si="91">F447-G447</f>
        <v>0</v>
      </c>
      <c r="I447" s="254">
        <v>46145</v>
      </c>
      <c r="J447" s="190" t="s">
        <v>90</v>
      </c>
      <c r="K447" s="254" t="s">
        <v>88</v>
      </c>
      <c r="L447" s="254">
        <f>I447+45</f>
        <v>46190</v>
      </c>
      <c r="M447" s="254">
        <f t="shared" si="89"/>
        <v>46250</v>
      </c>
    </row>
    <row r="448" hidden="1" customHeight="1" spans="1:13">
      <c r="A448" s="190" t="s">
        <v>1364</v>
      </c>
      <c r="B448" s="76" t="s">
        <v>1526</v>
      </c>
      <c r="C448" s="113" t="s">
        <v>868</v>
      </c>
      <c r="D448" s="76">
        <v>82.728</v>
      </c>
      <c r="E448" s="127">
        <v>8442</v>
      </c>
      <c r="F448" s="114">
        <f t="shared" si="90"/>
        <v>698389.776</v>
      </c>
      <c r="G448" s="253">
        <f>F448*0.25+523792.332</f>
        <v>698389.776</v>
      </c>
      <c r="H448" s="253">
        <f t="shared" si="91"/>
        <v>0</v>
      </c>
      <c r="I448" s="254">
        <v>46154</v>
      </c>
      <c r="J448" s="190" t="s">
        <v>90</v>
      </c>
      <c r="K448" s="254" t="s">
        <v>88</v>
      </c>
      <c r="L448" s="254">
        <f>I448+45</f>
        <v>46199</v>
      </c>
      <c r="M448" s="254">
        <f t="shared" si="89"/>
        <v>46259</v>
      </c>
    </row>
    <row r="449" hidden="1" customHeight="1" spans="1:14">
      <c r="A449" s="190" t="s">
        <v>1364</v>
      </c>
      <c r="B449" s="76" t="s">
        <v>1527</v>
      </c>
      <c r="C449" s="76" t="s">
        <v>863</v>
      </c>
      <c r="D449" s="76">
        <v>81.531</v>
      </c>
      <c r="E449" s="127">
        <v>8660</v>
      </c>
      <c r="F449" s="114">
        <f t="shared" si="90"/>
        <v>706058.46</v>
      </c>
      <c r="G449" s="253">
        <f>F449*0.25+529543.84</f>
        <v>706058.455</v>
      </c>
      <c r="H449" s="253">
        <f t="shared" si="91"/>
        <v>0.00500000012107193</v>
      </c>
      <c r="I449" s="254">
        <v>46141</v>
      </c>
      <c r="J449" s="190" t="s">
        <v>90</v>
      </c>
      <c r="K449" s="254" t="s">
        <v>88</v>
      </c>
      <c r="L449" s="254">
        <v>46228</v>
      </c>
      <c r="M449" s="254">
        <f t="shared" si="89"/>
        <v>46288</v>
      </c>
    </row>
    <row r="450" hidden="1" customHeight="1" spans="1:14">
      <c r="A450" s="190" t="s">
        <v>1364</v>
      </c>
      <c r="B450" s="76" t="s">
        <v>1528</v>
      </c>
      <c r="C450" s="76" t="s">
        <v>863</v>
      </c>
      <c r="D450" s="76">
        <v>109.656</v>
      </c>
      <c r="E450" s="127">
        <v>8549</v>
      </c>
      <c r="F450" s="114">
        <f t="shared" si="90"/>
        <v>937449.144</v>
      </c>
      <c r="G450" s="253">
        <f>F450*0.25+150000+553086.85</f>
        <v>937449.136</v>
      </c>
      <c r="H450" s="253">
        <f t="shared" si="91"/>
        <v>0.00800000014714897</v>
      </c>
      <c r="I450" s="254">
        <v>46162</v>
      </c>
      <c r="J450" s="190" t="s">
        <v>90</v>
      </c>
      <c r="K450" s="254" t="s">
        <v>88</v>
      </c>
      <c r="L450" s="254">
        <v>46228</v>
      </c>
      <c r="M450" s="254">
        <f t="shared" si="89"/>
        <v>46288</v>
      </c>
    </row>
    <row r="451" hidden="1" customHeight="1" spans="1:14">
      <c r="A451" s="190" t="s">
        <v>1364</v>
      </c>
      <c r="B451" s="76" t="s">
        <v>1525</v>
      </c>
      <c r="C451" s="76" t="s">
        <v>865</v>
      </c>
      <c r="D451" s="76">
        <v>214.94</v>
      </c>
      <c r="E451" s="127">
        <v>8657</v>
      </c>
      <c r="F451" s="114">
        <f t="shared" ref="F451:F460" si="92">D451*E451</f>
        <v>1860735.58</v>
      </c>
      <c r="G451" s="253">
        <f>F451*0.25+995551.686+400000</f>
        <v>1860735.581</v>
      </c>
      <c r="H451" s="253">
        <f t="shared" ref="H451:H463" si="93">F451-G451</f>
        <v>-0.000999999931082129</v>
      </c>
      <c r="I451" s="254">
        <v>46145</v>
      </c>
      <c r="J451" s="190" t="s">
        <v>90</v>
      </c>
      <c r="K451" s="254" t="s">
        <v>88</v>
      </c>
      <c r="L451" s="254">
        <v>46228</v>
      </c>
      <c r="M451" s="254">
        <f t="shared" ref="M451:M460" si="94">L451+60</f>
        <v>46288</v>
      </c>
    </row>
    <row r="452" hidden="1" customHeight="1" spans="1:14">
      <c r="A452" s="190" t="s">
        <v>1364</v>
      </c>
      <c r="B452" s="76" t="s">
        <v>1529</v>
      </c>
      <c r="C452" s="113" t="s">
        <v>877</v>
      </c>
      <c r="D452" s="76">
        <v>27.576</v>
      </c>
      <c r="E452" s="127">
        <v>8539</v>
      </c>
      <c r="F452" s="114">
        <f t="shared" si="92"/>
        <v>235471.464</v>
      </c>
      <c r="G452" s="253">
        <f>F452*0.25+176603.598</f>
        <v>235471.464</v>
      </c>
      <c r="H452" s="253">
        <f t="shared" si="93"/>
        <v>0</v>
      </c>
      <c r="I452" s="254">
        <v>46163</v>
      </c>
      <c r="J452" s="190" t="s">
        <v>90</v>
      </c>
      <c r="K452" s="254" t="s">
        <v>88</v>
      </c>
      <c r="L452" s="254">
        <f>I452+45</f>
        <v>46208</v>
      </c>
      <c r="M452" s="254">
        <f t="shared" si="94"/>
        <v>46268</v>
      </c>
    </row>
    <row r="453" hidden="1" customHeight="1" spans="1:14">
      <c r="A453" s="190" t="s">
        <v>1364</v>
      </c>
      <c r="B453" s="76" t="s">
        <v>1529</v>
      </c>
      <c r="C453" s="76" t="s">
        <v>863</v>
      </c>
      <c r="D453" s="76">
        <v>54.828</v>
      </c>
      <c r="E453" s="127">
        <v>8639</v>
      </c>
      <c r="F453" s="114">
        <f t="shared" si="92"/>
        <v>473659.092</v>
      </c>
      <c r="G453" s="253">
        <f>F453*0.25+355244.319</f>
        <v>473659.092</v>
      </c>
      <c r="H453" s="253">
        <f t="shared" si="93"/>
        <v>0</v>
      </c>
      <c r="I453" s="254">
        <v>46163</v>
      </c>
      <c r="J453" s="190" t="s">
        <v>90</v>
      </c>
      <c r="K453" s="254" t="s">
        <v>88</v>
      </c>
      <c r="L453" s="254">
        <v>46259</v>
      </c>
      <c r="M453" s="254">
        <f t="shared" si="94"/>
        <v>46319</v>
      </c>
    </row>
    <row r="454" hidden="1" customHeight="1" spans="1:14">
      <c r="A454" s="190" t="s">
        <v>1364</v>
      </c>
      <c r="B454" s="76" t="s">
        <v>1530</v>
      </c>
      <c r="C454" s="76" t="s">
        <v>865</v>
      </c>
      <c r="D454" s="76">
        <v>107.496</v>
      </c>
      <c r="E454" s="127">
        <v>8670</v>
      </c>
      <c r="F454" s="114">
        <f t="shared" si="92"/>
        <v>931990.32</v>
      </c>
      <c r="G454" s="253">
        <f>F454*0.25+698992.74</f>
        <v>931990.32</v>
      </c>
      <c r="H454" s="253">
        <f t="shared" si="93"/>
        <v>0</v>
      </c>
      <c r="I454" s="254">
        <v>46183</v>
      </c>
      <c r="J454" s="190" t="s">
        <v>90</v>
      </c>
      <c r="K454" s="254" t="s">
        <v>88</v>
      </c>
      <c r="L454" s="254">
        <v>46259</v>
      </c>
      <c r="M454" s="254">
        <f t="shared" si="94"/>
        <v>46319</v>
      </c>
    </row>
    <row r="455" hidden="1" customHeight="1" spans="1:14">
      <c r="A455" s="190" t="s">
        <v>1364</v>
      </c>
      <c r="B455" s="76" t="s">
        <v>1531</v>
      </c>
      <c r="C455" s="113" t="s">
        <v>1532</v>
      </c>
      <c r="D455" s="76">
        <v>54.987</v>
      </c>
      <c r="E455" s="127">
        <v>9068</v>
      </c>
      <c r="F455" s="114">
        <f t="shared" si="92"/>
        <v>498622.116</v>
      </c>
      <c r="G455" s="253">
        <f>F455*0.25+373966.587</f>
        <v>498622.116</v>
      </c>
      <c r="H455" s="253">
        <f t="shared" si="93"/>
        <v>0</v>
      </c>
      <c r="I455" s="254">
        <v>46204</v>
      </c>
      <c r="J455" s="190" t="s">
        <v>90</v>
      </c>
      <c r="K455" s="254" t="s">
        <v>88</v>
      </c>
      <c r="L455" s="254">
        <f>I455+45</f>
        <v>46249</v>
      </c>
      <c r="M455" s="254">
        <f t="shared" si="94"/>
        <v>46309</v>
      </c>
    </row>
    <row r="456" hidden="1" customHeight="1" spans="1:14">
      <c r="A456" s="190" t="s">
        <v>1364</v>
      </c>
      <c r="B456" s="76" t="s">
        <v>1533</v>
      </c>
      <c r="C456" s="76" t="s">
        <v>863</v>
      </c>
      <c r="D456" s="76">
        <v>137.07</v>
      </c>
      <c r="E456" s="127">
        <v>9306</v>
      </c>
      <c r="F456" s="114">
        <f t="shared" si="92"/>
        <v>1275573.42</v>
      </c>
      <c r="G456" s="114">
        <f>F456*0.25+500000+408672.53+48007.5349999999</f>
        <v>1275573.42</v>
      </c>
      <c r="H456" s="253">
        <f t="shared" si="93"/>
        <v>0</v>
      </c>
      <c r="I456" s="254">
        <v>46223</v>
      </c>
      <c r="J456" s="190" t="s">
        <v>90</v>
      </c>
      <c r="K456" s="254" t="s">
        <v>88</v>
      </c>
      <c r="L456" s="254">
        <v>46290</v>
      </c>
      <c r="M456" s="254">
        <f t="shared" si="94"/>
        <v>46350</v>
      </c>
    </row>
    <row r="457" hidden="1" customHeight="1" spans="1:14">
      <c r="A457" s="190" t="s">
        <v>1364</v>
      </c>
      <c r="B457" s="76" t="s">
        <v>1534</v>
      </c>
      <c r="C457" s="76" t="s">
        <v>865</v>
      </c>
      <c r="D457" s="76">
        <v>107.496</v>
      </c>
      <c r="E457" s="127">
        <v>9044</v>
      </c>
      <c r="F457" s="114">
        <f t="shared" si="92"/>
        <v>972193.824</v>
      </c>
      <c r="G457" s="253">
        <f>F457*0.25+500000+229145.37</f>
        <v>972193.826</v>
      </c>
      <c r="H457" s="253">
        <f t="shared" si="93"/>
        <v>-0.0020000000949949</v>
      </c>
      <c r="I457" s="254">
        <v>46213</v>
      </c>
      <c r="J457" s="190" t="s">
        <v>90</v>
      </c>
      <c r="K457" s="254" t="s">
        <v>88</v>
      </c>
      <c r="L457" s="254">
        <v>46290</v>
      </c>
      <c r="M457" s="254">
        <f t="shared" si="94"/>
        <v>46350</v>
      </c>
    </row>
    <row r="458" hidden="1" customHeight="1" spans="1:14">
      <c r="A458" s="190" t="s">
        <v>1364</v>
      </c>
      <c r="B458" s="76" t="s">
        <v>1533</v>
      </c>
      <c r="C458" s="113" t="s">
        <v>877</v>
      </c>
      <c r="D458" s="76">
        <v>137.88</v>
      </c>
      <c r="E458" s="127">
        <v>9206</v>
      </c>
      <c r="F458" s="114">
        <f t="shared" si="92"/>
        <v>1269323.28</v>
      </c>
      <c r="G458" s="114">
        <f>F458*0.25+951992.46</f>
        <v>1269323.28</v>
      </c>
      <c r="H458" s="253">
        <f t="shared" si="93"/>
        <v>0</v>
      </c>
      <c r="I458" s="254">
        <v>46235</v>
      </c>
      <c r="J458" s="190" t="s">
        <v>90</v>
      </c>
      <c r="K458" s="254" t="s">
        <v>88</v>
      </c>
      <c r="L458" s="254">
        <f>I458+45</f>
        <v>46280</v>
      </c>
      <c r="M458" s="254">
        <f t="shared" si="94"/>
        <v>46340</v>
      </c>
    </row>
    <row r="459" hidden="1" customHeight="1" spans="1:14">
      <c r="A459" s="190" t="s">
        <v>1364</v>
      </c>
      <c r="B459" s="76" t="s">
        <v>862</v>
      </c>
      <c r="C459" s="76" t="s">
        <v>865</v>
      </c>
      <c r="D459" s="76">
        <v>100</v>
      </c>
      <c r="E459" s="127">
        <v>7680</v>
      </c>
      <c r="F459" s="114">
        <f t="shared" si="92"/>
        <v>768000</v>
      </c>
      <c r="G459" s="114">
        <v>541466.314825</v>
      </c>
      <c r="H459" s="253">
        <f t="shared" si="93"/>
        <v>226533.685175</v>
      </c>
      <c r="I459" s="254">
        <v>46244</v>
      </c>
      <c r="J459" s="190"/>
      <c r="K459" s="254" t="s">
        <v>88</v>
      </c>
      <c r="L459" s="254">
        <v>46320</v>
      </c>
      <c r="M459" s="254">
        <f t="shared" si="94"/>
        <v>46380</v>
      </c>
    </row>
    <row r="460" hidden="1" customHeight="1" spans="1:14">
      <c r="A460" s="190" t="s">
        <v>1364</v>
      </c>
      <c r="B460" s="76" t="s">
        <v>1535</v>
      </c>
      <c r="C460" s="76" t="s">
        <v>863</v>
      </c>
      <c r="D460" s="76">
        <v>274.242</v>
      </c>
      <c r="E460" s="127">
        <v>9179</v>
      </c>
      <c r="F460" s="114">
        <f t="shared" si="92"/>
        <v>2517267.318</v>
      </c>
      <c r="G460" s="114">
        <f>F460*0.25</f>
        <v>629316.8295</v>
      </c>
      <c r="H460" s="253">
        <f t="shared" si="93"/>
        <v>1887950.4885</v>
      </c>
      <c r="I460" s="254">
        <v>46236</v>
      </c>
      <c r="J460" s="190" t="s">
        <v>90</v>
      </c>
      <c r="K460" s="254" t="s">
        <v>88</v>
      </c>
      <c r="L460" s="254">
        <v>46290</v>
      </c>
      <c r="M460" s="254">
        <f t="shared" si="94"/>
        <v>46350</v>
      </c>
    </row>
    <row r="461" customHeight="1" spans="1:14">
      <c r="A461" s="190" t="s">
        <v>93</v>
      </c>
      <c r="B461" s="190" t="s">
        <v>1536</v>
      </c>
      <c r="C461" s="190" t="s">
        <v>639</v>
      </c>
      <c r="D461" s="190">
        <v>13.815</v>
      </c>
      <c r="E461" s="76">
        <v>6080</v>
      </c>
      <c r="F461" s="114">
        <f t="shared" ref="F461:F479" si="95">D461*E461</f>
        <v>83995.2</v>
      </c>
      <c r="G461" s="253">
        <v>83995.2</v>
      </c>
      <c r="H461" s="253">
        <f t="shared" si="93"/>
        <v>0</v>
      </c>
      <c r="I461" s="254">
        <v>45974</v>
      </c>
      <c r="J461" s="190"/>
      <c r="K461" s="190"/>
      <c r="L461" s="333"/>
      <c r="N461" s="257"/>
    </row>
    <row r="462" customHeight="1" spans="1:14">
      <c r="A462" s="190" t="s">
        <v>93</v>
      </c>
      <c r="B462" s="190" t="s">
        <v>896</v>
      </c>
      <c r="C462" s="190" t="s">
        <v>639</v>
      </c>
      <c r="D462" s="190">
        <v>154.71</v>
      </c>
      <c r="E462" s="76">
        <v>6080</v>
      </c>
      <c r="F462" s="114">
        <f t="shared" si="95"/>
        <v>940636.8</v>
      </c>
      <c r="G462" s="253">
        <v>940636.8</v>
      </c>
      <c r="H462" s="253">
        <f t="shared" si="93"/>
        <v>0</v>
      </c>
      <c r="I462" s="254">
        <v>45974</v>
      </c>
      <c r="J462" s="190"/>
      <c r="K462" s="190"/>
      <c r="L462" s="333"/>
    </row>
    <row r="463" customHeight="1" spans="1:14">
      <c r="A463" s="190" t="s">
        <v>93</v>
      </c>
      <c r="B463" s="190" t="s">
        <v>896</v>
      </c>
      <c r="C463" s="190" t="s">
        <v>637</v>
      </c>
      <c r="D463" s="190">
        <v>93.385</v>
      </c>
      <c r="E463" s="76">
        <v>6180</v>
      </c>
      <c r="F463" s="114">
        <f t="shared" si="95"/>
        <v>577119.3</v>
      </c>
      <c r="G463" s="253">
        <f>315183.17+235742.517+26193.6130000001</f>
        <v>577119.3</v>
      </c>
      <c r="H463" s="253">
        <f t="shared" si="93"/>
        <v>0</v>
      </c>
      <c r="I463" s="254">
        <v>45974</v>
      </c>
      <c r="J463" s="190"/>
      <c r="K463" s="190"/>
      <c r="L463" s="333"/>
    </row>
    <row r="464" customHeight="1" spans="1:14">
      <c r="A464" s="190" t="s">
        <v>93</v>
      </c>
      <c r="B464" s="76" t="s">
        <v>1537</v>
      </c>
      <c r="C464" s="76" t="s">
        <v>902</v>
      </c>
      <c r="D464" s="129">
        <v>59.371</v>
      </c>
      <c r="E464" s="190">
        <v>5800</v>
      </c>
      <c r="F464" s="114">
        <f t="shared" si="95"/>
        <v>344351.8</v>
      </c>
      <c r="G464" s="253">
        <v>344351.8</v>
      </c>
      <c r="H464" s="392">
        <f t="shared" ref="H464:H476" si="96">F464-G464</f>
        <v>0</v>
      </c>
      <c r="I464" s="254">
        <v>46038</v>
      </c>
      <c r="J464" s="190" t="s">
        <v>90</v>
      </c>
      <c r="K464" s="190"/>
      <c r="L464" s="333"/>
    </row>
    <row r="465" customHeight="1" spans="1:12">
      <c r="A465" s="190" t="s">
        <v>93</v>
      </c>
      <c r="B465" s="76" t="s">
        <v>1537</v>
      </c>
      <c r="C465" s="76" t="s">
        <v>905</v>
      </c>
      <c r="D465" s="129">
        <v>47.213</v>
      </c>
      <c r="E465" s="190">
        <v>5800</v>
      </c>
      <c r="F465" s="114">
        <f t="shared" si="95"/>
        <v>273835.4</v>
      </c>
      <c r="G465" s="253">
        <v>273835.4</v>
      </c>
      <c r="H465" s="392">
        <f t="shared" si="96"/>
        <v>0</v>
      </c>
      <c r="I465" s="254">
        <v>46038</v>
      </c>
      <c r="J465" s="190" t="s">
        <v>90</v>
      </c>
      <c r="K465" s="190"/>
      <c r="L465" s="333"/>
    </row>
    <row r="466" customHeight="1" spans="1:12">
      <c r="A466" s="190" t="s">
        <v>93</v>
      </c>
      <c r="B466" s="76" t="s">
        <v>1538</v>
      </c>
      <c r="C466" s="76" t="s">
        <v>905</v>
      </c>
      <c r="D466" s="129">
        <v>1.244</v>
      </c>
      <c r="E466" s="190">
        <v>5800</v>
      </c>
      <c r="F466" s="114">
        <f t="shared" si="95"/>
        <v>7215.2</v>
      </c>
      <c r="G466" s="253">
        <v>7215.2</v>
      </c>
      <c r="H466" s="253">
        <f t="shared" si="96"/>
        <v>0</v>
      </c>
      <c r="I466" s="254">
        <v>46038</v>
      </c>
      <c r="J466" s="190" t="s">
        <v>90</v>
      </c>
      <c r="K466" s="190"/>
      <c r="L466" s="333"/>
    </row>
    <row r="467" customHeight="1" spans="1:12">
      <c r="A467" s="190" t="s">
        <v>93</v>
      </c>
      <c r="B467" s="76" t="s">
        <v>1537</v>
      </c>
      <c r="C467" s="76" t="s">
        <v>906</v>
      </c>
      <c r="D467" s="129">
        <v>50.425</v>
      </c>
      <c r="E467" s="190">
        <v>5910</v>
      </c>
      <c r="F467" s="114">
        <f t="shared" si="95"/>
        <v>298011.75</v>
      </c>
      <c r="G467" s="253">
        <v>298011.75</v>
      </c>
      <c r="H467" s="392">
        <f t="shared" si="96"/>
        <v>0</v>
      </c>
      <c r="I467" s="254">
        <v>46038</v>
      </c>
      <c r="J467" s="190" t="s">
        <v>90</v>
      </c>
      <c r="K467" s="190"/>
      <c r="L467" s="333"/>
    </row>
    <row r="468" customHeight="1" spans="1:12">
      <c r="A468" s="190" t="s">
        <v>93</v>
      </c>
      <c r="B468" s="76" t="s">
        <v>1539</v>
      </c>
      <c r="C468" s="76" t="s">
        <v>907</v>
      </c>
      <c r="D468" s="129">
        <v>26.639</v>
      </c>
      <c r="E468" s="190">
        <v>5850</v>
      </c>
      <c r="F468" s="114">
        <f t="shared" si="95"/>
        <v>155838.15</v>
      </c>
      <c r="G468" s="253">
        <v>155838.15</v>
      </c>
      <c r="H468" s="253">
        <f t="shared" si="96"/>
        <v>0</v>
      </c>
      <c r="I468" s="254">
        <v>46096</v>
      </c>
      <c r="J468" s="190" t="s">
        <v>441</v>
      </c>
      <c r="K468" s="190"/>
      <c r="L468" s="333"/>
    </row>
    <row r="469" customHeight="1" spans="1:12">
      <c r="A469" s="190" t="s">
        <v>93</v>
      </c>
      <c r="B469" s="76" t="s">
        <v>1538</v>
      </c>
      <c r="C469" s="76" t="s">
        <v>907</v>
      </c>
      <c r="D469" s="129">
        <v>1.345</v>
      </c>
      <c r="E469" s="190">
        <v>5850</v>
      </c>
      <c r="F469" s="114">
        <f t="shared" si="95"/>
        <v>7868.25</v>
      </c>
      <c r="G469" s="253">
        <v>7868.25</v>
      </c>
      <c r="H469" s="253">
        <f t="shared" si="96"/>
        <v>0</v>
      </c>
      <c r="I469" s="254">
        <v>46111</v>
      </c>
      <c r="J469" s="190" t="s">
        <v>90</v>
      </c>
      <c r="K469" s="190"/>
      <c r="L469" s="333"/>
    </row>
    <row r="470" customHeight="1" spans="1:12">
      <c r="A470" s="190" t="s">
        <v>93</v>
      </c>
      <c r="B470" s="76" t="s">
        <v>1538</v>
      </c>
      <c r="C470" s="76" t="s">
        <v>908</v>
      </c>
      <c r="D470" s="129">
        <v>15.671</v>
      </c>
      <c r="E470" s="190">
        <v>5650</v>
      </c>
      <c r="F470" s="114">
        <f t="shared" si="95"/>
        <v>88541.15</v>
      </c>
      <c r="G470" s="253">
        <v>88541.15</v>
      </c>
      <c r="H470" s="253">
        <f t="shared" si="96"/>
        <v>0</v>
      </c>
      <c r="I470" s="254">
        <v>46111</v>
      </c>
      <c r="J470" s="190" t="s">
        <v>90</v>
      </c>
      <c r="K470" s="190"/>
      <c r="L470" s="333"/>
    </row>
    <row r="471" customHeight="1" spans="1:12">
      <c r="A471" s="190" t="s">
        <v>93</v>
      </c>
      <c r="B471" s="76" t="s">
        <v>1540</v>
      </c>
      <c r="C471" s="76" t="s">
        <v>908</v>
      </c>
      <c r="D471" s="129">
        <v>32.185</v>
      </c>
      <c r="E471" s="190">
        <v>5650</v>
      </c>
      <c r="F471" s="114">
        <f t="shared" si="95"/>
        <v>181845.25</v>
      </c>
      <c r="G471" s="253">
        <v>181845.25</v>
      </c>
      <c r="H471" s="253">
        <f t="shared" si="96"/>
        <v>0</v>
      </c>
      <c r="I471" s="254">
        <v>46038</v>
      </c>
      <c r="J471" s="190" t="s">
        <v>90</v>
      </c>
      <c r="K471" s="190"/>
      <c r="L471" s="333"/>
    </row>
    <row r="472" customHeight="1" spans="1:12">
      <c r="A472" s="190" t="s">
        <v>93</v>
      </c>
      <c r="B472" s="76" t="s">
        <v>1537</v>
      </c>
      <c r="C472" s="76" t="s">
        <v>909</v>
      </c>
      <c r="D472" s="129">
        <v>107.273</v>
      </c>
      <c r="E472" s="190">
        <v>5640</v>
      </c>
      <c r="F472" s="114">
        <f t="shared" si="95"/>
        <v>605019.72</v>
      </c>
      <c r="G472" s="253">
        <f>60912+27305.04+155778.71+361023.97</f>
        <v>605019.72</v>
      </c>
      <c r="H472" s="392">
        <f t="shared" si="96"/>
        <v>0</v>
      </c>
      <c r="I472" s="254">
        <v>46038</v>
      </c>
      <c r="J472" s="190" t="s">
        <v>90</v>
      </c>
      <c r="K472" s="190"/>
      <c r="L472" s="333"/>
    </row>
    <row r="473" hidden="1" customHeight="1" spans="1:12">
      <c r="A473" s="190" t="s">
        <v>142</v>
      </c>
      <c r="B473" s="190" t="s">
        <v>911</v>
      </c>
      <c r="C473" s="76" t="s">
        <v>438</v>
      </c>
      <c r="D473" s="190">
        <v>1960400</v>
      </c>
      <c r="E473" s="190">
        <v>0.01818</v>
      </c>
      <c r="F473" s="393">
        <f t="shared" si="95"/>
        <v>35640.072</v>
      </c>
      <c r="G473" s="394">
        <f>7128.01+28512.062</f>
        <v>35640.072</v>
      </c>
      <c r="H473" s="394">
        <f t="shared" si="96"/>
        <v>0</v>
      </c>
      <c r="I473" s="254">
        <v>46013</v>
      </c>
      <c r="J473" s="190" t="s">
        <v>441</v>
      </c>
      <c r="K473" s="333"/>
      <c r="L473" s="333"/>
    </row>
    <row r="474" hidden="1" customHeight="1" spans="1:12">
      <c r="A474" s="190" t="s">
        <v>1367</v>
      </c>
      <c r="B474" s="190" t="s">
        <v>915</v>
      </c>
      <c r="C474" s="190" t="s">
        <v>87</v>
      </c>
      <c r="D474" s="190">
        <v>1160000</v>
      </c>
      <c r="E474" s="190">
        <v>0.15244</v>
      </c>
      <c r="F474" s="114">
        <f t="shared" si="95"/>
        <v>176830.4</v>
      </c>
      <c r="G474" s="253">
        <v>176830.4</v>
      </c>
      <c r="H474" s="253">
        <f t="shared" si="96"/>
        <v>0</v>
      </c>
      <c r="I474" s="112">
        <v>46114</v>
      </c>
      <c r="J474" s="190"/>
      <c r="K474" s="333"/>
      <c r="L474" s="333"/>
    </row>
    <row r="475" hidden="1" customHeight="1" spans="1:12">
      <c r="A475" s="190" t="s">
        <v>1367</v>
      </c>
      <c r="B475" s="190" t="s">
        <v>917</v>
      </c>
      <c r="C475" s="190" t="s">
        <v>87</v>
      </c>
      <c r="D475" s="190">
        <v>1160000</v>
      </c>
      <c r="E475" s="190">
        <v>0.15244</v>
      </c>
      <c r="F475" s="114">
        <f t="shared" si="95"/>
        <v>176830.4</v>
      </c>
      <c r="G475" s="253">
        <v>176830.4</v>
      </c>
      <c r="H475" s="253">
        <f t="shared" si="96"/>
        <v>0</v>
      </c>
      <c r="I475" s="112">
        <v>46155</v>
      </c>
      <c r="J475" s="190"/>
      <c r="K475" s="333"/>
      <c r="L475" s="333"/>
    </row>
    <row r="476" customHeight="1" spans="1:12">
      <c r="A476" s="190" t="s">
        <v>93</v>
      </c>
      <c r="B476" s="76" t="s">
        <v>1541</v>
      </c>
      <c r="C476" s="76" t="s">
        <v>652</v>
      </c>
      <c r="D476" s="395">
        <v>44.07</v>
      </c>
      <c r="E476" s="190">
        <v>5890</v>
      </c>
      <c r="F476" s="114">
        <f t="shared" si="95"/>
        <v>259572.3</v>
      </c>
      <c r="G476" s="253">
        <f>88350+171222.3</f>
        <v>259572.3</v>
      </c>
      <c r="H476" s="392">
        <f t="shared" si="96"/>
        <v>0</v>
      </c>
      <c r="I476" s="254">
        <v>46043</v>
      </c>
      <c r="J476" s="190" t="s">
        <v>90</v>
      </c>
      <c r="K476" s="190"/>
      <c r="L476" s="333"/>
    </row>
    <row r="477" customHeight="1" spans="1:12">
      <c r="A477" s="190" t="s">
        <v>93</v>
      </c>
      <c r="B477" s="76" t="s">
        <v>1541</v>
      </c>
      <c r="C477" s="76" t="s">
        <v>926</v>
      </c>
      <c r="D477" s="395">
        <v>62.984</v>
      </c>
      <c r="E477" s="190">
        <v>5970</v>
      </c>
      <c r="F477" s="114">
        <f t="shared" si="95"/>
        <v>376014.48</v>
      </c>
      <c r="G477" s="253">
        <f>59700+316314.48</f>
        <v>376014.48</v>
      </c>
      <c r="H477" s="392">
        <f t="shared" ref="H477:H494" si="97">F477-G477</f>
        <v>0</v>
      </c>
      <c r="I477" s="254">
        <v>46043</v>
      </c>
      <c r="J477" s="190" t="s">
        <v>90</v>
      </c>
      <c r="K477" s="190"/>
      <c r="L477" s="333"/>
    </row>
    <row r="478" customHeight="1" spans="1:12">
      <c r="A478" s="190" t="s">
        <v>93</v>
      </c>
      <c r="B478" s="76" t="s">
        <v>1542</v>
      </c>
      <c r="C478" s="76" t="s">
        <v>652</v>
      </c>
      <c r="D478" s="190">
        <v>96.04</v>
      </c>
      <c r="E478" s="190">
        <v>5890</v>
      </c>
      <c r="F478" s="114">
        <f t="shared" si="95"/>
        <v>565675.6</v>
      </c>
      <c r="G478" s="253">
        <v>565675.6</v>
      </c>
      <c r="H478" s="253">
        <f t="shared" si="97"/>
        <v>0</v>
      </c>
      <c r="I478" s="254">
        <v>46084</v>
      </c>
      <c r="J478" s="190" t="s">
        <v>90</v>
      </c>
      <c r="K478" s="190"/>
      <c r="L478" s="333"/>
    </row>
    <row r="479" customHeight="1" spans="1:12">
      <c r="A479" s="190" t="s">
        <v>93</v>
      </c>
      <c r="B479" s="76" t="s">
        <v>1542</v>
      </c>
      <c r="C479" s="76" t="s">
        <v>926</v>
      </c>
      <c r="D479" s="190">
        <v>37.755</v>
      </c>
      <c r="E479" s="190">
        <v>5970</v>
      </c>
      <c r="F479" s="114">
        <f t="shared" si="95"/>
        <v>225397.35</v>
      </c>
      <c r="G479" s="253">
        <v>225397.35</v>
      </c>
      <c r="H479" s="253">
        <f t="shared" si="97"/>
        <v>0</v>
      </c>
      <c r="I479" s="254">
        <v>46084</v>
      </c>
      <c r="J479" s="190" t="s">
        <v>90</v>
      </c>
      <c r="K479" s="190"/>
      <c r="L479" s="333"/>
    </row>
    <row r="480" customHeight="1" spans="1:12">
      <c r="A480" s="190" t="s">
        <v>93</v>
      </c>
      <c r="B480" s="76" t="s">
        <v>1543</v>
      </c>
      <c r="C480" s="190" t="s">
        <v>639</v>
      </c>
      <c r="D480" s="190">
        <v>104.492</v>
      </c>
      <c r="E480" s="190">
        <v>5890</v>
      </c>
      <c r="F480" s="114">
        <f>D480*E480*0.1</f>
        <v>61545.788</v>
      </c>
      <c r="G480" s="253">
        <f>63612-2066.212</f>
        <v>61545.788</v>
      </c>
      <c r="H480" s="253">
        <f t="shared" si="97"/>
        <v>0</v>
      </c>
      <c r="I480" s="254">
        <v>45996</v>
      </c>
      <c r="J480" s="190" t="s">
        <v>441</v>
      </c>
      <c r="K480" s="190" t="s">
        <v>66</v>
      </c>
      <c r="L480" s="333"/>
    </row>
    <row r="481" customHeight="1" spans="1:12">
      <c r="A481" s="190" t="s">
        <v>93</v>
      </c>
      <c r="B481" s="76" t="s">
        <v>1543</v>
      </c>
      <c r="C481" s="190" t="s">
        <v>639</v>
      </c>
      <c r="D481" s="190">
        <v>104.492</v>
      </c>
      <c r="E481" s="190">
        <v>5890</v>
      </c>
      <c r="F481" s="114">
        <f>D481*E481*0.9</f>
        <v>553912.092</v>
      </c>
      <c r="G481" s="253">
        <f>155108.66+2066.212+396737.22</f>
        <v>553912.092</v>
      </c>
      <c r="H481" s="253">
        <f t="shared" si="97"/>
        <v>0</v>
      </c>
      <c r="I481" s="254">
        <v>46091</v>
      </c>
      <c r="J481" s="190" t="s">
        <v>441</v>
      </c>
      <c r="K481" s="190" t="s">
        <v>66</v>
      </c>
      <c r="L481" s="333"/>
    </row>
    <row r="482" customHeight="1" spans="1:12">
      <c r="A482" s="190" t="s">
        <v>93</v>
      </c>
      <c r="B482" s="76" t="s">
        <v>1544</v>
      </c>
      <c r="C482" s="190" t="s">
        <v>637</v>
      </c>
      <c r="D482" s="190">
        <v>4.32</v>
      </c>
      <c r="E482" s="190">
        <v>5890</v>
      </c>
      <c r="F482" s="114">
        <f>D482*E482</f>
        <v>25444.8</v>
      </c>
      <c r="G482" s="253">
        <f>2544.47999999999+22900.3199999999</f>
        <v>25444.7999999999</v>
      </c>
      <c r="H482" s="253">
        <f t="shared" si="97"/>
        <v>1.12777343019843e-10</v>
      </c>
      <c r="I482" s="254">
        <v>46041</v>
      </c>
      <c r="J482" s="190" t="s">
        <v>90</v>
      </c>
      <c r="K482" s="190" t="s">
        <v>66</v>
      </c>
      <c r="L482" s="333"/>
    </row>
    <row r="483" customHeight="1" spans="1:12">
      <c r="A483" s="190" t="s">
        <v>93</v>
      </c>
      <c r="B483" s="76" t="s">
        <v>1545</v>
      </c>
      <c r="C483" s="190" t="s">
        <v>637</v>
      </c>
      <c r="D483" s="190">
        <v>107.034</v>
      </c>
      <c r="E483" s="190">
        <v>5890</v>
      </c>
      <c r="F483" s="114">
        <f>D483*E483*0.1</f>
        <v>63043.026</v>
      </c>
      <c r="G483" s="253">
        <f>63612+1975.50599999999-2544.47999999999</f>
        <v>63043.026</v>
      </c>
      <c r="H483" s="253">
        <f t="shared" si="97"/>
        <v>0</v>
      </c>
      <c r="I483" s="254">
        <v>45996</v>
      </c>
      <c r="J483" s="190" t="s">
        <v>90</v>
      </c>
      <c r="K483" s="190" t="s">
        <v>66</v>
      </c>
      <c r="L483" s="333"/>
    </row>
    <row r="484" customHeight="1" spans="1:12">
      <c r="A484" s="190" t="s">
        <v>93</v>
      </c>
      <c r="B484" s="76" t="s">
        <v>1545</v>
      </c>
      <c r="C484" s="190" t="s">
        <v>637</v>
      </c>
      <c r="D484" s="190">
        <v>107.034</v>
      </c>
      <c r="E484" s="190">
        <v>5890</v>
      </c>
      <c r="F484" s="396">
        <f>D484*E484*0.9</f>
        <v>567387.234</v>
      </c>
      <c r="G484" s="253">
        <f>590287.554-22900.3199999999</f>
        <v>567387.234</v>
      </c>
      <c r="H484" s="253">
        <f t="shared" si="97"/>
        <v>0</v>
      </c>
      <c r="I484" s="254">
        <v>46041</v>
      </c>
      <c r="J484" s="190" t="s">
        <v>90</v>
      </c>
      <c r="K484" s="190" t="s">
        <v>66</v>
      </c>
      <c r="L484" s="333"/>
    </row>
    <row r="485" hidden="1" customHeight="1" spans="1:12">
      <c r="A485" s="296" t="s">
        <v>1438</v>
      </c>
      <c r="B485" s="293" t="s">
        <v>802</v>
      </c>
      <c r="C485" s="224" t="s">
        <v>803</v>
      </c>
      <c r="D485" s="337">
        <v>14.735</v>
      </c>
      <c r="E485" s="397">
        <v>2449</v>
      </c>
      <c r="F485" s="383">
        <f>D485*E485</f>
        <v>36086.015</v>
      </c>
      <c r="G485" s="276">
        <f>35150.23+935.784999999996</f>
        <v>36086.015</v>
      </c>
      <c r="H485" s="276">
        <f t="shared" si="97"/>
        <v>0</v>
      </c>
      <c r="I485" s="308">
        <v>46021</v>
      </c>
      <c r="J485" s="317" t="s">
        <v>441</v>
      </c>
      <c r="K485" s="330"/>
      <c r="L485" s="332"/>
    </row>
    <row r="486" hidden="1" customHeight="1" spans="1:12">
      <c r="A486" s="296" t="s">
        <v>1438</v>
      </c>
      <c r="B486" s="398" t="s">
        <v>1464</v>
      </c>
      <c r="C486" s="190" t="s">
        <v>1546</v>
      </c>
      <c r="D486" s="190">
        <v>17.896</v>
      </c>
      <c r="E486" s="190">
        <v>1877.76</v>
      </c>
      <c r="F486" s="253">
        <v>33604.39296</v>
      </c>
      <c r="G486" s="276">
        <v>33604.39296</v>
      </c>
      <c r="H486" s="276">
        <f t="shared" si="97"/>
        <v>0</v>
      </c>
      <c r="I486" s="254">
        <v>46004</v>
      </c>
      <c r="J486" s="317" t="s">
        <v>441</v>
      </c>
      <c r="K486" s="367"/>
      <c r="L486" s="333"/>
    </row>
    <row r="487" hidden="1" customHeight="1" spans="1:12">
      <c r="A487" s="296" t="s">
        <v>1438</v>
      </c>
      <c r="B487" s="398" t="s">
        <v>1464</v>
      </c>
      <c r="C487" s="190" t="s">
        <v>1547</v>
      </c>
      <c r="D487" s="190">
        <v>6.061</v>
      </c>
      <c r="E487" s="190">
        <v>2193.87755102041</v>
      </c>
      <c r="F487" s="253">
        <v>13297.0918367347</v>
      </c>
      <c r="G487" s="276">
        <v>13297.0918367347</v>
      </c>
      <c r="H487" s="276">
        <f t="shared" si="97"/>
        <v>0</v>
      </c>
      <c r="I487" s="254">
        <v>46004</v>
      </c>
      <c r="J487" s="317" t="s">
        <v>441</v>
      </c>
      <c r="K487" s="367"/>
      <c r="L487" s="333"/>
    </row>
    <row r="488" hidden="1" customHeight="1" spans="1:12">
      <c r="A488" s="296" t="s">
        <v>1438</v>
      </c>
      <c r="B488" s="398" t="s">
        <v>1464</v>
      </c>
      <c r="C488" s="190" t="s">
        <v>1548</v>
      </c>
      <c r="D488" s="190">
        <v>19.749</v>
      </c>
      <c r="E488" s="190">
        <v>2346.9387755102</v>
      </c>
      <c r="F488" s="253">
        <v>46349.6938775509</v>
      </c>
      <c r="G488" s="276">
        <v>46349.6938775509</v>
      </c>
      <c r="H488" s="276">
        <f t="shared" si="97"/>
        <v>0</v>
      </c>
      <c r="I488" s="254">
        <v>46004</v>
      </c>
      <c r="J488" s="317" t="s">
        <v>441</v>
      </c>
      <c r="K488" s="367"/>
      <c r="L488" s="333"/>
    </row>
    <row r="489" hidden="1" customHeight="1" spans="1:12">
      <c r="A489" s="296" t="s">
        <v>1438</v>
      </c>
      <c r="B489" s="398" t="s">
        <v>1464</v>
      </c>
      <c r="C489" s="190" t="s">
        <v>1549</v>
      </c>
      <c r="D489" s="190">
        <v>9.535</v>
      </c>
      <c r="E489" s="190">
        <v>2040.81632653061</v>
      </c>
      <c r="F489" s="253">
        <v>19459.1836734694</v>
      </c>
      <c r="G489" s="253">
        <v>19459.1836734694</v>
      </c>
      <c r="H489" s="253">
        <f t="shared" si="97"/>
        <v>0</v>
      </c>
      <c r="I489" s="254">
        <v>46004</v>
      </c>
      <c r="J489" s="317" t="s">
        <v>441</v>
      </c>
      <c r="K489" s="367"/>
      <c r="L489" s="333"/>
    </row>
    <row r="490" customHeight="1" spans="1:12">
      <c r="A490" s="190" t="s">
        <v>93</v>
      </c>
      <c r="B490" s="76" t="s">
        <v>1550</v>
      </c>
      <c r="C490" s="76" t="s">
        <v>935</v>
      </c>
      <c r="D490" s="190">
        <v>986000</v>
      </c>
      <c r="E490" s="143">
        <v>0.2329</v>
      </c>
      <c r="F490" s="114">
        <f>D490*E490</f>
        <v>229639.4</v>
      </c>
      <c r="G490" s="253">
        <f>270164-40524.6+40524.6-31697.45-8827.14999999999</f>
        <v>229639.4</v>
      </c>
      <c r="H490" s="253">
        <f t="shared" si="97"/>
        <v>0</v>
      </c>
      <c r="I490" s="254">
        <v>46033</v>
      </c>
      <c r="J490" s="190" t="s">
        <v>90</v>
      </c>
      <c r="K490" s="190" t="s">
        <v>88</v>
      </c>
      <c r="L490" s="333"/>
    </row>
    <row r="491" customHeight="1" spans="1:12">
      <c r="A491" s="190" t="s">
        <v>93</v>
      </c>
      <c r="B491" s="76" t="s">
        <v>1551</v>
      </c>
      <c r="C491" s="76" t="s">
        <v>935</v>
      </c>
      <c r="D491" s="190">
        <v>1160000</v>
      </c>
      <c r="E491" s="143">
        <v>0.2329</v>
      </c>
      <c r="F491" s="114">
        <f t="shared" ref="F491" si="98">D491*E491</f>
        <v>270164</v>
      </c>
      <c r="G491" s="253">
        <f>531012-270164+9316</f>
        <v>270164</v>
      </c>
      <c r="H491" s="364">
        <f t="shared" si="97"/>
        <v>0</v>
      </c>
      <c r="I491" s="254">
        <v>46033</v>
      </c>
      <c r="J491" s="190" t="s">
        <v>90</v>
      </c>
      <c r="K491" s="190" t="s">
        <v>88</v>
      </c>
      <c r="L491" s="333"/>
    </row>
    <row r="492" customHeight="1" spans="1:12">
      <c r="A492" s="190" t="s">
        <v>93</v>
      </c>
      <c r="B492" s="76" t="s">
        <v>939</v>
      </c>
      <c r="C492" s="76" t="s">
        <v>940</v>
      </c>
      <c r="D492" s="190">
        <v>9.718</v>
      </c>
      <c r="E492" s="190">
        <v>5245</v>
      </c>
      <c r="F492" s="114">
        <f>D492*E492*0.1</f>
        <v>5097.091</v>
      </c>
      <c r="G492" s="253">
        <f>5245-147.909</f>
        <v>5097.091</v>
      </c>
      <c r="H492" s="253">
        <f t="shared" si="97"/>
        <v>0</v>
      </c>
      <c r="I492" s="254">
        <v>46007</v>
      </c>
      <c r="J492" s="190" t="s">
        <v>90</v>
      </c>
      <c r="K492" s="190" t="s">
        <v>66</v>
      </c>
      <c r="L492" s="333"/>
    </row>
    <row r="493" customHeight="1" spans="1:12">
      <c r="A493" s="190" t="s">
        <v>93</v>
      </c>
      <c r="B493" s="76" t="s">
        <v>939</v>
      </c>
      <c r="C493" s="76" t="s">
        <v>940</v>
      </c>
      <c r="D493" s="190">
        <v>9.718</v>
      </c>
      <c r="E493" s="190">
        <v>5245</v>
      </c>
      <c r="F493" s="114">
        <f>D493*E493*0.9</f>
        <v>45873.819</v>
      </c>
      <c r="G493" s="253">
        <f>147.909+41153.319+4572.59099999999</f>
        <v>45873.819</v>
      </c>
      <c r="H493" s="253">
        <f t="shared" si="97"/>
        <v>0</v>
      </c>
      <c r="I493" s="254">
        <v>46057</v>
      </c>
      <c r="J493" s="190" t="s">
        <v>90</v>
      </c>
      <c r="K493" s="190" t="s">
        <v>66</v>
      </c>
      <c r="L493" s="333"/>
    </row>
    <row r="494" customHeight="1" spans="1:12">
      <c r="A494" s="190" t="s">
        <v>93</v>
      </c>
      <c r="B494" s="76" t="s">
        <v>939</v>
      </c>
      <c r="C494" s="76" t="s">
        <v>942</v>
      </c>
      <c r="D494" s="190">
        <v>10.155</v>
      </c>
      <c r="E494" s="190">
        <v>5245</v>
      </c>
      <c r="F494" s="114">
        <f>D494*E494*0.1</f>
        <v>5326.2975</v>
      </c>
      <c r="G494" s="253">
        <f>5245+73.1677499999997+8.12975000000097</f>
        <v>5326.2975</v>
      </c>
      <c r="H494" s="253">
        <f t="shared" si="97"/>
        <v>0</v>
      </c>
      <c r="I494" s="254">
        <v>46007</v>
      </c>
      <c r="J494" s="190" t="s">
        <v>90</v>
      </c>
      <c r="K494" s="190" t="s">
        <v>66</v>
      </c>
      <c r="L494" s="333"/>
    </row>
    <row r="495" customHeight="1" spans="1:12">
      <c r="A495" s="190" t="s">
        <v>93</v>
      </c>
      <c r="B495" s="76" t="s">
        <v>939</v>
      </c>
      <c r="C495" s="76" t="s">
        <v>942</v>
      </c>
      <c r="D495" s="190">
        <v>10.155</v>
      </c>
      <c r="E495" s="190">
        <v>5245</v>
      </c>
      <c r="F495" s="114">
        <f t="shared" ref="F495:F499" si="99">D495*E495*0.9</f>
        <v>47936.6775</v>
      </c>
      <c r="G495" s="253">
        <f>43143.0097+4793.667755</f>
        <v>47936.677455</v>
      </c>
      <c r="H495" s="253">
        <f t="shared" ref="H495:H507" si="100">F495-G495</f>
        <v>4.49999934062362e-5</v>
      </c>
      <c r="I495" s="254">
        <v>46057</v>
      </c>
      <c r="J495" s="190" t="s">
        <v>90</v>
      </c>
      <c r="K495" s="190" t="s">
        <v>66</v>
      </c>
      <c r="L495" s="333"/>
    </row>
    <row r="496" customHeight="1" spans="1:12">
      <c r="A496" s="190" t="s">
        <v>93</v>
      </c>
      <c r="B496" s="76" t="s">
        <v>943</v>
      </c>
      <c r="C496" s="190" t="s">
        <v>944</v>
      </c>
      <c r="D496" s="190">
        <v>98.182</v>
      </c>
      <c r="E496" s="190">
        <v>5990</v>
      </c>
      <c r="F496" s="114">
        <f>D496*E496*0.1</f>
        <v>58811.018</v>
      </c>
      <c r="G496" s="253">
        <f>59900-1088.98199999999</f>
        <v>58811.018</v>
      </c>
      <c r="H496" s="253">
        <f t="shared" si="100"/>
        <v>0</v>
      </c>
      <c r="I496" s="254">
        <v>46010</v>
      </c>
      <c r="J496" s="190" t="s">
        <v>90</v>
      </c>
      <c r="K496" s="190" t="s">
        <v>66</v>
      </c>
      <c r="L496" s="333"/>
    </row>
    <row r="497" customHeight="1" spans="1:12">
      <c r="A497" s="190" t="s">
        <v>93</v>
      </c>
      <c r="B497" s="76" t="s">
        <v>943</v>
      </c>
      <c r="C497" s="190" t="s">
        <v>944</v>
      </c>
      <c r="D497" s="190">
        <v>98.182</v>
      </c>
      <c r="E497" s="190">
        <v>5990</v>
      </c>
      <c r="F497" s="114">
        <f t="shared" si="99"/>
        <v>529299.162</v>
      </c>
      <c r="G497" s="253">
        <f>1088.98199999999+528210.18</f>
        <v>529299.162</v>
      </c>
      <c r="H497" s="253">
        <f t="shared" si="100"/>
        <v>0</v>
      </c>
      <c r="I497" s="254">
        <v>46091</v>
      </c>
      <c r="J497" s="190" t="s">
        <v>90</v>
      </c>
      <c r="K497" s="190" t="s">
        <v>66</v>
      </c>
      <c r="L497" s="333"/>
    </row>
    <row r="498" customHeight="1" spans="1:12">
      <c r="A498" s="190" t="s">
        <v>93</v>
      </c>
      <c r="B498" s="76" t="s">
        <v>1552</v>
      </c>
      <c r="C498" s="76" t="s">
        <v>949</v>
      </c>
      <c r="D498" s="190">
        <v>55.224</v>
      </c>
      <c r="E498" s="190">
        <v>5685</v>
      </c>
      <c r="F498" s="114">
        <f>D498*E498*0.1</f>
        <v>31394.844</v>
      </c>
      <c r="G498" s="253">
        <f>30699+695.844000000001</f>
        <v>31394.844</v>
      </c>
      <c r="H498" s="253">
        <f t="shared" si="100"/>
        <v>0</v>
      </c>
      <c r="I498" s="254">
        <v>46013</v>
      </c>
      <c r="J498" s="190" t="s">
        <v>90</v>
      </c>
      <c r="K498" s="190" t="s">
        <v>66</v>
      </c>
      <c r="L498" s="333"/>
    </row>
    <row r="499" customHeight="1" spans="1:12">
      <c r="A499" s="190" t="s">
        <v>93</v>
      </c>
      <c r="B499" s="76" t="s">
        <v>1552</v>
      </c>
      <c r="C499" s="76" t="s">
        <v>949</v>
      </c>
      <c r="D499" s="129">
        <v>55.224</v>
      </c>
      <c r="E499" s="190">
        <v>5685</v>
      </c>
      <c r="F499" s="114">
        <f t="shared" si="99"/>
        <v>282553.596</v>
      </c>
      <c r="G499" s="253">
        <f>248661.9-695.844000000001+34587.54</f>
        <v>282553.596</v>
      </c>
      <c r="H499" s="253">
        <f t="shared" si="100"/>
        <v>0</v>
      </c>
      <c r="I499" s="254">
        <v>46119</v>
      </c>
      <c r="J499" s="190" t="s">
        <v>90</v>
      </c>
      <c r="K499" s="190" t="s">
        <v>66</v>
      </c>
      <c r="L499" s="333"/>
    </row>
    <row r="500" customHeight="1" spans="1:12">
      <c r="A500" s="190" t="s">
        <v>93</v>
      </c>
      <c r="B500" s="76" t="s">
        <v>1553</v>
      </c>
      <c r="C500" s="76" t="s">
        <v>949</v>
      </c>
      <c r="D500" s="129">
        <v>4.896</v>
      </c>
      <c r="E500" s="190">
        <v>5685</v>
      </c>
      <c r="F500" s="114">
        <f t="shared" ref="F500:F507" si="101">D500*E500</f>
        <v>27833.76</v>
      </c>
      <c r="G500" s="253">
        <v>27833.76</v>
      </c>
      <c r="H500" s="253">
        <f t="shared" si="100"/>
        <v>0</v>
      </c>
      <c r="I500" s="254">
        <v>46181</v>
      </c>
      <c r="J500" s="190" t="s">
        <v>90</v>
      </c>
      <c r="K500" s="190" t="s">
        <v>66</v>
      </c>
      <c r="L500" s="333"/>
    </row>
    <row r="501" customHeight="1" spans="1:12">
      <c r="A501" s="190" t="s">
        <v>93</v>
      </c>
      <c r="B501" s="76" t="s">
        <v>1554</v>
      </c>
      <c r="C501" s="76" t="s">
        <v>952</v>
      </c>
      <c r="D501" s="129">
        <v>50.868</v>
      </c>
      <c r="E501" s="190">
        <v>6100</v>
      </c>
      <c r="F501" s="114">
        <f t="shared" si="101"/>
        <v>310294.8</v>
      </c>
      <c r="G501" s="253">
        <f>296460+13834.8</f>
        <v>310294.8</v>
      </c>
      <c r="H501" s="253">
        <f t="shared" si="100"/>
        <v>0</v>
      </c>
      <c r="I501" s="254">
        <v>46119</v>
      </c>
      <c r="J501" s="190" t="s">
        <v>90</v>
      </c>
      <c r="K501" s="190" t="s">
        <v>88</v>
      </c>
      <c r="L501" s="333"/>
    </row>
    <row r="502" customHeight="1" spans="1:12">
      <c r="A502" s="190" t="s">
        <v>93</v>
      </c>
      <c r="B502" s="76" t="s">
        <v>1554</v>
      </c>
      <c r="C502" s="76" t="s">
        <v>955</v>
      </c>
      <c r="D502" s="129">
        <v>27.442</v>
      </c>
      <c r="E502" s="190">
        <v>5750</v>
      </c>
      <c r="F502" s="114">
        <f t="shared" si="101"/>
        <v>157791.5</v>
      </c>
      <c r="G502" s="253">
        <f>139725+18066.5</f>
        <v>157791.5</v>
      </c>
      <c r="H502" s="253">
        <f t="shared" si="100"/>
        <v>0</v>
      </c>
      <c r="I502" s="254">
        <v>46119</v>
      </c>
      <c r="J502" s="190" t="s">
        <v>90</v>
      </c>
      <c r="K502" s="190" t="s">
        <v>88</v>
      </c>
      <c r="L502" s="333"/>
    </row>
    <row r="503" customHeight="1" spans="1:12">
      <c r="A503" s="190" t="s">
        <v>93</v>
      </c>
      <c r="B503" s="76" t="s">
        <v>956</v>
      </c>
      <c r="C503" s="76" t="s">
        <v>685</v>
      </c>
      <c r="D503" s="264">
        <v>2097600</v>
      </c>
      <c r="E503" s="129">
        <v>0.23</v>
      </c>
      <c r="F503" s="114">
        <f t="shared" si="101"/>
        <v>482448</v>
      </c>
      <c r="G503" s="253">
        <v>482448</v>
      </c>
      <c r="H503" s="253">
        <f t="shared" si="100"/>
        <v>0</v>
      </c>
      <c r="I503" s="399">
        <v>46047</v>
      </c>
      <c r="J503" s="190" t="s">
        <v>90</v>
      </c>
      <c r="K503" s="190" t="s">
        <v>148</v>
      </c>
      <c r="L503" s="190"/>
    </row>
    <row r="504" customHeight="1" spans="1:12">
      <c r="A504" s="190" t="s">
        <v>93</v>
      </c>
      <c r="B504" s="76" t="s">
        <v>968</v>
      </c>
      <c r="C504" s="76" t="s">
        <v>935</v>
      </c>
      <c r="D504" s="76">
        <v>2320000</v>
      </c>
      <c r="E504" s="143">
        <v>0.2329</v>
      </c>
      <c r="F504" s="114">
        <f t="shared" si="101"/>
        <v>540328</v>
      </c>
      <c r="G504" s="253">
        <v>540328</v>
      </c>
      <c r="H504" s="253">
        <f t="shared" si="100"/>
        <v>0</v>
      </c>
      <c r="I504" s="254">
        <v>46053</v>
      </c>
      <c r="J504" s="190" t="s">
        <v>441</v>
      </c>
      <c r="K504" s="190" t="s">
        <v>88</v>
      </c>
      <c r="L504" s="190"/>
    </row>
    <row r="505" customHeight="1" spans="1:12">
      <c r="A505" s="190" t="s">
        <v>93</v>
      </c>
      <c r="B505" s="76" t="s">
        <v>971</v>
      </c>
      <c r="C505" s="76" t="s">
        <v>972</v>
      </c>
      <c r="D505" s="76">
        <v>173130</v>
      </c>
      <c r="E505" s="143">
        <v>0.2675</v>
      </c>
      <c r="F505" s="114">
        <f t="shared" si="101"/>
        <v>46312.275</v>
      </c>
      <c r="G505" s="253">
        <f>43891.2+2421.075</f>
        <v>46312.275</v>
      </c>
      <c r="H505" s="253">
        <f t="shared" si="100"/>
        <v>0</v>
      </c>
      <c r="I505" s="254">
        <v>46053</v>
      </c>
      <c r="J505" s="190" t="s">
        <v>441</v>
      </c>
      <c r="K505" s="190" t="s">
        <v>88</v>
      </c>
      <c r="L505" s="190"/>
    </row>
    <row r="506" customHeight="1" spans="1:12">
      <c r="A506" s="190" t="s">
        <v>93</v>
      </c>
      <c r="B506" s="76" t="s">
        <v>977</v>
      </c>
      <c r="C506" s="76" t="s">
        <v>739</v>
      </c>
      <c r="D506" s="264">
        <v>696000</v>
      </c>
      <c r="E506" s="373">
        <v>0.224</v>
      </c>
      <c r="F506" s="114">
        <f t="shared" si="101"/>
        <v>155904</v>
      </c>
      <c r="G506" s="253">
        <f>140313.6+15590.4</f>
        <v>155904</v>
      </c>
      <c r="H506" s="253">
        <f t="shared" si="100"/>
        <v>0</v>
      </c>
      <c r="I506" s="254">
        <v>46112</v>
      </c>
      <c r="J506" s="190" t="s">
        <v>441</v>
      </c>
      <c r="K506" s="190" t="s">
        <v>88</v>
      </c>
      <c r="L506" s="190"/>
    </row>
    <row r="507" customHeight="1" spans="1:12">
      <c r="A507" s="190" t="s">
        <v>93</v>
      </c>
      <c r="B507" s="76" t="s">
        <v>977</v>
      </c>
      <c r="C507" s="76" t="s">
        <v>742</v>
      </c>
      <c r="D507" s="264">
        <v>601920</v>
      </c>
      <c r="E507" s="373">
        <v>0.1695</v>
      </c>
      <c r="F507" s="114">
        <f t="shared" si="101"/>
        <v>102025.44</v>
      </c>
      <c r="G507" s="253">
        <f>91822.9+10202.54</f>
        <v>102025.44</v>
      </c>
      <c r="H507" s="253">
        <f t="shared" si="100"/>
        <v>0</v>
      </c>
      <c r="I507" s="254">
        <v>46112</v>
      </c>
      <c r="J507" s="190" t="s">
        <v>441</v>
      </c>
      <c r="K507" s="190" t="s">
        <v>88</v>
      </c>
      <c r="L507" s="190"/>
    </row>
    <row r="508" hidden="1" customHeight="1" spans="1:12">
      <c r="A508" s="190" t="s">
        <v>1358</v>
      </c>
      <c r="B508" s="76" t="s">
        <v>1555</v>
      </c>
      <c r="C508" s="190" t="s">
        <v>823</v>
      </c>
      <c r="D508" s="129">
        <v>0.236</v>
      </c>
      <c r="E508" s="190">
        <v>5830</v>
      </c>
      <c r="F508" s="114">
        <f t="shared" ref="F508:F518" si="102">D508*E508</f>
        <v>1375.88</v>
      </c>
      <c r="G508" s="253">
        <v>1375.88</v>
      </c>
      <c r="H508" s="253">
        <f t="shared" ref="H508:H517" si="103">F508-G508</f>
        <v>0</v>
      </c>
      <c r="I508" s="254">
        <v>46132</v>
      </c>
      <c r="J508" s="190" t="s">
        <v>441</v>
      </c>
      <c r="K508" s="190"/>
      <c r="L508" s="190"/>
    </row>
    <row r="509" hidden="1" customHeight="1" spans="1:12">
      <c r="A509" s="190" t="s">
        <v>1358</v>
      </c>
      <c r="B509" s="190" t="s">
        <v>1556</v>
      </c>
      <c r="C509" s="190" t="s">
        <v>808</v>
      </c>
      <c r="D509" s="190">
        <v>12.906</v>
      </c>
      <c r="E509" s="190">
        <v>6722</v>
      </c>
      <c r="F509" s="114">
        <f t="shared" si="102"/>
        <v>86754.132</v>
      </c>
      <c r="G509" s="253">
        <v>86754.132</v>
      </c>
      <c r="H509" s="253">
        <f t="shared" si="103"/>
        <v>0</v>
      </c>
      <c r="I509" s="254">
        <v>46132</v>
      </c>
      <c r="J509" s="190" t="s">
        <v>441</v>
      </c>
      <c r="K509" s="190"/>
      <c r="L509" s="190"/>
    </row>
    <row r="510" hidden="1" customHeight="1" spans="1:12">
      <c r="A510" s="190" t="s">
        <v>1358</v>
      </c>
      <c r="B510" s="190" t="s">
        <v>1557</v>
      </c>
      <c r="C510" s="190" t="s">
        <v>820</v>
      </c>
      <c r="D510" s="190">
        <v>14.483</v>
      </c>
      <c r="E510" s="190">
        <v>5880</v>
      </c>
      <c r="F510" s="114">
        <f t="shared" si="102"/>
        <v>85160.04</v>
      </c>
      <c r="G510" s="253">
        <v>85160.04</v>
      </c>
      <c r="H510" s="253">
        <f t="shared" si="103"/>
        <v>0</v>
      </c>
      <c r="I510" s="254">
        <v>46132</v>
      </c>
      <c r="J510" s="190" t="s">
        <v>441</v>
      </c>
      <c r="K510" s="190"/>
      <c r="L510" s="190"/>
    </row>
    <row r="511" hidden="1" customHeight="1" spans="1:12">
      <c r="A511" s="190" t="s">
        <v>1358</v>
      </c>
      <c r="B511" s="190" t="s">
        <v>1556</v>
      </c>
      <c r="C511" s="190" t="s">
        <v>810</v>
      </c>
      <c r="D511" s="190">
        <v>23.407</v>
      </c>
      <c r="E511" s="190">
        <v>6722</v>
      </c>
      <c r="F511" s="114">
        <f t="shared" si="102"/>
        <v>157341.854</v>
      </c>
      <c r="G511" s="253">
        <v>157341.854</v>
      </c>
      <c r="H511" s="253">
        <f t="shared" si="103"/>
        <v>0</v>
      </c>
      <c r="I511" s="254">
        <v>46132</v>
      </c>
      <c r="J511" s="190" t="s">
        <v>441</v>
      </c>
      <c r="K511" s="190"/>
      <c r="L511" s="190"/>
    </row>
    <row r="512" hidden="1" customHeight="1" spans="1:12">
      <c r="A512" s="190" t="s">
        <v>1358</v>
      </c>
      <c r="B512" s="190" t="s">
        <v>1557</v>
      </c>
      <c r="C512" s="190" t="s">
        <v>822</v>
      </c>
      <c r="D512" s="190">
        <v>6.024</v>
      </c>
      <c r="E512" s="190">
        <v>5880</v>
      </c>
      <c r="F512" s="114">
        <f t="shared" si="102"/>
        <v>35421.12</v>
      </c>
      <c r="G512" s="253">
        <v>35421.12</v>
      </c>
      <c r="H512" s="253">
        <f t="shared" si="103"/>
        <v>0</v>
      </c>
      <c r="I512" s="254">
        <v>46132</v>
      </c>
      <c r="J512" s="190" t="s">
        <v>441</v>
      </c>
      <c r="K512" s="190"/>
      <c r="L512" s="190"/>
    </row>
    <row r="513" hidden="1" customHeight="1" spans="1:13">
      <c r="A513" s="190" t="s">
        <v>1358</v>
      </c>
      <c r="B513" s="190" t="s">
        <v>1558</v>
      </c>
      <c r="C513" s="190" t="s">
        <v>822</v>
      </c>
      <c r="D513" s="190">
        <v>25.687</v>
      </c>
      <c r="E513" s="190">
        <v>5880</v>
      </c>
      <c r="F513" s="114">
        <f t="shared" si="102"/>
        <v>151039.56</v>
      </c>
      <c r="G513" s="253">
        <v>151039.56</v>
      </c>
      <c r="H513" s="253">
        <f t="shared" si="103"/>
        <v>0</v>
      </c>
      <c r="I513" s="254">
        <v>46132</v>
      </c>
      <c r="J513" s="190" t="s">
        <v>441</v>
      </c>
      <c r="K513" s="190"/>
      <c r="L513" s="190"/>
    </row>
    <row r="514" hidden="1" customHeight="1" spans="1:13">
      <c r="A514" s="190" t="s">
        <v>1358</v>
      </c>
      <c r="B514" s="190" t="s">
        <v>1557</v>
      </c>
      <c r="C514" s="190" t="s">
        <v>811</v>
      </c>
      <c r="D514" s="190">
        <v>38.225</v>
      </c>
      <c r="E514" s="190">
        <v>6635</v>
      </c>
      <c r="F514" s="114">
        <f t="shared" si="102"/>
        <v>253622.875</v>
      </c>
      <c r="G514" s="253">
        <v>253622.875</v>
      </c>
      <c r="H514" s="253">
        <f t="shared" si="103"/>
        <v>0</v>
      </c>
      <c r="I514" s="254">
        <v>46132</v>
      </c>
      <c r="J514" s="190" t="s">
        <v>441</v>
      </c>
      <c r="K514" s="190"/>
      <c r="L514" s="190"/>
    </row>
    <row r="515" hidden="1" customHeight="1" spans="1:13">
      <c r="A515" s="190" t="s">
        <v>1358</v>
      </c>
      <c r="B515" s="190" t="s">
        <v>1559</v>
      </c>
      <c r="C515" s="190" t="s">
        <v>824</v>
      </c>
      <c r="D515" s="190">
        <f>21.195-D516</f>
        <v>4.587</v>
      </c>
      <c r="E515" s="190">
        <v>5831</v>
      </c>
      <c r="F515" s="114">
        <f t="shared" si="102"/>
        <v>26746.797</v>
      </c>
      <c r="G515" s="253">
        <v>0</v>
      </c>
      <c r="H515" s="253">
        <f t="shared" si="103"/>
        <v>26746.797</v>
      </c>
      <c r="I515" s="254">
        <v>46177</v>
      </c>
      <c r="J515" s="190" t="s">
        <v>441</v>
      </c>
      <c r="K515" s="190" t="s">
        <v>88</v>
      </c>
      <c r="L515" s="400" t="s">
        <v>1560</v>
      </c>
      <c r="M515" s="401">
        <v>46361</v>
      </c>
    </row>
    <row r="516" hidden="1" customHeight="1" spans="1:13">
      <c r="A516" s="190" t="s">
        <v>1358</v>
      </c>
      <c r="B516" s="190" t="s">
        <v>1561</v>
      </c>
      <c r="C516" s="190" t="s">
        <v>824</v>
      </c>
      <c r="D516" s="190">
        <v>16.608</v>
      </c>
      <c r="E516" s="190">
        <v>5831</v>
      </c>
      <c r="F516" s="114">
        <f t="shared" si="102"/>
        <v>96841.248</v>
      </c>
      <c r="G516" s="253">
        <v>96841.248</v>
      </c>
      <c r="H516" s="253">
        <f t="shared" si="103"/>
        <v>0</v>
      </c>
      <c r="I516" s="254">
        <v>46177</v>
      </c>
      <c r="J516" s="190" t="s">
        <v>441</v>
      </c>
      <c r="K516" s="190"/>
      <c r="L516" s="190"/>
    </row>
    <row r="517" hidden="1" customHeight="1" spans="1:13">
      <c r="A517" s="190" t="s">
        <v>1358</v>
      </c>
      <c r="B517" s="190" t="s">
        <v>1562</v>
      </c>
      <c r="C517" s="190" t="s">
        <v>825</v>
      </c>
      <c r="D517" s="190">
        <v>2.378</v>
      </c>
      <c r="E517" s="190">
        <v>5831</v>
      </c>
      <c r="F517" s="114">
        <f t="shared" si="102"/>
        <v>13866.118</v>
      </c>
      <c r="G517" s="253">
        <v>13866.118</v>
      </c>
      <c r="H517" s="253">
        <f t="shared" si="103"/>
        <v>0</v>
      </c>
      <c r="I517" s="254">
        <v>46132</v>
      </c>
      <c r="J517" s="190" t="s">
        <v>441</v>
      </c>
      <c r="K517" s="190"/>
      <c r="L517" s="190"/>
    </row>
    <row r="518" hidden="1" customHeight="1" spans="1:13">
      <c r="A518" s="190" t="s">
        <v>1358</v>
      </c>
      <c r="B518" s="190" t="s">
        <v>1558</v>
      </c>
      <c r="C518" s="190" t="s">
        <v>825</v>
      </c>
      <c r="D518" s="190">
        <v>25.772</v>
      </c>
      <c r="E518" s="190">
        <v>5831</v>
      </c>
      <c r="F518" s="114">
        <f t="shared" si="102"/>
        <v>150276.532</v>
      </c>
      <c r="G518" s="253">
        <v>150276.532</v>
      </c>
      <c r="H518" s="253">
        <f t="shared" ref="H518:H529" si="104">F518-G518</f>
        <v>0</v>
      </c>
      <c r="I518" s="254">
        <v>46132</v>
      </c>
      <c r="J518" s="190" t="s">
        <v>441</v>
      </c>
      <c r="K518" s="190"/>
      <c r="L518" s="190"/>
    </row>
    <row r="519" hidden="1" customHeight="1" spans="1:13">
      <c r="A519" s="190" t="s">
        <v>984</v>
      </c>
      <c r="B519" s="76" t="s">
        <v>985</v>
      </c>
      <c r="C519" s="190" t="s">
        <v>986</v>
      </c>
      <c r="D519" s="190">
        <v>48.566</v>
      </c>
      <c r="E519" s="190">
        <v>8128</v>
      </c>
      <c r="F519" s="114">
        <f>D519*E519*0.1</f>
        <v>39474.4448</v>
      </c>
      <c r="G519" s="253">
        <v>39474.4448</v>
      </c>
      <c r="H519" s="369">
        <f t="shared" si="104"/>
        <v>0</v>
      </c>
      <c r="I519" s="254">
        <v>46044</v>
      </c>
      <c r="J519" s="190" t="s">
        <v>441</v>
      </c>
      <c r="K519" s="190" t="s">
        <v>66</v>
      </c>
      <c r="L519" s="190"/>
    </row>
    <row r="520" hidden="1" customHeight="1" spans="1:13">
      <c r="A520" s="190" t="s">
        <v>984</v>
      </c>
      <c r="B520" s="76" t="s">
        <v>985</v>
      </c>
      <c r="C520" s="190" t="s">
        <v>986</v>
      </c>
      <c r="D520" s="190">
        <v>48.566</v>
      </c>
      <c r="E520" s="190">
        <v>8128</v>
      </c>
      <c r="F520" s="114">
        <f>D520*E520*0.9</f>
        <v>355270.0032</v>
      </c>
      <c r="G520" s="253">
        <v>355270.0032</v>
      </c>
      <c r="H520" s="253">
        <f t="shared" si="104"/>
        <v>0</v>
      </c>
      <c r="I520" s="254">
        <v>46091</v>
      </c>
      <c r="J520" s="190" t="s">
        <v>441</v>
      </c>
      <c r="K520" s="190" t="s">
        <v>66</v>
      </c>
      <c r="L520" s="190"/>
    </row>
    <row r="521" customHeight="1" spans="1:13">
      <c r="A521" s="190" t="s">
        <v>93</v>
      </c>
      <c r="B521" s="76" t="s">
        <v>990</v>
      </c>
      <c r="C521" s="190" t="s">
        <v>991</v>
      </c>
      <c r="D521" s="190">
        <v>27.615</v>
      </c>
      <c r="E521" s="190">
        <v>5440</v>
      </c>
      <c r="F521" s="114">
        <f t="shared" ref="F521:F529" si="105">D521*E521</f>
        <v>150225.6</v>
      </c>
      <c r="G521" s="253">
        <v>150225.6</v>
      </c>
      <c r="H521" s="253">
        <f t="shared" si="104"/>
        <v>0</v>
      </c>
      <c r="I521" s="254">
        <v>46142</v>
      </c>
      <c r="J521" s="190" t="s">
        <v>441</v>
      </c>
      <c r="K521" s="190" t="s">
        <v>66</v>
      </c>
      <c r="L521" s="190"/>
    </row>
    <row r="522" customHeight="1" spans="1:13">
      <c r="A522" s="190" t="s">
        <v>93</v>
      </c>
      <c r="B522" s="76" t="s">
        <v>990</v>
      </c>
      <c r="C522" s="190" t="s">
        <v>991</v>
      </c>
      <c r="D522" s="190">
        <v>3.082</v>
      </c>
      <c r="E522" s="190">
        <v>5440</v>
      </c>
      <c r="F522" s="114">
        <f t="shared" si="105"/>
        <v>16766.08</v>
      </c>
      <c r="G522" s="253">
        <v>16766.08</v>
      </c>
      <c r="H522" s="253">
        <f t="shared" si="104"/>
        <v>0</v>
      </c>
      <c r="I522" s="254">
        <v>46142</v>
      </c>
      <c r="J522" s="190" t="s">
        <v>1563</v>
      </c>
      <c r="K522" s="190" t="s">
        <v>66</v>
      </c>
      <c r="L522" s="190"/>
    </row>
    <row r="523" hidden="1" customHeight="1" spans="1:13">
      <c r="A523" s="190" t="s">
        <v>1367</v>
      </c>
      <c r="B523" s="76" t="s">
        <v>993</v>
      </c>
      <c r="C523" s="76" t="s">
        <v>471</v>
      </c>
      <c r="D523" s="190">
        <v>1960400</v>
      </c>
      <c r="E523" s="190">
        <v>0.123</v>
      </c>
      <c r="F523" s="114">
        <f t="shared" si="105"/>
        <v>241129.2</v>
      </c>
      <c r="G523" s="253">
        <v>241129.2</v>
      </c>
      <c r="H523" s="253">
        <f t="shared" si="104"/>
        <v>0</v>
      </c>
      <c r="I523" s="254">
        <v>46049</v>
      </c>
      <c r="J523" s="190" t="s">
        <v>441</v>
      </c>
      <c r="K523" s="190"/>
      <c r="L523" s="190"/>
    </row>
    <row r="524" customHeight="1" spans="1:13">
      <c r="A524" s="190" t="s">
        <v>93</v>
      </c>
      <c r="B524" s="76" t="s">
        <v>1564</v>
      </c>
      <c r="C524" s="76" t="s">
        <v>996</v>
      </c>
      <c r="D524" s="129">
        <v>7.595</v>
      </c>
      <c r="E524" s="190">
        <v>5740</v>
      </c>
      <c r="F524" s="114">
        <f t="shared" si="105"/>
        <v>43595.3</v>
      </c>
      <c r="G524" s="253">
        <v>43595.3</v>
      </c>
      <c r="H524" s="253">
        <f t="shared" si="104"/>
        <v>0</v>
      </c>
      <c r="I524" s="254">
        <v>46132</v>
      </c>
      <c r="J524" s="190" t="s">
        <v>441</v>
      </c>
      <c r="K524" s="190" t="s">
        <v>88</v>
      </c>
      <c r="L524" s="190"/>
    </row>
    <row r="525" customHeight="1" spans="1:13">
      <c r="A525" s="190" t="s">
        <v>93</v>
      </c>
      <c r="B525" s="76" t="s">
        <v>1564</v>
      </c>
      <c r="C525" s="76" t="s">
        <v>998</v>
      </c>
      <c r="D525" s="129">
        <v>13.928</v>
      </c>
      <c r="E525" s="190">
        <v>5920</v>
      </c>
      <c r="F525" s="114">
        <f t="shared" si="105"/>
        <v>82453.76</v>
      </c>
      <c r="G525" s="253">
        <f>81400+1053.75999999999</f>
        <v>82453.76</v>
      </c>
      <c r="H525" s="253">
        <f t="shared" si="104"/>
        <v>0</v>
      </c>
      <c r="I525" s="254">
        <v>46132</v>
      </c>
      <c r="J525" s="190" t="s">
        <v>441</v>
      </c>
      <c r="K525" s="190" t="s">
        <v>88</v>
      </c>
      <c r="L525" s="190"/>
    </row>
    <row r="526" customHeight="1" spans="1:13">
      <c r="A526" s="190" t="s">
        <v>93</v>
      </c>
      <c r="B526" s="76" t="s">
        <v>1565</v>
      </c>
      <c r="C526" s="76" t="s">
        <v>999</v>
      </c>
      <c r="D526" s="129">
        <v>55.008</v>
      </c>
      <c r="E526" s="190">
        <v>5740</v>
      </c>
      <c r="F526" s="114">
        <f t="shared" si="105"/>
        <v>315745.92</v>
      </c>
      <c r="G526" s="253">
        <f>315700+45.9199999999837</f>
        <v>315745.92</v>
      </c>
      <c r="H526" s="253">
        <f t="shared" si="104"/>
        <v>0</v>
      </c>
      <c r="I526" s="254">
        <v>46132</v>
      </c>
      <c r="J526" s="190" t="s">
        <v>441</v>
      </c>
      <c r="K526" s="190" t="s">
        <v>88</v>
      </c>
      <c r="L526" s="190"/>
    </row>
    <row r="527" customHeight="1" spans="1:13">
      <c r="A527" s="190" t="s">
        <v>93</v>
      </c>
      <c r="B527" s="76" t="s">
        <v>1564</v>
      </c>
      <c r="C527" s="76" t="s">
        <v>1000</v>
      </c>
      <c r="D527" s="129">
        <v>10.626</v>
      </c>
      <c r="E527" s="190">
        <v>5670</v>
      </c>
      <c r="F527" s="114">
        <f t="shared" si="105"/>
        <v>60249.42</v>
      </c>
      <c r="G527" s="253">
        <f>77962.5-17713.08</f>
        <v>60249.42</v>
      </c>
      <c r="H527" s="253">
        <f t="shared" si="104"/>
        <v>0</v>
      </c>
      <c r="I527" s="254">
        <v>46132</v>
      </c>
      <c r="J527" s="190" t="s">
        <v>441</v>
      </c>
      <c r="K527" s="190" t="s">
        <v>88</v>
      </c>
      <c r="L527" s="190"/>
    </row>
    <row r="528" customHeight="1" spans="1:13">
      <c r="A528" s="190" t="s">
        <v>93</v>
      </c>
      <c r="B528" s="76" t="s">
        <v>1564</v>
      </c>
      <c r="C528" s="76" t="s">
        <v>1001</v>
      </c>
      <c r="D528" s="129">
        <v>14.481</v>
      </c>
      <c r="E528" s="190">
        <v>5670</v>
      </c>
      <c r="F528" s="114">
        <f t="shared" si="105"/>
        <v>82107.27</v>
      </c>
      <c r="G528" s="253">
        <f>77962.5+4144.77</f>
        <v>82107.27</v>
      </c>
      <c r="H528" s="253">
        <f t="shared" si="104"/>
        <v>0</v>
      </c>
      <c r="I528" s="254">
        <v>46132</v>
      </c>
      <c r="J528" s="190" t="s">
        <v>441</v>
      </c>
      <c r="K528" s="190" t="s">
        <v>88</v>
      </c>
      <c r="L528" s="190"/>
    </row>
    <row r="529" customHeight="1" spans="1:12">
      <c r="A529" s="190" t="s">
        <v>93</v>
      </c>
      <c r="B529" s="76" t="s">
        <v>995</v>
      </c>
      <c r="C529" s="76" t="s">
        <v>996</v>
      </c>
      <c r="D529" s="129">
        <v>27.5</v>
      </c>
      <c r="E529" s="190">
        <v>5740</v>
      </c>
      <c r="F529" s="114">
        <f t="shared" si="105"/>
        <v>157850</v>
      </c>
      <c r="G529" s="253">
        <v>0</v>
      </c>
      <c r="H529" s="253">
        <f t="shared" si="104"/>
        <v>157850</v>
      </c>
      <c r="I529" s="254">
        <v>46157</v>
      </c>
      <c r="J529" s="190"/>
      <c r="K529" s="190" t="s">
        <v>88</v>
      </c>
      <c r="L529" s="190"/>
    </row>
    <row r="530" customHeight="1" spans="1:12">
      <c r="A530" s="190" t="s">
        <v>93</v>
      </c>
      <c r="B530" s="76" t="s">
        <v>995</v>
      </c>
      <c r="C530" s="76" t="s">
        <v>998</v>
      </c>
      <c r="D530" s="129">
        <v>13.75</v>
      </c>
      <c r="E530" s="190">
        <v>5920</v>
      </c>
      <c r="F530" s="114">
        <f t="shared" ref="F530:F535" si="106">D530*E530</f>
        <v>81400</v>
      </c>
      <c r="G530" s="253">
        <v>0</v>
      </c>
      <c r="H530" s="253">
        <f t="shared" ref="H530:H536" si="107">F530-G530</f>
        <v>81400</v>
      </c>
      <c r="I530" s="254">
        <v>46157</v>
      </c>
      <c r="J530" s="190"/>
      <c r="K530" s="190" t="s">
        <v>88</v>
      </c>
      <c r="L530" s="190"/>
    </row>
    <row r="531" customHeight="1" spans="1:12">
      <c r="A531" s="190" t="s">
        <v>93</v>
      </c>
      <c r="B531" s="76" t="s">
        <v>1566</v>
      </c>
      <c r="C531" s="76" t="s">
        <v>999</v>
      </c>
      <c r="D531" s="129">
        <v>41.256</v>
      </c>
      <c r="E531" s="190">
        <v>5740</v>
      </c>
      <c r="F531" s="114">
        <f t="shared" si="106"/>
        <v>236809.44</v>
      </c>
      <c r="G531" s="253">
        <v>236809.44</v>
      </c>
      <c r="H531" s="253">
        <f t="shared" si="107"/>
        <v>0</v>
      </c>
      <c r="I531" s="254">
        <v>46157</v>
      </c>
      <c r="J531" s="190" t="s">
        <v>441</v>
      </c>
      <c r="K531" s="190" t="s">
        <v>88</v>
      </c>
      <c r="L531" s="190"/>
    </row>
    <row r="532" customHeight="1" spans="1:12">
      <c r="A532" s="190" t="s">
        <v>93</v>
      </c>
      <c r="B532" s="76" t="s">
        <v>1566</v>
      </c>
      <c r="C532" s="76" t="s">
        <v>996</v>
      </c>
      <c r="D532" s="129">
        <v>19.747</v>
      </c>
      <c r="E532" s="190">
        <v>5740</v>
      </c>
      <c r="F532" s="114">
        <f t="shared" si="106"/>
        <v>113347.78</v>
      </c>
      <c r="G532" s="253">
        <v>113347.78</v>
      </c>
      <c r="H532" s="253">
        <f t="shared" si="107"/>
        <v>0</v>
      </c>
      <c r="I532" s="254">
        <v>46188</v>
      </c>
      <c r="J532" s="190" t="s">
        <v>441</v>
      </c>
      <c r="K532" s="190" t="s">
        <v>88</v>
      </c>
      <c r="L532" s="190"/>
    </row>
    <row r="533" customHeight="1" spans="1:12">
      <c r="A533" s="190" t="s">
        <v>93</v>
      </c>
      <c r="B533" s="76" t="s">
        <v>995</v>
      </c>
      <c r="C533" s="76" t="s">
        <v>998</v>
      </c>
      <c r="D533" s="129">
        <v>13.75</v>
      </c>
      <c r="E533" s="190">
        <v>5920</v>
      </c>
      <c r="F533" s="114">
        <f t="shared" si="106"/>
        <v>81400</v>
      </c>
      <c r="G533" s="253">
        <v>0</v>
      </c>
      <c r="H533" s="253">
        <f t="shared" si="107"/>
        <v>81400</v>
      </c>
      <c r="I533" s="254">
        <v>46188</v>
      </c>
      <c r="J533" s="190"/>
      <c r="K533" s="190" t="s">
        <v>88</v>
      </c>
      <c r="L533" s="190"/>
    </row>
    <row r="534" customHeight="1" spans="1:12">
      <c r="A534" s="190" t="s">
        <v>93</v>
      </c>
      <c r="B534" s="76" t="s">
        <v>1567</v>
      </c>
      <c r="C534" s="76" t="s">
        <v>999</v>
      </c>
      <c r="D534" s="129">
        <v>24.448</v>
      </c>
      <c r="E534" s="190">
        <v>5740</v>
      </c>
      <c r="F534" s="114">
        <f t="shared" si="106"/>
        <v>140331.52</v>
      </c>
      <c r="G534" s="253">
        <f>118162.18+22169.34</f>
        <v>140331.52</v>
      </c>
      <c r="H534" s="253">
        <f t="shared" si="107"/>
        <v>0</v>
      </c>
      <c r="I534" s="254">
        <v>46188</v>
      </c>
      <c r="J534" s="190" t="s">
        <v>441</v>
      </c>
      <c r="K534" s="190" t="s">
        <v>88</v>
      </c>
      <c r="L534" s="190"/>
    </row>
    <row r="535" customHeight="1" spans="1:12">
      <c r="A535" s="190" t="s">
        <v>93</v>
      </c>
      <c r="B535" s="76" t="s">
        <v>1567</v>
      </c>
      <c r="C535" s="76" t="s">
        <v>1000</v>
      </c>
      <c r="D535" s="129">
        <v>13.617</v>
      </c>
      <c r="E535" s="190">
        <v>5670</v>
      </c>
      <c r="F535" s="114">
        <f t="shared" si="106"/>
        <v>77208.39</v>
      </c>
      <c r="G535" s="253">
        <v>77208.39</v>
      </c>
      <c r="H535" s="253">
        <f t="shared" si="107"/>
        <v>0</v>
      </c>
      <c r="I535" s="254">
        <v>46188</v>
      </c>
      <c r="J535" s="190" t="s">
        <v>441</v>
      </c>
      <c r="K535" s="190" t="s">
        <v>88</v>
      </c>
      <c r="L535" s="190"/>
    </row>
    <row r="536" customHeight="1" spans="1:12">
      <c r="A536" s="190" t="s">
        <v>93</v>
      </c>
      <c r="B536" s="76" t="s">
        <v>1566</v>
      </c>
      <c r="C536" s="76" t="s">
        <v>1000</v>
      </c>
      <c r="D536" s="129">
        <v>7.59</v>
      </c>
      <c r="E536" s="190">
        <v>5670</v>
      </c>
      <c r="F536" s="114">
        <f t="shared" ref="F536:F549" si="108">D536*E536</f>
        <v>43035.3</v>
      </c>
      <c r="G536" s="253">
        <v>43035.3</v>
      </c>
      <c r="H536" s="253">
        <f t="shared" si="107"/>
        <v>0</v>
      </c>
      <c r="I536" s="254">
        <v>46188</v>
      </c>
      <c r="J536" s="190" t="s">
        <v>441</v>
      </c>
      <c r="K536" s="190" t="s">
        <v>88</v>
      </c>
      <c r="L536" s="190"/>
    </row>
    <row r="537" customHeight="1" spans="1:12">
      <c r="A537" s="190" t="s">
        <v>93</v>
      </c>
      <c r="B537" s="76" t="s">
        <v>995</v>
      </c>
      <c r="C537" s="76" t="s">
        <v>996</v>
      </c>
      <c r="D537" s="129">
        <v>13.75</v>
      </c>
      <c r="E537" s="190">
        <v>5740</v>
      </c>
      <c r="F537" s="114">
        <f t="shared" si="108"/>
        <v>78925</v>
      </c>
      <c r="G537" s="253">
        <v>0</v>
      </c>
      <c r="H537" s="253">
        <f t="shared" ref="H537:H553" si="109">F537-G537</f>
        <v>78925</v>
      </c>
      <c r="I537" s="254">
        <v>46218</v>
      </c>
      <c r="J537" s="190"/>
      <c r="K537" s="190" t="s">
        <v>88</v>
      </c>
      <c r="L537" s="190"/>
    </row>
    <row r="538" customHeight="1" spans="1:12">
      <c r="A538" s="190" t="s">
        <v>93</v>
      </c>
      <c r="B538" s="76" t="s">
        <v>995</v>
      </c>
      <c r="C538" s="76" t="s">
        <v>998</v>
      </c>
      <c r="D538" s="129">
        <v>27.5</v>
      </c>
      <c r="E538" s="190">
        <v>5920</v>
      </c>
      <c r="F538" s="114">
        <f t="shared" si="108"/>
        <v>162800</v>
      </c>
      <c r="G538" s="253">
        <v>0</v>
      </c>
      <c r="H538" s="253">
        <f t="shared" si="109"/>
        <v>162800</v>
      </c>
      <c r="I538" s="254">
        <v>46218</v>
      </c>
      <c r="J538" s="190"/>
      <c r="K538" s="190" t="s">
        <v>88</v>
      </c>
      <c r="L538" s="190"/>
    </row>
    <row r="539" customHeight="1" spans="1:12">
      <c r="A539" s="190" t="s">
        <v>93</v>
      </c>
      <c r="B539" s="76" t="s">
        <v>995</v>
      </c>
      <c r="C539" s="76" t="s">
        <v>999</v>
      </c>
      <c r="D539" s="129">
        <v>27.5</v>
      </c>
      <c r="E539" s="190">
        <v>5740</v>
      </c>
      <c r="F539" s="114">
        <f t="shared" si="108"/>
        <v>157850</v>
      </c>
      <c r="G539" s="253">
        <v>0</v>
      </c>
      <c r="H539" s="253">
        <f t="shared" si="109"/>
        <v>157850</v>
      </c>
      <c r="I539" s="254">
        <v>46218</v>
      </c>
      <c r="J539" s="190"/>
      <c r="K539" s="190" t="s">
        <v>88</v>
      </c>
      <c r="L539" s="190"/>
    </row>
    <row r="540" customHeight="1" spans="1:12">
      <c r="A540" s="190" t="s">
        <v>93</v>
      </c>
      <c r="B540" s="76" t="s">
        <v>1567</v>
      </c>
      <c r="C540" s="76" t="s">
        <v>1001</v>
      </c>
      <c r="D540" s="129">
        <v>43.962</v>
      </c>
      <c r="E540" s="190">
        <v>5670</v>
      </c>
      <c r="F540" s="114">
        <f t="shared" si="108"/>
        <v>249264.54</v>
      </c>
      <c r="G540" s="253">
        <v>249264.54</v>
      </c>
      <c r="H540" s="253">
        <f t="shared" si="109"/>
        <v>0</v>
      </c>
      <c r="I540" s="254">
        <v>46218</v>
      </c>
      <c r="J540" s="190" t="s">
        <v>441</v>
      </c>
      <c r="K540" s="190" t="s">
        <v>88</v>
      </c>
      <c r="L540" s="190"/>
    </row>
    <row r="541" customHeight="1" spans="1:12">
      <c r="A541" s="190" t="s">
        <v>93</v>
      </c>
      <c r="B541" s="76" t="s">
        <v>995</v>
      </c>
      <c r="C541" s="76" t="s">
        <v>999</v>
      </c>
      <c r="D541" s="129">
        <v>27.5</v>
      </c>
      <c r="E541" s="190">
        <v>5740</v>
      </c>
      <c r="F541" s="114">
        <f t="shared" si="108"/>
        <v>157850</v>
      </c>
      <c r="G541" s="253">
        <v>0</v>
      </c>
      <c r="H541" s="253">
        <f t="shared" si="109"/>
        <v>157850</v>
      </c>
      <c r="I541" s="254">
        <v>46249</v>
      </c>
      <c r="J541" s="190"/>
      <c r="K541" s="190" t="s">
        <v>88</v>
      </c>
      <c r="L541" s="190"/>
    </row>
    <row r="542" customHeight="1" spans="1:12">
      <c r="A542" s="190" t="s">
        <v>93</v>
      </c>
      <c r="B542" s="76" t="s">
        <v>995</v>
      </c>
      <c r="C542" s="76" t="s">
        <v>999</v>
      </c>
      <c r="D542" s="129">
        <v>27.5</v>
      </c>
      <c r="E542" s="190">
        <v>5740</v>
      </c>
      <c r="F542" s="114">
        <f t="shared" si="108"/>
        <v>157850</v>
      </c>
      <c r="G542" s="253">
        <v>0</v>
      </c>
      <c r="H542" s="253">
        <f t="shared" si="109"/>
        <v>157850</v>
      </c>
      <c r="I542" s="254">
        <v>46280</v>
      </c>
      <c r="J542" s="190"/>
      <c r="K542" s="190" t="s">
        <v>88</v>
      </c>
      <c r="L542" s="190"/>
    </row>
    <row r="543" customHeight="1" spans="1:12">
      <c r="A543" s="190" t="s">
        <v>93</v>
      </c>
      <c r="B543" s="76" t="s">
        <v>1568</v>
      </c>
      <c r="C543" s="76" t="s">
        <v>699</v>
      </c>
      <c r="D543" s="190">
        <f>29.186-D544</f>
        <v>27.198</v>
      </c>
      <c r="E543" s="190">
        <v>5440</v>
      </c>
      <c r="F543" s="114">
        <f t="shared" si="108"/>
        <v>147957.12</v>
      </c>
      <c r="G543" s="253">
        <f>13600+134357.12</f>
        <v>147957.12</v>
      </c>
      <c r="H543" s="253">
        <f t="shared" si="109"/>
        <v>0</v>
      </c>
      <c r="I543" s="254">
        <v>46142</v>
      </c>
      <c r="J543" s="190" t="s">
        <v>441</v>
      </c>
      <c r="K543" s="190" t="s">
        <v>66</v>
      </c>
      <c r="L543" s="190"/>
    </row>
    <row r="544" customHeight="1" spans="1:12">
      <c r="A544" s="190" t="s">
        <v>93</v>
      </c>
      <c r="B544" s="76" t="s">
        <v>1003</v>
      </c>
      <c r="C544" s="76" t="s">
        <v>699</v>
      </c>
      <c r="D544" s="190">
        <v>1.988</v>
      </c>
      <c r="E544" s="190">
        <v>5440</v>
      </c>
      <c r="F544" s="114">
        <f t="shared" si="108"/>
        <v>10814.72</v>
      </c>
      <c r="G544" s="253">
        <v>0</v>
      </c>
      <c r="H544" s="253">
        <f t="shared" si="109"/>
        <v>10814.72</v>
      </c>
      <c r="I544" s="254">
        <v>46204</v>
      </c>
      <c r="J544" s="190" t="s">
        <v>1563</v>
      </c>
      <c r="K544" s="190" t="s">
        <v>66</v>
      </c>
      <c r="L544" s="190"/>
    </row>
    <row r="545" customHeight="1" spans="1:12">
      <c r="A545" s="190" t="s">
        <v>93</v>
      </c>
      <c r="B545" s="76" t="s">
        <v>1569</v>
      </c>
      <c r="C545" s="76" t="s">
        <v>652</v>
      </c>
      <c r="D545" s="190">
        <v>211.536</v>
      </c>
      <c r="E545" s="190">
        <v>6250</v>
      </c>
      <c r="F545" s="114">
        <f t="shared" si="108"/>
        <v>1322100</v>
      </c>
      <c r="G545" s="253">
        <f>874979.22+337518.702+21506.25+13+88082.83</f>
        <v>1322100.002</v>
      </c>
      <c r="H545" s="253">
        <f t="shared" si="109"/>
        <v>-0.0020000000949949</v>
      </c>
      <c r="I545" s="254">
        <v>46174</v>
      </c>
      <c r="J545" s="190" t="s">
        <v>441</v>
      </c>
      <c r="K545" s="190" t="s">
        <v>66</v>
      </c>
      <c r="L545" s="190"/>
    </row>
    <row r="546" customHeight="1" spans="1:12">
      <c r="A546" s="190" t="s">
        <v>93</v>
      </c>
      <c r="B546" s="76" t="s">
        <v>1007</v>
      </c>
      <c r="C546" s="76" t="s">
        <v>652</v>
      </c>
      <c r="D546" s="190">
        <v>9.01</v>
      </c>
      <c r="E546" s="190">
        <v>6250</v>
      </c>
      <c r="F546" s="114">
        <f t="shared" si="108"/>
        <v>56312.5</v>
      </c>
      <c r="G546" s="253">
        <v>0</v>
      </c>
      <c r="H546" s="253">
        <f t="shared" si="109"/>
        <v>56312.5</v>
      </c>
      <c r="I546" s="254">
        <v>46174</v>
      </c>
      <c r="J546" s="190" t="s">
        <v>1563</v>
      </c>
      <c r="K546" s="190" t="s">
        <v>66</v>
      </c>
      <c r="L546" s="190"/>
    </row>
    <row r="547" customHeight="1" spans="1:12">
      <c r="A547" s="190" t="s">
        <v>93</v>
      </c>
      <c r="B547" s="76" t="s">
        <v>1007</v>
      </c>
      <c r="C547" s="76" t="s">
        <v>654</v>
      </c>
      <c r="D547" s="190">
        <f>84.225-D548</f>
        <v>3.44099999999999</v>
      </c>
      <c r="E547" s="190">
        <v>6250</v>
      </c>
      <c r="F547" s="114">
        <f t="shared" si="108"/>
        <v>21506.2499999999</v>
      </c>
      <c r="G547" s="253">
        <v>0</v>
      </c>
      <c r="H547" s="253">
        <f t="shared" si="109"/>
        <v>21506.2499999999</v>
      </c>
      <c r="I547" s="254">
        <v>46133</v>
      </c>
      <c r="J547" s="190" t="s">
        <v>1563</v>
      </c>
      <c r="K547" s="190" t="s">
        <v>66</v>
      </c>
      <c r="L547" s="190"/>
    </row>
    <row r="548" customHeight="1" spans="1:12">
      <c r="A548" s="190" t="s">
        <v>93</v>
      </c>
      <c r="B548" s="76" t="s">
        <v>1570</v>
      </c>
      <c r="C548" s="76" t="s">
        <v>654</v>
      </c>
      <c r="D548" s="190">
        <v>80.784</v>
      </c>
      <c r="E548" s="190">
        <v>6250</v>
      </c>
      <c r="F548" s="114">
        <f t="shared" si="108"/>
        <v>504900</v>
      </c>
      <c r="G548" s="253">
        <f>504900</f>
        <v>504900</v>
      </c>
      <c r="H548" s="253">
        <f t="shared" si="109"/>
        <v>0</v>
      </c>
      <c r="I548" s="254">
        <v>46133</v>
      </c>
      <c r="J548" s="190" t="s">
        <v>441</v>
      </c>
      <c r="K548" s="190" t="s">
        <v>66</v>
      </c>
      <c r="L548" s="190"/>
    </row>
    <row r="549" customHeight="1" spans="1:12">
      <c r="A549" s="293" t="s">
        <v>93</v>
      </c>
      <c r="B549" s="293" t="s">
        <v>1010</v>
      </c>
      <c r="C549" s="224" t="s">
        <v>935</v>
      </c>
      <c r="D549" s="224">
        <v>2320000</v>
      </c>
      <c r="E549" s="190">
        <v>0.2329</v>
      </c>
      <c r="F549" s="114">
        <f t="shared" ref="F549:F578" si="110">D549*E549</f>
        <v>540328</v>
      </c>
      <c r="G549" s="253">
        <v>540328</v>
      </c>
      <c r="H549" s="253">
        <f t="shared" si="109"/>
        <v>0</v>
      </c>
      <c r="I549" s="254">
        <v>46112</v>
      </c>
      <c r="J549" s="190"/>
      <c r="K549" s="190" t="s">
        <v>88</v>
      </c>
      <c r="L549" s="190"/>
    </row>
    <row r="550" customHeight="1" spans="1:12">
      <c r="A550" s="190" t="s">
        <v>93</v>
      </c>
      <c r="B550" s="190" t="s">
        <v>723</v>
      </c>
      <c r="C550" s="190" t="s">
        <v>1016</v>
      </c>
      <c r="D550" s="190">
        <v>6.16</v>
      </c>
      <c r="E550" s="190">
        <v>6150</v>
      </c>
      <c r="F550" s="114">
        <f t="shared" si="110"/>
        <v>37884</v>
      </c>
      <c r="G550" s="253">
        <v>37884</v>
      </c>
      <c r="H550" s="253">
        <f t="shared" si="109"/>
        <v>0</v>
      </c>
      <c r="I550" s="254">
        <v>46142</v>
      </c>
      <c r="J550" s="190" t="s">
        <v>441</v>
      </c>
      <c r="K550" s="190" t="s">
        <v>88</v>
      </c>
      <c r="L550" s="190"/>
    </row>
    <row r="551" customHeight="1" spans="1:12">
      <c r="A551" s="190" t="s">
        <v>93</v>
      </c>
      <c r="B551" s="190" t="s">
        <v>723</v>
      </c>
      <c r="C551" s="190" t="s">
        <v>1018</v>
      </c>
      <c r="D551" s="190">
        <v>7.75</v>
      </c>
      <c r="E551" s="190">
        <v>6150</v>
      </c>
      <c r="F551" s="114">
        <f t="shared" si="110"/>
        <v>47662.5</v>
      </c>
      <c r="G551" s="253">
        <v>47662.5</v>
      </c>
      <c r="H551" s="253">
        <f t="shared" si="109"/>
        <v>0</v>
      </c>
      <c r="I551" s="254">
        <v>46142</v>
      </c>
      <c r="J551" s="190" t="s">
        <v>441</v>
      </c>
      <c r="K551" s="190" t="s">
        <v>88</v>
      </c>
      <c r="L551" s="190"/>
    </row>
    <row r="552" customHeight="1" spans="1:12">
      <c r="A552" s="190" t="s">
        <v>93</v>
      </c>
      <c r="B552" s="190" t="s">
        <v>723</v>
      </c>
      <c r="C552" s="190" t="s">
        <v>1020</v>
      </c>
      <c r="D552" s="190">
        <v>3.03</v>
      </c>
      <c r="E552" s="190">
        <v>5950</v>
      </c>
      <c r="F552" s="114">
        <f t="shared" si="110"/>
        <v>18028.5</v>
      </c>
      <c r="G552" s="253">
        <v>18028.5</v>
      </c>
      <c r="H552" s="253">
        <f t="shared" si="109"/>
        <v>0</v>
      </c>
      <c r="I552" s="254">
        <v>46142</v>
      </c>
      <c r="J552" s="190" t="s">
        <v>441</v>
      </c>
      <c r="K552" s="190" t="s">
        <v>88</v>
      </c>
      <c r="L552" s="190"/>
    </row>
    <row r="553" customHeight="1" spans="1:12">
      <c r="A553" s="190" t="s">
        <v>93</v>
      </c>
      <c r="B553" s="190" t="s">
        <v>723</v>
      </c>
      <c r="C553" s="190" t="s">
        <v>1021</v>
      </c>
      <c r="D553" s="190">
        <v>7.521</v>
      </c>
      <c r="E553" s="190">
        <v>5950</v>
      </c>
      <c r="F553" s="114">
        <f t="shared" si="110"/>
        <v>44749.95</v>
      </c>
      <c r="G553" s="253">
        <v>44749.95</v>
      </c>
      <c r="H553" s="253">
        <f t="shared" si="109"/>
        <v>0</v>
      </c>
      <c r="I553" s="254">
        <v>46142</v>
      </c>
      <c r="J553" s="190" t="s">
        <v>441</v>
      </c>
      <c r="K553" s="190" t="s">
        <v>88</v>
      </c>
      <c r="L553" s="190"/>
    </row>
    <row r="554" customHeight="1" spans="1:12">
      <c r="A554" s="190" t="s">
        <v>93</v>
      </c>
      <c r="B554" s="190" t="s">
        <v>723</v>
      </c>
      <c r="C554" s="190" t="s">
        <v>1022</v>
      </c>
      <c r="D554" s="190">
        <v>9.324</v>
      </c>
      <c r="E554" s="190">
        <v>5950</v>
      </c>
      <c r="F554" s="114">
        <f t="shared" si="110"/>
        <v>55477.8</v>
      </c>
      <c r="G554" s="253">
        <v>55477.8</v>
      </c>
      <c r="H554" s="253">
        <f t="shared" ref="H554:H578" si="111">F554-G554</f>
        <v>0</v>
      </c>
      <c r="I554" s="254">
        <v>46142</v>
      </c>
      <c r="J554" s="190" t="s">
        <v>441</v>
      </c>
      <c r="K554" s="190" t="s">
        <v>88</v>
      </c>
      <c r="L554" s="190"/>
    </row>
    <row r="555" customHeight="1" spans="1:12">
      <c r="A555" s="190" t="s">
        <v>93</v>
      </c>
      <c r="B555" s="190" t="s">
        <v>723</v>
      </c>
      <c r="C555" s="190" t="s">
        <v>1023</v>
      </c>
      <c r="D555" s="190">
        <v>7.295</v>
      </c>
      <c r="E555" s="190">
        <v>5900</v>
      </c>
      <c r="F555" s="114">
        <f t="shared" si="110"/>
        <v>43040.5</v>
      </c>
      <c r="G555" s="253">
        <f>13447.25+29593.25</f>
        <v>43040.5</v>
      </c>
      <c r="H555" s="253">
        <f t="shared" si="111"/>
        <v>0</v>
      </c>
      <c r="I555" s="254">
        <v>46142</v>
      </c>
      <c r="J555" s="190" t="s">
        <v>441</v>
      </c>
      <c r="K555" s="190" t="s">
        <v>88</v>
      </c>
      <c r="L555" s="190"/>
    </row>
    <row r="556" customHeight="1" spans="1:12">
      <c r="A556" s="190" t="s">
        <v>93</v>
      </c>
      <c r="B556" s="190" t="s">
        <v>723</v>
      </c>
      <c r="C556" s="190" t="s">
        <v>1024</v>
      </c>
      <c r="D556" s="190">
        <v>3.074</v>
      </c>
      <c r="E556" s="190">
        <v>5850</v>
      </c>
      <c r="F556" s="114">
        <f t="shared" si="110"/>
        <v>17982.9</v>
      </c>
      <c r="G556" s="253">
        <v>17982.9</v>
      </c>
      <c r="H556" s="253">
        <f t="shared" si="111"/>
        <v>0</v>
      </c>
      <c r="I556" s="254">
        <v>46142</v>
      </c>
      <c r="J556" s="190" t="s">
        <v>441</v>
      </c>
      <c r="K556" s="190" t="s">
        <v>88</v>
      </c>
      <c r="L556" s="190"/>
    </row>
    <row r="557" customHeight="1" spans="1:12">
      <c r="A557" s="190" t="s">
        <v>93</v>
      </c>
      <c r="B557" s="190" t="s">
        <v>723</v>
      </c>
      <c r="C557" s="190" t="s">
        <v>1025</v>
      </c>
      <c r="D557" s="190">
        <v>4.935</v>
      </c>
      <c r="E557" s="190">
        <v>5880</v>
      </c>
      <c r="F557" s="114">
        <f t="shared" si="110"/>
        <v>29017.8</v>
      </c>
      <c r="G557" s="253">
        <v>29017.8</v>
      </c>
      <c r="H557" s="253">
        <f t="shared" si="111"/>
        <v>0</v>
      </c>
      <c r="I557" s="254">
        <v>46142</v>
      </c>
      <c r="J557" s="190" t="s">
        <v>441</v>
      </c>
      <c r="K557" s="190" t="s">
        <v>88</v>
      </c>
      <c r="L557" s="190"/>
    </row>
    <row r="558" customHeight="1" spans="1:12">
      <c r="A558" s="190" t="s">
        <v>93</v>
      </c>
      <c r="B558" s="190" t="s">
        <v>723</v>
      </c>
      <c r="C558" s="190" t="s">
        <v>1026</v>
      </c>
      <c r="D558" s="190">
        <v>5.26</v>
      </c>
      <c r="E558" s="190">
        <v>5880</v>
      </c>
      <c r="F558" s="114">
        <f t="shared" si="110"/>
        <v>30928.8</v>
      </c>
      <c r="G558" s="253">
        <v>30928.8</v>
      </c>
      <c r="H558" s="253">
        <f t="shared" si="111"/>
        <v>0</v>
      </c>
      <c r="I558" s="254">
        <v>46142</v>
      </c>
      <c r="J558" s="190" t="s">
        <v>441</v>
      </c>
      <c r="K558" s="190" t="s">
        <v>88</v>
      </c>
      <c r="L558" s="190"/>
    </row>
    <row r="559" customHeight="1" spans="1:12">
      <c r="A559" s="190" t="s">
        <v>93</v>
      </c>
      <c r="B559" s="190" t="s">
        <v>1571</v>
      </c>
      <c r="C559" s="190" t="s">
        <v>1016</v>
      </c>
      <c r="D559" s="190">
        <v>4.62</v>
      </c>
      <c r="E559" s="190">
        <v>6150</v>
      </c>
      <c r="F559" s="114">
        <f t="shared" si="110"/>
        <v>28413</v>
      </c>
      <c r="G559" s="253">
        <f>18450+897.899999999998+9065.1</f>
        <v>28413</v>
      </c>
      <c r="H559" s="253">
        <f t="shared" si="111"/>
        <v>0</v>
      </c>
      <c r="I559" s="254">
        <v>46172</v>
      </c>
      <c r="J559" s="190" t="s">
        <v>441</v>
      </c>
      <c r="K559" s="190" t="s">
        <v>88</v>
      </c>
      <c r="L559" s="190"/>
    </row>
    <row r="560" customHeight="1" spans="1:12">
      <c r="A560" s="190" t="s">
        <v>93</v>
      </c>
      <c r="B560" s="190" t="s">
        <v>1571</v>
      </c>
      <c r="C560" s="190" t="s">
        <v>1018</v>
      </c>
      <c r="D560" s="190">
        <v>3.854</v>
      </c>
      <c r="E560" s="190">
        <v>6150</v>
      </c>
      <c r="F560" s="114">
        <f t="shared" si="110"/>
        <v>23702.1</v>
      </c>
      <c r="G560" s="253">
        <f>24600-897.899999999998</f>
        <v>23702.1</v>
      </c>
      <c r="H560" s="253">
        <f t="shared" si="111"/>
        <v>0</v>
      </c>
      <c r="I560" s="254">
        <v>46172</v>
      </c>
      <c r="J560" s="190" t="s">
        <v>441</v>
      </c>
      <c r="K560" s="190" t="s">
        <v>88</v>
      </c>
      <c r="L560" s="190"/>
    </row>
    <row r="561" customHeight="1" spans="1:12">
      <c r="A561" s="190" t="s">
        <v>93</v>
      </c>
      <c r="B561" s="190" t="s">
        <v>1571</v>
      </c>
      <c r="C561" s="190" t="s">
        <v>1020</v>
      </c>
      <c r="D561" s="190">
        <v>3.06</v>
      </c>
      <c r="E561" s="190">
        <v>5950</v>
      </c>
      <c r="F561" s="114">
        <f t="shared" si="110"/>
        <v>18207</v>
      </c>
      <c r="G561" s="253">
        <f>17850+357</f>
        <v>18207</v>
      </c>
      <c r="H561" s="253">
        <f t="shared" si="111"/>
        <v>0</v>
      </c>
      <c r="I561" s="254">
        <v>46172</v>
      </c>
      <c r="J561" s="190" t="s">
        <v>441</v>
      </c>
      <c r="K561" s="190" t="s">
        <v>88</v>
      </c>
      <c r="L561" s="190"/>
    </row>
    <row r="562" customHeight="1" spans="1:12">
      <c r="A562" s="190" t="s">
        <v>93</v>
      </c>
      <c r="B562" s="190" t="s">
        <v>1015</v>
      </c>
      <c r="C562" s="190" t="s">
        <v>1021</v>
      </c>
      <c r="D562" s="190">
        <v>5</v>
      </c>
      <c r="E562" s="190">
        <v>5950</v>
      </c>
      <c r="F562" s="114">
        <f t="shared" si="110"/>
        <v>29750</v>
      </c>
      <c r="G562" s="253">
        <v>0</v>
      </c>
      <c r="H562" s="253">
        <f t="shared" si="111"/>
        <v>29750</v>
      </c>
      <c r="I562" s="254">
        <v>46172</v>
      </c>
      <c r="J562" s="190"/>
      <c r="K562" s="190" t="s">
        <v>88</v>
      </c>
      <c r="L562" s="190"/>
    </row>
    <row r="563" customHeight="1" spans="1:12">
      <c r="A563" s="190" t="s">
        <v>93</v>
      </c>
      <c r="B563" s="190" t="s">
        <v>1571</v>
      </c>
      <c r="C563" s="190" t="s">
        <v>1022</v>
      </c>
      <c r="D563" s="190">
        <v>4.441</v>
      </c>
      <c r="E563" s="190">
        <v>5950</v>
      </c>
      <c r="F563" s="114">
        <f t="shared" si="110"/>
        <v>26423.95</v>
      </c>
      <c r="G563" s="253">
        <f>35700-9276.05</f>
        <v>26423.95</v>
      </c>
      <c r="H563" s="253">
        <f t="shared" si="111"/>
        <v>0</v>
      </c>
      <c r="I563" s="254">
        <v>46172</v>
      </c>
      <c r="J563" s="190" t="s">
        <v>441</v>
      </c>
      <c r="K563" s="190" t="s">
        <v>88</v>
      </c>
      <c r="L563" s="190"/>
    </row>
    <row r="564" customHeight="1" spans="1:12">
      <c r="A564" s="190" t="s">
        <v>93</v>
      </c>
      <c r="B564" s="190" t="s">
        <v>1571</v>
      </c>
      <c r="C564" s="190" t="s">
        <v>1023</v>
      </c>
      <c r="D564" s="190">
        <v>4.377</v>
      </c>
      <c r="E564" s="190">
        <v>5900</v>
      </c>
      <c r="F564" s="114">
        <f t="shared" si="110"/>
        <v>25824.3</v>
      </c>
      <c r="G564" s="253">
        <f>35400-9575.7</f>
        <v>25824.3</v>
      </c>
      <c r="H564" s="253">
        <f t="shared" si="111"/>
        <v>0</v>
      </c>
      <c r="I564" s="254">
        <v>46172</v>
      </c>
      <c r="J564" s="190" t="s">
        <v>441</v>
      </c>
      <c r="K564" s="190" t="s">
        <v>88</v>
      </c>
      <c r="L564" s="190"/>
    </row>
    <row r="565" customHeight="1" spans="1:12">
      <c r="A565" s="190" t="s">
        <v>93</v>
      </c>
      <c r="B565" s="190" t="s">
        <v>1571</v>
      </c>
      <c r="C565" s="190" t="s">
        <v>1024</v>
      </c>
      <c r="D565" s="190">
        <v>7.685</v>
      </c>
      <c r="E565" s="190">
        <v>5850</v>
      </c>
      <c r="F565" s="114">
        <f t="shared" si="110"/>
        <v>44957.25</v>
      </c>
      <c r="G565" s="253">
        <f>165191.4-161750+8258.60000000001+9276.05+9575.7+188.9+14216.6</f>
        <v>44957.25</v>
      </c>
      <c r="H565" s="253">
        <f t="shared" si="111"/>
        <v>0</v>
      </c>
      <c r="I565" s="254">
        <v>46172</v>
      </c>
      <c r="J565" s="190" t="s">
        <v>441</v>
      </c>
      <c r="K565" s="190" t="s">
        <v>88</v>
      </c>
      <c r="L565" s="190"/>
    </row>
    <row r="566" customHeight="1" spans="1:12">
      <c r="A566" s="190" t="s">
        <v>93</v>
      </c>
      <c r="B566" s="190" t="s">
        <v>1571</v>
      </c>
      <c r="C566" s="190" t="s">
        <v>1025</v>
      </c>
      <c r="D566" s="190">
        <v>5.11</v>
      </c>
      <c r="E566" s="190">
        <v>5880</v>
      </c>
      <c r="F566" s="114">
        <f t="shared" si="110"/>
        <v>30046.8</v>
      </c>
      <c r="G566" s="253">
        <f>17640+12406.8</f>
        <v>30046.8</v>
      </c>
      <c r="H566" s="253">
        <f t="shared" si="111"/>
        <v>0</v>
      </c>
      <c r="I566" s="254">
        <v>46172</v>
      </c>
      <c r="J566" s="190" t="s">
        <v>441</v>
      </c>
      <c r="K566" s="190" t="s">
        <v>88</v>
      </c>
      <c r="L566" s="190"/>
    </row>
    <row r="567" customHeight="1" spans="1:12">
      <c r="A567" s="190" t="s">
        <v>93</v>
      </c>
      <c r="B567" s="190" t="s">
        <v>1571</v>
      </c>
      <c r="C567" s="190" t="s">
        <v>1026</v>
      </c>
      <c r="D567" s="190">
        <v>5.315</v>
      </c>
      <c r="E567" s="190">
        <v>5880</v>
      </c>
      <c r="F567" s="114">
        <f t="shared" si="110"/>
        <v>31252.2</v>
      </c>
      <c r="G567" s="253">
        <f>23520+7732.2</f>
        <v>31252.2</v>
      </c>
      <c r="H567" s="253">
        <f t="shared" si="111"/>
        <v>0</v>
      </c>
      <c r="I567" s="254">
        <v>46172</v>
      </c>
      <c r="J567" s="190" t="s">
        <v>441</v>
      </c>
      <c r="K567" s="190" t="s">
        <v>88</v>
      </c>
      <c r="L567" s="190"/>
    </row>
    <row r="568" customHeight="1" spans="1:12">
      <c r="A568" s="190" t="s">
        <v>93</v>
      </c>
      <c r="B568" s="190" t="s">
        <v>1015</v>
      </c>
      <c r="C568" s="190" t="s">
        <v>1016</v>
      </c>
      <c r="D568" s="190">
        <v>1.54</v>
      </c>
      <c r="E568" s="190">
        <v>6150</v>
      </c>
      <c r="F568" s="114">
        <f t="shared" si="110"/>
        <v>9471</v>
      </c>
      <c r="G568" s="253">
        <v>0</v>
      </c>
      <c r="H568" s="253">
        <f t="shared" si="111"/>
        <v>9471</v>
      </c>
      <c r="I568" s="254">
        <v>46203</v>
      </c>
      <c r="J568" s="190" t="s">
        <v>1563</v>
      </c>
      <c r="K568" s="190" t="s">
        <v>88</v>
      </c>
      <c r="L568" s="190"/>
    </row>
    <row r="569" customHeight="1" spans="1:12">
      <c r="A569" s="190" t="s">
        <v>93</v>
      </c>
      <c r="B569" s="190" t="s">
        <v>1572</v>
      </c>
      <c r="C569" s="190" t="s">
        <v>1016</v>
      </c>
      <c r="D569" s="190">
        <v>1.54</v>
      </c>
      <c r="E569" s="190">
        <v>6150</v>
      </c>
      <c r="F569" s="114">
        <f t="shared" si="110"/>
        <v>9471</v>
      </c>
      <c r="G569" s="253">
        <v>9471</v>
      </c>
      <c r="H569" s="253">
        <f t="shared" si="111"/>
        <v>0</v>
      </c>
      <c r="I569" s="254">
        <v>46203</v>
      </c>
      <c r="J569" s="190" t="s">
        <v>441</v>
      </c>
      <c r="K569" s="190" t="s">
        <v>88</v>
      </c>
      <c r="L569" s="190"/>
    </row>
    <row r="570" customHeight="1" spans="1:12">
      <c r="A570" s="190" t="s">
        <v>93</v>
      </c>
      <c r="B570" s="190" t="s">
        <v>1015</v>
      </c>
      <c r="C570" s="190" t="s">
        <v>1018</v>
      </c>
      <c r="D570" s="190">
        <v>3.1</v>
      </c>
      <c r="E570" s="190">
        <v>6150</v>
      </c>
      <c r="F570" s="114">
        <f t="shared" si="110"/>
        <v>19065</v>
      </c>
      <c r="G570" s="253">
        <v>0</v>
      </c>
      <c r="H570" s="253">
        <f t="shared" si="111"/>
        <v>19065</v>
      </c>
      <c r="I570" s="254">
        <v>46203</v>
      </c>
      <c r="J570" s="190" t="s">
        <v>1563</v>
      </c>
      <c r="K570" s="190" t="s">
        <v>88</v>
      </c>
      <c r="L570" s="190"/>
    </row>
    <row r="571" customHeight="1" spans="1:12">
      <c r="A571" s="190" t="s">
        <v>93</v>
      </c>
      <c r="B571" s="190" t="s">
        <v>1015</v>
      </c>
      <c r="C571" s="190" t="s">
        <v>1020</v>
      </c>
      <c r="D571" s="190">
        <v>1</v>
      </c>
      <c r="E571" s="190">
        <v>5950</v>
      </c>
      <c r="F571" s="114">
        <f t="shared" si="110"/>
        <v>5950</v>
      </c>
      <c r="G571" s="253">
        <v>0</v>
      </c>
      <c r="H571" s="253">
        <f t="shared" si="111"/>
        <v>5950</v>
      </c>
      <c r="I571" s="254">
        <v>46203</v>
      </c>
      <c r="J571" s="190"/>
      <c r="K571" s="190" t="s">
        <v>88</v>
      </c>
      <c r="L571" s="190"/>
    </row>
    <row r="572" customHeight="1" spans="1:12">
      <c r="A572" s="190" t="s">
        <v>93</v>
      </c>
      <c r="B572" s="190" t="s">
        <v>1015</v>
      </c>
      <c r="C572" s="190" t="s">
        <v>1021</v>
      </c>
      <c r="D572" s="190">
        <v>7</v>
      </c>
      <c r="E572" s="190">
        <v>5950</v>
      </c>
      <c r="F572" s="114">
        <f t="shared" si="110"/>
        <v>41650</v>
      </c>
      <c r="G572" s="253">
        <v>0</v>
      </c>
      <c r="H572" s="253">
        <f t="shared" si="111"/>
        <v>41650</v>
      </c>
      <c r="I572" s="254">
        <v>46203</v>
      </c>
      <c r="J572" s="190"/>
      <c r="K572" s="190" t="s">
        <v>88</v>
      </c>
      <c r="L572" s="190"/>
    </row>
    <row r="573" customHeight="1" spans="1:12">
      <c r="A573" s="190" t="s">
        <v>93</v>
      </c>
      <c r="B573" s="190" t="s">
        <v>1015</v>
      </c>
      <c r="C573" s="190" t="s">
        <v>1022</v>
      </c>
      <c r="D573" s="190">
        <v>1.554</v>
      </c>
      <c r="E573" s="190">
        <v>5950</v>
      </c>
      <c r="F573" s="114">
        <f t="shared" si="110"/>
        <v>9246.3</v>
      </c>
      <c r="G573" s="253">
        <v>0</v>
      </c>
      <c r="H573" s="253">
        <f t="shared" si="111"/>
        <v>9246.3</v>
      </c>
      <c r="I573" s="254">
        <v>46203</v>
      </c>
      <c r="J573" s="190" t="s">
        <v>1563</v>
      </c>
      <c r="K573" s="190" t="s">
        <v>88</v>
      </c>
      <c r="L573" s="190"/>
    </row>
    <row r="574" customHeight="1" spans="1:12">
      <c r="A574" s="190" t="s">
        <v>93</v>
      </c>
      <c r="B574" s="190" t="s">
        <v>1572</v>
      </c>
      <c r="C574" s="190" t="s">
        <v>1023</v>
      </c>
      <c r="D574" s="190">
        <v>4.614</v>
      </c>
      <c r="E574" s="190">
        <v>5900</v>
      </c>
      <c r="F574" s="114">
        <f t="shared" si="110"/>
        <v>27222.6</v>
      </c>
      <c r="G574" s="253">
        <v>27222.6</v>
      </c>
      <c r="H574" s="253">
        <f t="shared" si="111"/>
        <v>0</v>
      </c>
      <c r="I574" s="254">
        <v>46203</v>
      </c>
      <c r="J574" s="190" t="s">
        <v>441</v>
      </c>
      <c r="K574" s="190" t="s">
        <v>88</v>
      </c>
      <c r="L574" s="190"/>
    </row>
    <row r="575" customHeight="1" spans="1:12">
      <c r="A575" s="190" t="s">
        <v>93</v>
      </c>
      <c r="B575" s="190" t="s">
        <v>1572</v>
      </c>
      <c r="C575" s="190" t="s">
        <v>1024</v>
      </c>
      <c r="D575" s="190">
        <v>4.221</v>
      </c>
      <c r="E575" s="190">
        <v>5850</v>
      </c>
      <c r="F575" s="114">
        <f t="shared" si="110"/>
        <v>24692.85</v>
      </c>
      <c r="G575" s="253">
        <v>24692.85</v>
      </c>
      <c r="H575" s="253">
        <f t="shared" si="111"/>
        <v>0</v>
      </c>
      <c r="I575" s="254">
        <v>46203</v>
      </c>
      <c r="J575" s="190" t="s">
        <v>441</v>
      </c>
      <c r="K575" s="190" t="s">
        <v>88</v>
      </c>
      <c r="L575" s="190"/>
    </row>
    <row r="576" customHeight="1" spans="1:12">
      <c r="A576" s="190" t="s">
        <v>93</v>
      </c>
      <c r="B576" s="190" t="s">
        <v>1572</v>
      </c>
      <c r="C576" s="190" t="s">
        <v>1025</v>
      </c>
      <c r="D576" s="190">
        <v>5.14</v>
      </c>
      <c r="E576" s="190">
        <v>5880</v>
      </c>
      <c r="F576" s="114">
        <f t="shared" si="110"/>
        <v>30223.2</v>
      </c>
      <c r="G576" s="253">
        <v>30223.2</v>
      </c>
      <c r="H576" s="253">
        <f t="shared" si="111"/>
        <v>0</v>
      </c>
      <c r="I576" s="254">
        <v>46203</v>
      </c>
      <c r="J576" s="190" t="s">
        <v>441</v>
      </c>
      <c r="K576" s="190" t="s">
        <v>88</v>
      </c>
      <c r="L576" s="190"/>
    </row>
    <row r="577" customHeight="1" spans="1:12">
      <c r="A577" s="190" t="s">
        <v>93</v>
      </c>
      <c r="B577" s="190" t="s">
        <v>1572</v>
      </c>
      <c r="C577" s="190" t="s">
        <v>1026</v>
      </c>
      <c r="D577" s="190">
        <v>5.405</v>
      </c>
      <c r="E577" s="190">
        <v>5880</v>
      </c>
      <c r="F577" s="114">
        <f t="shared" si="110"/>
        <v>31781.4</v>
      </c>
      <c r="G577" s="253">
        <v>31781.4</v>
      </c>
      <c r="H577" s="253">
        <f t="shared" si="111"/>
        <v>0</v>
      </c>
      <c r="I577" s="254">
        <v>46203</v>
      </c>
      <c r="J577" s="190" t="s">
        <v>441</v>
      </c>
      <c r="K577" s="190" t="s">
        <v>88</v>
      </c>
      <c r="L577" s="190"/>
    </row>
    <row r="578" customHeight="1" spans="1:12">
      <c r="A578" s="190" t="s">
        <v>93</v>
      </c>
      <c r="B578" s="76" t="s">
        <v>1050</v>
      </c>
      <c r="C578" s="76" t="s">
        <v>369</v>
      </c>
      <c r="D578" s="190">
        <f>110-40.125</f>
        <v>69.875</v>
      </c>
      <c r="E578" s="190">
        <v>6100</v>
      </c>
      <c r="F578" s="114">
        <f t="shared" si="110"/>
        <v>426237.5</v>
      </c>
      <c r="G578" s="253">
        <v>0</v>
      </c>
      <c r="H578" s="253">
        <f t="shared" si="111"/>
        <v>426237.5</v>
      </c>
      <c r="I578" s="254">
        <v>46203</v>
      </c>
      <c r="J578" s="190"/>
      <c r="K578" s="190" t="s">
        <v>88</v>
      </c>
      <c r="L578" s="190"/>
    </row>
    <row r="579" customHeight="1" spans="1:12">
      <c r="A579" s="190" t="s">
        <v>93</v>
      </c>
      <c r="B579" s="76" t="s">
        <v>1573</v>
      </c>
      <c r="C579" s="76" t="s">
        <v>369</v>
      </c>
      <c r="D579" s="190">
        <v>40.125</v>
      </c>
      <c r="E579" s="190">
        <v>6100</v>
      </c>
      <c r="F579" s="114">
        <f t="shared" ref="F579:F583" si="112">D579*E579</f>
        <v>244762.5</v>
      </c>
      <c r="G579" s="253">
        <f>22896.9+221865.6</f>
        <v>244762.5</v>
      </c>
      <c r="H579" s="253">
        <f t="shared" ref="H579:H583" si="113">F579-G579</f>
        <v>0</v>
      </c>
      <c r="I579" s="254">
        <v>46203</v>
      </c>
      <c r="J579" s="190" t="s">
        <v>441</v>
      </c>
      <c r="K579" s="190" t="s">
        <v>88</v>
      </c>
      <c r="L579" s="190"/>
    </row>
    <row r="580" customHeight="1" spans="1:12">
      <c r="A580" s="190" t="s">
        <v>93</v>
      </c>
      <c r="B580" s="76" t="s">
        <v>1574</v>
      </c>
      <c r="C580" s="76" t="s">
        <v>375</v>
      </c>
      <c r="D580" s="190">
        <v>7.646</v>
      </c>
      <c r="E580" s="190">
        <v>6100</v>
      </c>
      <c r="F580" s="114">
        <f t="shared" si="112"/>
        <v>46640.6</v>
      </c>
      <c r="G580" s="253">
        <v>46640.6</v>
      </c>
      <c r="H580" s="253">
        <f t="shared" si="113"/>
        <v>0</v>
      </c>
      <c r="I580" s="254">
        <v>46203</v>
      </c>
      <c r="J580" s="299" t="s">
        <v>441</v>
      </c>
      <c r="K580" s="190" t="s">
        <v>88</v>
      </c>
      <c r="L580" s="190"/>
    </row>
    <row r="581" customHeight="1" spans="1:12">
      <c r="A581" s="190" t="s">
        <v>93</v>
      </c>
      <c r="B581" s="76" t="s">
        <v>1575</v>
      </c>
      <c r="C581" s="76" t="s">
        <v>375</v>
      </c>
      <c r="D581" s="190">
        <v>49.896</v>
      </c>
      <c r="E581" s="190">
        <v>6100</v>
      </c>
      <c r="F581" s="114">
        <f t="shared" si="112"/>
        <v>304365.6</v>
      </c>
      <c r="G581" s="253">
        <f>305000-634.400000000023</f>
        <v>304365.6</v>
      </c>
      <c r="H581" s="253">
        <f t="shared" si="113"/>
        <v>0</v>
      </c>
      <c r="I581" s="254">
        <v>46112</v>
      </c>
      <c r="J581" s="299" t="s">
        <v>441</v>
      </c>
      <c r="K581" s="190" t="s">
        <v>88</v>
      </c>
      <c r="L581" s="190"/>
    </row>
    <row r="582" customHeight="1" spans="1:12">
      <c r="A582" s="300" t="s">
        <v>93</v>
      </c>
      <c r="B582" s="76" t="s">
        <v>1576</v>
      </c>
      <c r="C582" s="76" t="s">
        <v>1396</v>
      </c>
      <c r="D582" s="129">
        <v>37.777</v>
      </c>
      <c r="E582" s="190">
        <v>6580</v>
      </c>
      <c r="F582" s="253">
        <f t="shared" si="112"/>
        <v>248572.66</v>
      </c>
      <c r="G582" s="253">
        <v>248572.66</v>
      </c>
      <c r="H582" s="253">
        <f t="shared" si="113"/>
        <v>0</v>
      </c>
      <c r="I582" s="359">
        <v>46174</v>
      </c>
      <c r="J582" s="402" t="s">
        <v>441</v>
      </c>
      <c r="K582" s="190" t="s">
        <v>88</v>
      </c>
      <c r="L582" s="190"/>
    </row>
    <row r="583" customHeight="1" spans="1:12">
      <c r="A583" s="190" t="s">
        <v>93</v>
      </c>
      <c r="B583" s="76" t="s">
        <v>1573</v>
      </c>
      <c r="C583" s="76" t="s">
        <v>376</v>
      </c>
      <c r="D583" s="129">
        <v>1.461</v>
      </c>
      <c r="E583" s="190">
        <v>6250</v>
      </c>
      <c r="F583" s="114">
        <f t="shared" si="112"/>
        <v>9131.25</v>
      </c>
      <c r="G583" s="253">
        <v>9131.25</v>
      </c>
      <c r="H583" s="253">
        <f t="shared" si="113"/>
        <v>0</v>
      </c>
      <c r="I583" s="254">
        <v>46203</v>
      </c>
      <c r="J583" s="190" t="s">
        <v>441</v>
      </c>
      <c r="K583" s="190" t="s">
        <v>88</v>
      </c>
      <c r="L583" s="190"/>
    </row>
    <row r="584" customHeight="1" spans="1:12">
      <c r="A584" s="190" t="s">
        <v>93</v>
      </c>
      <c r="B584" s="76" t="s">
        <v>1577</v>
      </c>
      <c r="C584" s="76" t="s">
        <v>376</v>
      </c>
      <c r="D584" s="190">
        <v>8.666</v>
      </c>
      <c r="E584" s="190">
        <v>6250</v>
      </c>
      <c r="F584" s="114">
        <f t="shared" ref="F584:F590" si="114">D584*E584</f>
        <v>54162.5</v>
      </c>
      <c r="G584" s="253">
        <v>54162.5</v>
      </c>
      <c r="H584" s="253">
        <f t="shared" ref="H584:H589" si="115">F584-G584</f>
        <v>0</v>
      </c>
      <c r="I584" s="254">
        <v>46188</v>
      </c>
      <c r="J584" s="190" t="s">
        <v>90</v>
      </c>
      <c r="K584" s="190" t="s">
        <v>88</v>
      </c>
      <c r="L584" s="190"/>
    </row>
    <row r="585" customHeight="1" spans="1:12">
      <c r="A585" s="190" t="s">
        <v>93</v>
      </c>
      <c r="B585" s="76" t="s">
        <v>1574</v>
      </c>
      <c r="C585" s="76" t="s">
        <v>376</v>
      </c>
      <c r="D585" s="190">
        <v>1.461</v>
      </c>
      <c r="E585" s="190">
        <v>6250</v>
      </c>
      <c r="F585" s="114">
        <f t="shared" si="114"/>
        <v>9131.25</v>
      </c>
      <c r="G585" s="253">
        <v>9131.25000000001</v>
      </c>
      <c r="H585" s="253">
        <f t="shared" si="115"/>
        <v>0</v>
      </c>
      <c r="I585" s="254">
        <v>46188</v>
      </c>
      <c r="J585" s="317" t="s">
        <v>441</v>
      </c>
      <c r="K585" s="190" t="s">
        <v>88</v>
      </c>
      <c r="L585" s="190"/>
    </row>
    <row r="586" customHeight="1" spans="1:12">
      <c r="A586" s="190" t="s">
        <v>93</v>
      </c>
      <c r="B586" s="76" t="s">
        <v>1578</v>
      </c>
      <c r="C586" s="76" t="s">
        <v>376</v>
      </c>
      <c r="D586" s="190">
        <v>4.383</v>
      </c>
      <c r="E586" s="190">
        <v>6250</v>
      </c>
      <c r="F586" s="114">
        <f t="shared" si="114"/>
        <v>27393.75</v>
      </c>
      <c r="G586" s="253">
        <v>27393.75</v>
      </c>
      <c r="H586" s="253">
        <f t="shared" si="115"/>
        <v>0</v>
      </c>
      <c r="I586" s="254">
        <v>46188</v>
      </c>
      <c r="J586" s="317" t="s">
        <v>441</v>
      </c>
      <c r="K586" s="190" t="s">
        <v>88</v>
      </c>
      <c r="L586" s="190"/>
    </row>
    <row r="587" customHeight="1" spans="1:12">
      <c r="A587" s="190" t="s">
        <v>93</v>
      </c>
      <c r="B587" s="76" t="s">
        <v>1050</v>
      </c>
      <c r="C587" s="76" t="s">
        <v>379</v>
      </c>
      <c r="D587" s="190">
        <v>85</v>
      </c>
      <c r="E587" s="190">
        <v>6100</v>
      </c>
      <c r="F587" s="114">
        <f t="shared" si="114"/>
        <v>518500</v>
      </c>
      <c r="G587" s="253">
        <v>0</v>
      </c>
      <c r="H587" s="253">
        <f t="shared" si="115"/>
        <v>518500</v>
      </c>
      <c r="I587" s="254">
        <v>46295</v>
      </c>
      <c r="J587" s="190"/>
      <c r="K587" s="190" t="s">
        <v>88</v>
      </c>
      <c r="L587" s="190"/>
    </row>
    <row r="588" customHeight="1" spans="1:12">
      <c r="A588" s="190" t="s">
        <v>93</v>
      </c>
      <c r="B588" s="76" t="s">
        <v>1050</v>
      </c>
      <c r="C588" s="76" t="s">
        <v>1052</v>
      </c>
      <c r="D588" s="190">
        <v>18</v>
      </c>
      <c r="E588" s="190">
        <v>6100</v>
      </c>
      <c r="F588" s="114">
        <f t="shared" si="114"/>
        <v>109800</v>
      </c>
      <c r="G588" s="253">
        <v>0</v>
      </c>
      <c r="H588" s="253">
        <f t="shared" si="115"/>
        <v>109800</v>
      </c>
      <c r="I588" s="254">
        <v>46295</v>
      </c>
      <c r="J588" s="190"/>
      <c r="K588" s="190" t="s">
        <v>88</v>
      </c>
      <c r="L588" s="190"/>
    </row>
    <row r="589" hidden="1" customHeight="1" spans="1:12">
      <c r="A589" s="296" t="s">
        <v>1438</v>
      </c>
      <c r="B589" s="76" t="s">
        <v>1575</v>
      </c>
      <c r="C589" s="76" t="s">
        <v>375</v>
      </c>
      <c r="D589" s="190">
        <v>49.896</v>
      </c>
      <c r="E589" s="190">
        <v>2449</v>
      </c>
      <c r="F589" s="114">
        <f t="shared" si="114"/>
        <v>122195.304</v>
      </c>
      <c r="G589" s="253">
        <v>122195.304</v>
      </c>
      <c r="H589" s="253">
        <f t="shared" si="115"/>
        <v>0</v>
      </c>
      <c r="I589" s="254">
        <v>46112</v>
      </c>
      <c r="J589" s="317" t="s">
        <v>441</v>
      </c>
      <c r="K589" s="256"/>
      <c r="L589" s="190"/>
    </row>
    <row r="590" hidden="1" customHeight="1" spans="1:12">
      <c r="A590" s="190" t="s">
        <v>1367</v>
      </c>
      <c r="B590" s="76" t="s">
        <v>1579</v>
      </c>
      <c r="C590" s="76" t="s">
        <v>471</v>
      </c>
      <c r="D590" s="190">
        <v>1960400</v>
      </c>
      <c r="E590" s="190">
        <v>0.123</v>
      </c>
      <c r="F590" s="114">
        <f t="shared" si="114"/>
        <v>241129.2</v>
      </c>
      <c r="G590" s="253">
        <v>241129.2</v>
      </c>
      <c r="H590" s="253">
        <f t="shared" ref="H590:H603" si="116">F590-G590</f>
        <v>0</v>
      </c>
      <c r="I590" s="254">
        <v>46091</v>
      </c>
      <c r="J590" s="190" t="s">
        <v>441</v>
      </c>
      <c r="K590" s="190"/>
      <c r="L590" s="190"/>
    </row>
    <row r="591" hidden="1" customHeight="1" spans="1:12">
      <c r="A591" s="190" t="s">
        <v>1367</v>
      </c>
      <c r="B591" s="76" t="s">
        <v>1580</v>
      </c>
      <c r="C591" s="76" t="s">
        <v>471</v>
      </c>
      <c r="D591" s="190">
        <v>1960400</v>
      </c>
      <c r="E591" s="190">
        <v>0.12351</v>
      </c>
      <c r="F591" s="114">
        <f t="shared" ref="F590:F603" si="117">D591*E591</f>
        <v>242129.004</v>
      </c>
      <c r="G591" s="253">
        <v>242129</v>
      </c>
      <c r="H591" s="253">
        <f t="shared" si="116"/>
        <v>0.00399999998626299</v>
      </c>
      <c r="I591" s="254">
        <v>46119</v>
      </c>
      <c r="J591" s="190"/>
      <c r="K591" s="190"/>
      <c r="L591" s="190"/>
    </row>
    <row r="592" hidden="1" customHeight="1" spans="1:12">
      <c r="A592" s="190" t="s">
        <v>1358</v>
      </c>
      <c r="B592" s="76" t="s">
        <v>1038</v>
      </c>
      <c r="C592" s="76" t="s">
        <v>1581</v>
      </c>
      <c r="D592" s="190">
        <v>16000</v>
      </c>
      <c r="E592" s="190">
        <v>1.5</v>
      </c>
      <c r="F592" s="114">
        <f t="shared" si="117"/>
        <v>24000</v>
      </c>
      <c r="G592" s="253">
        <v>0</v>
      </c>
      <c r="H592" s="253">
        <f t="shared" si="116"/>
        <v>24000</v>
      </c>
      <c r="I592" s="254"/>
      <c r="J592" s="190" t="s">
        <v>441</v>
      </c>
      <c r="K592" s="190" t="s">
        <v>88</v>
      </c>
      <c r="L592" s="190"/>
    </row>
    <row r="593" hidden="1" customHeight="1" spans="1:12">
      <c r="A593" s="190" t="s">
        <v>1358</v>
      </c>
      <c r="B593" s="76" t="s">
        <v>1038</v>
      </c>
      <c r="C593" s="76" t="s">
        <v>1582</v>
      </c>
      <c r="D593" s="190">
        <v>15070</v>
      </c>
      <c r="E593" s="190">
        <v>1.68</v>
      </c>
      <c r="F593" s="114">
        <f t="shared" si="117"/>
        <v>25317.6</v>
      </c>
      <c r="G593" s="253">
        <v>0</v>
      </c>
      <c r="H593" s="253">
        <f t="shared" si="116"/>
        <v>25317.6</v>
      </c>
      <c r="I593" s="254"/>
      <c r="J593" s="190" t="s">
        <v>441</v>
      </c>
      <c r="K593" s="190" t="s">
        <v>88</v>
      </c>
      <c r="L593" s="190"/>
    </row>
    <row r="594" hidden="1" customHeight="1" spans="1:12">
      <c r="A594" s="190" t="s">
        <v>1358</v>
      </c>
      <c r="B594" s="76" t="s">
        <v>1038</v>
      </c>
      <c r="C594" s="76" t="s">
        <v>1583</v>
      </c>
      <c r="D594" s="190">
        <v>7200</v>
      </c>
      <c r="E594" s="190">
        <v>2.8</v>
      </c>
      <c r="F594" s="114">
        <f t="shared" si="117"/>
        <v>20160</v>
      </c>
      <c r="G594" s="253">
        <v>0</v>
      </c>
      <c r="H594" s="253">
        <f t="shared" si="116"/>
        <v>20160</v>
      </c>
      <c r="I594" s="254"/>
      <c r="J594" s="190" t="s">
        <v>441</v>
      </c>
      <c r="K594" s="190" t="s">
        <v>88</v>
      </c>
      <c r="L594" s="190"/>
    </row>
    <row r="595" hidden="1" customHeight="1" spans="1:12">
      <c r="A595" s="190" t="s">
        <v>1358</v>
      </c>
      <c r="B595" s="76" t="s">
        <v>1038</v>
      </c>
      <c r="C595" s="76" t="s">
        <v>1584</v>
      </c>
      <c r="D595" s="190">
        <v>7200</v>
      </c>
      <c r="E595" s="190">
        <v>2.85</v>
      </c>
      <c r="F595" s="114">
        <f t="shared" si="117"/>
        <v>20520</v>
      </c>
      <c r="G595" s="253">
        <v>0</v>
      </c>
      <c r="H595" s="253">
        <f t="shared" si="116"/>
        <v>20520</v>
      </c>
      <c r="I595" s="254"/>
      <c r="J595" s="190" t="s">
        <v>441</v>
      </c>
      <c r="K595" s="190" t="s">
        <v>88</v>
      </c>
      <c r="L595" s="190"/>
    </row>
    <row r="596" hidden="1" customHeight="1" spans="1:12">
      <c r="A596" s="190" t="s">
        <v>1358</v>
      </c>
      <c r="B596" s="76" t="s">
        <v>1038</v>
      </c>
      <c r="C596" s="76" t="s">
        <v>1585</v>
      </c>
      <c r="D596" s="190">
        <v>8800</v>
      </c>
      <c r="E596" s="277">
        <v>1.95</v>
      </c>
      <c r="F596" s="114">
        <f t="shared" si="117"/>
        <v>17160</v>
      </c>
      <c r="G596" s="253">
        <v>0</v>
      </c>
      <c r="H596" s="253">
        <f t="shared" si="116"/>
        <v>17160</v>
      </c>
      <c r="I596" s="254"/>
      <c r="J596" s="190" t="s">
        <v>441</v>
      </c>
      <c r="K596" s="190" t="s">
        <v>88</v>
      </c>
      <c r="L596" s="190"/>
    </row>
    <row r="597" hidden="1" customHeight="1" spans="1:12">
      <c r="A597" s="190" t="s">
        <v>1364</v>
      </c>
      <c r="B597" s="76" t="s">
        <v>1586</v>
      </c>
      <c r="C597" s="76" t="s">
        <v>1055</v>
      </c>
      <c r="D597" s="129">
        <v>73.054</v>
      </c>
      <c r="E597" s="129">
        <v>8160</v>
      </c>
      <c r="F597" s="114">
        <f t="shared" si="117"/>
        <v>596120.64</v>
      </c>
      <c r="G597" s="253">
        <f>F597*0.25+447090.48</f>
        <v>596120.64</v>
      </c>
      <c r="H597" s="253">
        <f t="shared" si="116"/>
        <v>0</v>
      </c>
      <c r="I597" s="254">
        <v>46137</v>
      </c>
      <c r="J597" s="190" t="s">
        <v>90</v>
      </c>
      <c r="K597" s="190" t="s">
        <v>66</v>
      </c>
      <c r="L597" s="190"/>
    </row>
    <row r="598" hidden="1" customHeight="1" spans="1:12">
      <c r="A598" s="190" t="s">
        <v>1364</v>
      </c>
      <c r="B598" s="76" t="s">
        <v>1586</v>
      </c>
      <c r="C598" s="76" t="s">
        <v>1057</v>
      </c>
      <c r="D598" s="129">
        <v>36.365</v>
      </c>
      <c r="E598" s="129">
        <v>8030</v>
      </c>
      <c r="F598" s="114">
        <f t="shared" si="117"/>
        <v>292010.95</v>
      </c>
      <c r="G598" s="253">
        <f>F598*0.25+219008.2125</f>
        <v>292010.95</v>
      </c>
      <c r="H598" s="253">
        <f t="shared" si="116"/>
        <v>0</v>
      </c>
      <c r="I598" s="254">
        <v>46137</v>
      </c>
      <c r="J598" s="190" t="s">
        <v>90</v>
      </c>
      <c r="K598" s="190" t="s">
        <v>66</v>
      </c>
      <c r="L598" s="190"/>
    </row>
    <row r="599" hidden="1" customHeight="1" spans="1:12">
      <c r="A599" s="190" t="s">
        <v>1364</v>
      </c>
      <c r="B599" s="76" t="s">
        <v>1054</v>
      </c>
      <c r="C599" s="76" t="s">
        <v>1057</v>
      </c>
      <c r="D599" s="129">
        <v>5.908</v>
      </c>
      <c r="E599" s="129">
        <v>7020</v>
      </c>
      <c r="F599" s="114">
        <f t="shared" si="117"/>
        <v>41474.16</v>
      </c>
      <c r="G599" s="253">
        <v>0</v>
      </c>
      <c r="H599" s="253">
        <f t="shared" si="116"/>
        <v>41474.16</v>
      </c>
      <c r="I599" s="254">
        <v>46137</v>
      </c>
      <c r="J599" s="190" t="s">
        <v>1563</v>
      </c>
      <c r="K599" s="190" t="s">
        <v>66</v>
      </c>
      <c r="L599" s="190"/>
    </row>
    <row r="600" customHeight="1" spans="1:12">
      <c r="A600" s="190" t="s">
        <v>93</v>
      </c>
      <c r="B600" s="76" t="s">
        <v>1059</v>
      </c>
      <c r="C600" s="76" t="s">
        <v>1587</v>
      </c>
      <c r="D600" s="129">
        <v>6.695</v>
      </c>
      <c r="E600" s="190">
        <v>6255</v>
      </c>
      <c r="F600" s="114">
        <f t="shared" si="117"/>
        <v>41877.225</v>
      </c>
      <c r="G600" s="253">
        <v>0</v>
      </c>
      <c r="H600" s="253">
        <f t="shared" si="116"/>
        <v>41877.225</v>
      </c>
      <c r="I600" s="254">
        <v>46199</v>
      </c>
      <c r="J600" s="190" t="s">
        <v>1563</v>
      </c>
      <c r="K600" s="190" t="s">
        <v>66</v>
      </c>
      <c r="L600" s="190"/>
    </row>
    <row r="601" customHeight="1" spans="1:12">
      <c r="A601" s="190" t="s">
        <v>93</v>
      </c>
      <c r="B601" s="76" t="s">
        <v>1588</v>
      </c>
      <c r="C601" s="76" t="s">
        <v>1587</v>
      </c>
      <c r="D601" s="129">
        <v>78.055</v>
      </c>
      <c r="E601" s="190">
        <v>6255</v>
      </c>
      <c r="F601" s="114">
        <f t="shared" si="117"/>
        <v>488234.025</v>
      </c>
      <c r="G601" s="253">
        <f>442080.3455+46153.69</f>
        <v>488234.0355</v>
      </c>
      <c r="H601" s="253">
        <f t="shared" si="116"/>
        <v>-0.0104999999748543</v>
      </c>
      <c r="I601" s="254">
        <v>46199</v>
      </c>
      <c r="J601" s="190" t="s">
        <v>441</v>
      </c>
      <c r="K601" s="190" t="s">
        <v>66</v>
      </c>
      <c r="L601" s="190"/>
    </row>
    <row r="602" customHeight="1" spans="1:12">
      <c r="A602" s="190" t="s">
        <v>93</v>
      </c>
      <c r="B602" s="76" t="s">
        <v>1589</v>
      </c>
      <c r="C602" s="76" t="s">
        <v>1587</v>
      </c>
      <c r="D602" s="129">
        <v>27.695</v>
      </c>
      <c r="E602" s="190">
        <v>6255</v>
      </c>
      <c r="F602" s="114">
        <f t="shared" si="117"/>
        <v>173232.225</v>
      </c>
      <c r="G602" s="253">
        <v>173232.225</v>
      </c>
      <c r="H602" s="253">
        <f t="shared" si="116"/>
        <v>0</v>
      </c>
      <c r="I602" s="254">
        <v>46196</v>
      </c>
      <c r="J602" s="190" t="s">
        <v>441</v>
      </c>
      <c r="K602" s="190" t="s">
        <v>66</v>
      </c>
      <c r="L602" s="190"/>
    </row>
    <row r="603" customHeight="1" spans="1:12">
      <c r="A603" s="190" t="s">
        <v>93</v>
      </c>
      <c r="B603" s="76" t="s">
        <v>1590</v>
      </c>
      <c r="C603" s="76" t="s">
        <v>1591</v>
      </c>
      <c r="D603" s="129">
        <v>51.389</v>
      </c>
      <c r="E603" s="190">
        <v>6155</v>
      </c>
      <c r="F603" s="114">
        <f t="shared" si="117"/>
        <v>316299.295</v>
      </c>
      <c r="G603" s="253">
        <f>F603</f>
        <v>316299.295</v>
      </c>
      <c r="H603" s="253">
        <f t="shared" si="116"/>
        <v>0</v>
      </c>
      <c r="I603" s="254">
        <v>46137</v>
      </c>
      <c r="J603" s="190" t="s">
        <v>441</v>
      </c>
      <c r="K603" s="190" t="s">
        <v>66</v>
      </c>
      <c r="L603" s="190"/>
    </row>
    <row r="604" customHeight="1" spans="1:12">
      <c r="A604" s="190" t="s">
        <v>93</v>
      </c>
      <c r="B604" s="76" t="s">
        <v>1065</v>
      </c>
      <c r="C604" s="76" t="s">
        <v>1066</v>
      </c>
      <c r="D604" s="129">
        <v>9.168</v>
      </c>
      <c r="E604" s="190">
        <v>6250</v>
      </c>
      <c r="F604" s="114">
        <f t="shared" ref="F604:F609" si="118">D604*E604</f>
        <v>57300</v>
      </c>
      <c r="G604" s="253">
        <f>61875-4575</f>
        <v>57300</v>
      </c>
      <c r="H604" s="253">
        <f t="shared" ref="H604:H609" si="119">F604-G604</f>
        <v>0</v>
      </c>
      <c r="I604" s="254">
        <v>46174</v>
      </c>
      <c r="J604" s="190" t="s">
        <v>441</v>
      </c>
      <c r="K604" s="76" t="s">
        <v>88</v>
      </c>
      <c r="L604" s="190"/>
    </row>
    <row r="605" customHeight="1" spans="1:12">
      <c r="A605" s="190" t="s">
        <v>93</v>
      </c>
      <c r="B605" s="76" t="s">
        <v>1065</v>
      </c>
      <c r="C605" s="76" t="s">
        <v>1068</v>
      </c>
      <c r="D605" s="129">
        <v>18.034</v>
      </c>
      <c r="E605" s="190">
        <v>5850</v>
      </c>
      <c r="F605" s="114">
        <f t="shared" si="118"/>
        <v>105498.9</v>
      </c>
      <c r="G605" s="253">
        <f>89505+4575+11418.9</f>
        <v>105498.9</v>
      </c>
      <c r="H605" s="253">
        <f t="shared" si="119"/>
        <v>0</v>
      </c>
      <c r="I605" s="254">
        <v>46174</v>
      </c>
      <c r="J605" s="190" t="s">
        <v>441</v>
      </c>
      <c r="K605" s="76" t="s">
        <v>88</v>
      </c>
      <c r="L605" s="190"/>
    </row>
    <row r="606" customHeight="1" spans="1:12">
      <c r="A606" s="190" t="s">
        <v>93</v>
      </c>
      <c r="B606" s="76" t="s">
        <v>1592</v>
      </c>
      <c r="C606" s="76" t="s">
        <v>1071</v>
      </c>
      <c r="D606" s="304">
        <v>45.13</v>
      </c>
      <c r="E606" s="190">
        <v>6550</v>
      </c>
      <c r="F606" s="114">
        <f t="shared" si="118"/>
        <v>295601.5</v>
      </c>
      <c r="G606" s="253">
        <f>221540+132160-58098.5</f>
        <v>295601.5</v>
      </c>
      <c r="H606" s="253">
        <f t="shared" si="119"/>
        <v>0</v>
      </c>
      <c r="I606" s="254">
        <v>46178</v>
      </c>
      <c r="J606" s="190" t="s">
        <v>441</v>
      </c>
      <c r="K606" s="76" t="s">
        <v>88</v>
      </c>
      <c r="L606" s="190"/>
    </row>
    <row r="607" customHeight="1" spans="1:12">
      <c r="A607" s="190" t="s">
        <v>93</v>
      </c>
      <c r="B607" s="76" t="s">
        <v>1593</v>
      </c>
      <c r="C607" s="76" t="s">
        <v>1073</v>
      </c>
      <c r="D607" s="304">
        <v>54.18</v>
      </c>
      <c r="E607" s="190">
        <v>6400</v>
      </c>
      <c r="F607" s="114">
        <f t="shared" si="118"/>
        <v>346752</v>
      </c>
      <c r="G607" s="253">
        <f>715435.8825-G606-G608+281184.12</f>
        <v>346752.0025</v>
      </c>
      <c r="H607" s="253">
        <f t="shared" si="119"/>
        <v>-0.00249999994412065</v>
      </c>
      <c r="I607" s="254">
        <v>46178</v>
      </c>
      <c r="J607" s="190" t="s">
        <v>441</v>
      </c>
      <c r="K607" s="76" t="s">
        <v>88</v>
      </c>
      <c r="L607" s="190"/>
    </row>
    <row r="608" customHeight="1" spans="1:12">
      <c r="A608" s="190" t="s">
        <v>93</v>
      </c>
      <c r="B608" s="76" t="s">
        <v>1592</v>
      </c>
      <c r="C608" s="76" t="s">
        <v>1074</v>
      </c>
      <c r="D608" s="304">
        <v>55.79</v>
      </c>
      <c r="E608" s="190">
        <v>6350</v>
      </c>
      <c r="F608" s="114">
        <f t="shared" si="118"/>
        <v>354266.5</v>
      </c>
      <c r="G608" s="253">
        <v>354266.5</v>
      </c>
      <c r="H608" s="253">
        <f t="shared" si="119"/>
        <v>0</v>
      </c>
      <c r="I608" s="254">
        <v>46178</v>
      </c>
      <c r="J608" s="190" t="s">
        <v>441</v>
      </c>
      <c r="K608" s="76" t="s">
        <v>88</v>
      </c>
      <c r="L608" s="190"/>
    </row>
    <row r="609" customHeight="1" spans="1:12">
      <c r="A609" s="190" t="s">
        <v>93</v>
      </c>
      <c r="B609" s="76" t="s">
        <v>1594</v>
      </c>
      <c r="C609" s="76" t="s">
        <v>1073</v>
      </c>
      <c r="D609" s="190">
        <v>5.196</v>
      </c>
      <c r="E609" s="190">
        <v>6400</v>
      </c>
      <c r="F609" s="114">
        <f t="shared" si="118"/>
        <v>33254.4</v>
      </c>
      <c r="G609" s="253">
        <v>33254.4</v>
      </c>
      <c r="H609" s="253">
        <f t="shared" si="119"/>
        <v>0</v>
      </c>
      <c r="I609" s="254">
        <v>46178</v>
      </c>
      <c r="J609" s="190" t="s">
        <v>441</v>
      </c>
      <c r="K609" s="76" t="s">
        <v>88</v>
      </c>
      <c r="L609" s="190"/>
    </row>
    <row r="610" hidden="1" customHeight="1" spans="1:12">
      <c r="A610" s="296" t="s">
        <v>1438</v>
      </c>
      <c r="B610" s="76" t="s">
        <v>1381</v>
      </c>
      <c r="C610" s="113" t="s">
        <v>1441</v>
      </c>
      <c r="D610" s="190">
        <v>7.249</v>
      </c>
      <c r="E610" s="190">
        <v>2551</v>
      </c>
      <c r="F610" s="114">
        <f t="shared" ref="F610:F633" si="120">D610*E610</f>
        <v>18492.199</v>
      </c>
      <c r="G610" s="253">
        <v>18492.199</v>
      </c>
      <c r="H610" s="253">
        <f t="shared" ref="H610:H633" si="121">F610-G610</f>
        <v>0</v>
      </c>
      <c r="I610" s="254">
        <v>46059</v>
      </c>
      <c r="J610" s="317" t="s">
        <v>441</v>
      </c>
      <c r="K610" s="256"/>
      <c r="L610" s="190"/>
    </row>
    <row r="611" hidden="1" customHeight="1" spans="1:12">
      <c r="A611" s="296" t="s">
        <v>1438</v>
      </c>
      <c r="B611" s="76" t="s">
        <v>1381</v>
      </c>
      <c r="C611" s="76" t="s">
        <v>683</v>
      </c>
      <c r="D611" s="190">
        <v>1.103</v>
      </c>
      <c r="E611" s="190">
        <v>2551</v>
      </c>
      <c r="F611" s="114">
        <f t="shared" si="120"/>
        <v>2813.753</v>
      </c>
      <c r="G611" s="253">
        <v>2813.753</v>
      </c>
      <c r="H611" s="253">
        <f t="shared" si="121"/>
        <v>0</v>
      </c>
      <c r="I611" s="254">
        <v>46059</v>
      </c>
      <c r="J611" s="317" t="s">
        <v>441</v>
      </c>
      <c r="K611" s="256"/>
      <c r="L611" s="190"/>
    </row>
    <row r="612" hidden="1" customHeight="1" spans="1:12">
      <c r="A612" s="296" t="s">
        <v>1438</v>
      </c>
      <c r="B612" s="76" t="s">
        <v>1391</v>
      </c>
      <c r="C612" s="76" t="s">
        <v>683</v>
      </c>
      <c r="D612" s="190">
        <v>1.515</v>
      </c>
      <c r="E612" s="190">
        <v>2551</v>
      </c>
      <c r="F612" s="114">
        <f t="shared" si="120"/>
        <v>3864.765</v>
      </c>
      <c r="G612" s="253">
        <v>3864.765</v>
      </c>
      <c r="H612" s="253">
        <f t="shared" si="121"/>
        <v>0</v>
      </c>
      <c r="I612" s="254">
        <v>46059</v>
      </c>
      <c r="J612" s="317" t="s">
        <v>441</v>
      </c>
      <c r="K612" s="256"/>
      <c r="L612" s="190"/>
    </row>
    <row r="613" hidden="1" customHeight="1" spans="1:12">
      <c r="A613" s="295" t="s">
        <v>1438</v>
      </c>
      <c r="B613" s="224" t="s">
        <v>1391</v>
      </c>
      <c r="C613" s="224" t="s">
        <v>369</v>
      </c>
      <c r="D613" s="293">
        <v>4.815</v>
      </c>
      <c r="E613" s="293">
        <v>2449</v>
      </c>
      <c r="F613" s="383">
        <f t="shared" si="120"/>
        <v>11791.935</v>
      </c>
      <c r="G613" s="276">
        <v>11791.935</v>
      </c>
      <c r="H613" s="276">
        <f t="shared" si="121"/>
        <v>0</v>
      </c>
      <c r="I613" s="308">
        <v>46059</v>
      </c>
      <c r="J613" s="299" t="s">
        <v>441</v>
      </c>
      <c r="K613" s="302"/>
      <c r="L613" s="293"/>
    </row>
    <row r="614" hidden="1" customHeight="1" spans="1:12">
      <c r="A614" s="190" t="s">
        <v>1367</v>
      </c>
      <c r="B614" s="76" t="s">
        <v>1075</v>
      </c>
      <c r="C614" s="76" t="s">
        <v>471</v>
      </c>
      <c r="D614" s="190">
        <v>1960400</v>
      </c>
      <c r="E614" s="190">
        <v>0.12351</v>
      </c>
      <c r="F614" s="114">
        <f t="shared" si="120"/>
        <v>242129.004</v>
      </c>
      <c r="G614" s="253">
        <v>242129</v>
      </c>
      <c r="H614" s="253">
        <f t="shared" si="121"/>
        <v>0.00399999998626299</v>
      </c>
      <c r="I614" s="254">
        <v>46127</v>
      </c>
      <c r="J614" s="317" t="s">
        <v>441</v>
      </c>
      <c r="K614" s="256"/>
      <c r="L614" s="190"/>
    </row>
    <row r="615" ht="43.2" spans="1:12">
      <c r="A615" s="190" t="s">
        <v>93</v>
      </c>
      <c r="B615" s="76" t="s">
        <v>1028</v>
      </c>
      <c r="C615" s="113" t="s">
        <v>1029</v>
      </c>
      <c r="D615" s="190">
        <v>6600</v>
      </c>
      <c r="E615" s="190">
        <v>1.489</v>
      </c>
      <c r="F615" s="114">
        <f t="shared" si="120"/>
        <v>9827.4</v>
      </c>
      <c r="G615" s="253">
        <v>9827.4</v>
      </c>
      <c r="H615" s="253">
        <f t="shared" si="121"/>
        <v>0</v>
      </c>
      <c r="I615" s="254">
        <v>46162</v>
      </c>
      <c r="J615" s="190" t="s">
        <v>441</v>
      </c>
      <c r="K615" s="76" t="s">
        <v>88</v>
      </c>
      <c r="L615" s="190"/>
    </row>
    <row r="616" ht="43.2" spans="1:12">
      <c r="A616" s="190" t="s">
        <v>93</v>
      </c>
      <c r="B616" s="76" t="s">
        <v>1028</v>
      </c>
      <c r="C616" s="113" t="s">
        <v>1031</v>
      </c>
      <c r="D616" s="190">
        <v>13200</v>
      </c>
      <c r="E616" s="190">
        <v>1.534</v>
      </c>
      <c r="F616" s="114">
        <f t="shared" si="120"/>
        <v>20248.8</v>
      </c>
      <c r="G616" s="253">
        <v>20248.8</v>
      </c>
      <c r="H616" s="253">
        <f t="shared" si="121"/>
        <v>0</v>
      </c>
      <c r="I616" s="254">
        <v>46162</v>
      </c>
      <c r="J616" s="190" t="s">
        <v>441</v>
      </c>
      <c r="K616" s="76" t="s">
        <v>88</v>
      </c>
      <c r="L616" s="190"/>
    </row>
    <row r="617" ht="43.2" spans="1:12">
      <c r="A617" s="190" t="s">
        <v>93</v>
      </c>
      <c r="B617" s="76" t="s">
        <v>1028</v>
      </c>
      <c r="C617" s="113" t="s">
        <v>1032</v>
      </c>
      <c r="D617" s="190">
        <v>6600</v>
      </c>
      <c r="E617" s="190">
        <v>1.6507</v>
      </c>
      <c r="F617" s="114">
        <f t="shared" si="120"/>
        <v>10894.62</v>
      </c>
      <c r="G617" s="253">
        <v>10894.62</v>
      </c>
      <c r="H617" s="253">
        <f t="shared" si="121"/>
        <v>0</v>
      </c>
      <c r="I617" s="254">
        <v>46162</v>
      </c>
      <c r="J617" s="190" t="s">
        <v>441</v>
      </c>
      <c r="K617" s="76" t="s">
        <v>88</v>
      </c>
      <c r="L617" s="190"/>
    </row>
    <row r="618" ht="43.2" spans="1:12">
      <c r="A618" s="190" t="s">
        <v>93</v>
      </c>
      <c r="B618" s="76" t="s">
        <v>1028</v>
      </c>
      <c r="C618" s="113" t="s">
        <v>1595</v>
      </c>
      <c r="D618" s="190">
        <v>13200</v>
      </c>
      <c r="E618" s="190">
        <v>1.6956</v>
      </c>
      <c r="F618" s="114">
        <f t="shared" si="120"/>
        <v>22381.92</v>
      </c>
      <c r="G618" s="253">
        <v>22381.92</v>
      </c>
      <c r="H618" s="253">
        <f t="shared" si="121"/>
        <v>0</v>
      </c>
      <c r="I618" s="254">
        <v>46162</v>
      </c>
      <c r="J618" s="190" t="s">
        <v>441</v>
      </c>
      <c r="K618" s="76" t="s">
        <v>88</v>
      </c>
      <c r="L618" s="190"/>
    </row>
    <row r="619" ht="43.2" spans="1:12">
      <c r="A619" s="190" t="s">
        <v>93</v>
      </c>
      <c r="B619" s="76" t="s">
        <v>1028</v>
      </c>
      <c r="C619" s="113" t="s">
        <v>1596</v>
      </c>
      <c r="D619" s="190">
        <v>2200</v>
      </c>
      <c r="E619" s="190">
        <v>2.6568</v>
      </c>
      <c r="F619" s="114">
        <f t="shared" si="120"/>
        <v>5844.96</v>
      </c>
      <c r="G619" s="253">
        <v>5844.96</v>
      </c>
      <c r="H619" s="253">
        <f t="shared" si="121"/>
        <v>0</v>
      </c>
      <c r="I619" s="254">
        <v>46162</v>
      </c>
      <c r="J619" s="190" t="s">
        <v>441</v>
      </c>
      <c r="K619" s="76" t="s">
        <v>88</v>
      </c>
      <c r="L619" s="190"/>
    </row>
    <row r="620" ht="43.2" spans="1:12">
      <c r="A620" s="190" t="s">
        <v>93</v>
      </c>
      <c r="B620" s="76" t="s">
        <v>1028</v>
      </c>
      <c r="C620" s="113" t="s">
        <v>1597</v>
      </c>
      <c r="D620" s="190">
        <v>2200</v>
      </c>
      <c r="E620" s="190">
        <v>2.7016</v>
      </c>
      <c r="F620" s="114">
        <f t="shared" si="120"/>
        <v>5943.52</v>
      </c>
      <c r="G620" s="253">
        <v>5943.52</v>
      </c>
      <c r="H620" s="253">
        <f t="shared" si="121"/>
        <v>0</v>
      </c>
      <c r="I620" s="254">
        <v>46162</v>
      </c>
      <c r="J620" s="190" t="s">
        <v>441</v>
      </c>
      <c r="K620" s="76" t="s">
        <v>88</v>
      </c>
      <c r="L620" s="190"/>
    </row>
    <row r="621" ht="43.2" spans="1:12">
      <c r="A621" s="190" t="s">
        <v>93</v>
      </c>
      <c r="B621" s="76" t="s">
        <v>1028</v>
      </c>
      <c r="C621" s="113" t="s">
        <v>1598</v>
      </c>
      <c r="D621" s="190">
        <v>2200</v>
      </c>
      <c r="E621" s="190">
        <v>2.6568</v>
      </c>
      <c r="F621" s="114">
        <f t="shared" si="120"/>
        <v>5844.96</v>
      </c>
      <c r="G621" s="253">
        <v>5844.96</v>
      </c>
      <c r="H621" s="253">
        <f t="shared" si="121"/>
        <v>0</v>
      </c>
      <c r="I621" s="254">
        <v>46162</v>
      </c>
      <c r="J621" s="190" t="s">
        <v>441</v>
      </c>
      <c r="K621" s="76" t="s">
        <v>88</v>
      </c>
      <c r="L621" s="190"/>
    </row>
    <row r="622" ht="43.2" spans="1:12">
      <c r="A622" s="190" t="s">
        <v>93</v>
      </c>
      <c r="B622" s="76" t="s">
        <v>1028</v>
      </c>
      <c r="C622" s="113" t="s">
        <v>1599</v>
      </c>
      <c r="D622" s="190">
        <v>2200</v>
      </c>
      <c r="E622" s="190">
        <v>2.7016</v>
      </c>
      <c r="F622" s="114">
        <f t="shared" si="120"/>
        <v>5943.52</v>
      </c>
      <c r="G622" s="253">
        <v>5943.52</v>
      </c>
      <c r="H622" s="253">
        <f t="shared" si="121"/>
        <v>0</v>
      </c>
      <c r="I622" s="254">
        <v>46162</v>
      </c>
      <c r="J622" s="190" t="s">
        <v>441</v>
      </c>
      <c r="K622" s="76" t="s">
        <v>88</v>
      </c>
      <c r="L622" s="190"/>
    </row>
    <row r="623" hidden="1" customHeight="1" spans="1:12">
      <c r="A623" s="190" t="s">
        <v>1438</v>
      </c>
      <c r="B623" s="76" t="s">
        <v>1392</v>
      </c>
      <c r="C623" s="76" t="s">
        <v>683</v>
      </c>
      <c r="D623" s="190">
        <v>49.995</v>
      </c>
      <c r="E623" s="190">
        <v>2551</v>
      </c>
      <c r="F623" s="114">
        <f t="shared" si="120"/>
        <v>127537.245</v>
      </c>
      <c r="G623" s="253">
        <v>127537.245</v>
      </c>
      <c r="H623" s="253">
        <f t="shared" si="121"/>
        <v>0</v>
      </c>
      <c r="I623" s="254">
        <v>46107</v>
      </c>
      <c r="J623" s="317" t="s">
        <v>441</v>
      </c>
      <c r="K623" s="256"/>
      <c r="L623" s="190"/>
    </row>
    <row r="624" hidden="1" customHeight="1" spans="1:12">
      <c r="A624" s="190" t="s">
        <v>1438</v>
      </c>
      <c r="B624" s="76" t="s">
        <v>1392</v>
      </c>
      <c r="C624" s="113" t="s">
        <v>1441</v>
      </c>
      <c r="D624" s="190">
        <v>86.355</v>
      </c>
      <c r="E624" s="190">
        <v>2551</v>
      </c>
      <c r="F624" s="114">
        <f t="shared" si="120"/>
        <v>220291.605</v>
      </c>
      <c r="G624" s="253">
        <v>220291.605</v>
      </c>
      <c r="H624" s="253">
        <f t="shared" si="121"/>
        <v>0</v>
      </c>
      <c r="I624" s="254">
        <v>46107</v>
      </c>
      <c r="J624" s="317" t="s">
        <v>441</v>
      </c>
      <c r="K624" s="256"/>
      <c r="L624" s="190"/>
    </row>
    <row r="625" hidden="1" customHeight="1" spans="1:12">
      <c r="A625" s="293" t="s">
        <v>1438</v>
      </c>
      <c r="B625" s="224" t="s">
        <v>1393</v>
      </c>
      <c r="C625" s="224" t="s">
        <v>683</v>
      </c>
      <c r="D625" s="293">
        <v>3.621</v>
      </c>
      <c r="E625" s="293">
        <v>2551</v>
      </c>
      <c r="F625" s="383">
        <f t="shared" si="120"/>
        <v>9237.171</v>
      </c>
      <c r="G625" s="276">
        <v>9237.171</v>
      </c>
      <c r="H625" s="276">
        <f t="shared" si="121"/>
        <v>0</v>
      </c>
      <c r="I625" s="254">
        <v>46107</v>
      </c>
      <c r="J625" s="299" t="s">
        <v>441</v>
      </c>
      <c r="K625" s="302"/>
      <c r="L625" s="293"/>
    </row>
    <row r="626" hidden="1" customHeight="1" spans="1:12">
      <c r="A626" s="190" t="s">
        <v>1367</v>
      </c>
      <c r="B626" s="76" t="s">
        <v>1076</v>
      </c>
      <c r="C626" s="76" t="s">
        <v>471</v>
      </c>
      <c r="D626" s="190">
        <f>1960400*2</f>
        <v>3920800</v>
      </c>
      <c r="E626" s="190">
        <v>0.123</v>
      </c>
      <c r="F626" s="114">
        <f t="shared" si="120"/>
        <v>482258.4</v>
      </c>
      <c r="G626" s="253">
        <v>482258.4</v>
      </c>
      <c r="H626" s="253">
        <f t="shared" si="121"/>
        <v>0</v>
      </c>
      <c r="I626" s="254">
        <v>46140</v>
      </c>
      <c r="J626" s="190"/>
      <c r="K626" s="190"/>
      <c r="L626" s="190"/>
    </row>
    <row r="627" customHeight="1" spans="1:12">
      <c r="A627" s="190" t="s">
        <v>93</v>
      </c>
      <c r="B627" s="76" t="s">
        <v>1600</v>
      </c>
      <c r="C627" s="76" t="s">
        <v>1078</v>
      </c>
      <c r="D627" s="190">
        <v>27.27</v>
      </c>
      <c r="E627" s="190">
        <v>6550</v>
      </c>
      <c r="F627" s="114">
        <f t="shared" si="120"/>
        <v>178618.5</v>
      </c>
      <c r="G627" s="253">
        <v>178618.5</v>
      </c>
      <c r="H627" s="253">
        <f t="shared" si="121"/>
        <v>0</v>
      </c>
      <c r="I627" s="254">
        <v>46280</v>
      </c>
      <c r="J627" s="190" t="s">
        <v>441</v>
      </c>
      <c r="K627" s="76" t="s">
        <v>88</v>
      </c>
      <c r="L627" s="190"/>
    </row>
    <row r="628" customHeight="1" spans="1:12">
      <c r="A628" s="190" t="s">
        <v>93</v>
      </c>
      <c r="B628" s="76" t="s">
        <v>1601</v>
      </c>
      <c r="C628" s="76" t="s">
        <v>376</v>
      </c>
      <c r="D628" s="190">
        <v>33.03</v>
      </c>
      <c r="E628" s="190">
        <v>6250</v>
      </c>
      <c r="F628" s="114">
        <f t="shared" si="120"/>
        <v>206437.5</v>
      </c>
      <c r="G628" s="253">
        <f>634.400000000023+205803.1</f>
        <v>206437.5</v>
      </c>
      <c r="H628" s="253">
        <f t="shared" si="121"/>
        <v>0</v>
      </c>
      <c r="I628" s="312">
        <v>46174</v>
      </c>
      <c r="J628" s="309" t="s">
        <v>441</v>
      </c>
      <c r="K628" s="76" t="s">
        <v>88</v>
      </c>
      <c r="L628" s="190"/>
    </row>
    <row r="629" customHeight="1" spans="1:12">
      <c r="A629" s="190" t="s">
        <v>93</v>
      </c>
      <c r="B629" s="76" t="s">
        <v>1602</v>
      </c>
      <c r="C629" s="76" t="s">
        <v>1080</v>
      </c>
      <c r="D629" s="190">
        <v>20.147</v>
      </c>
      <c r="E629" s="190">
        <v>6350</v>
      </c>
      <c r="F629" s="114">
        <f t="shared" si="120"/>
        <v>127933.45</v>
      </c>
      <c r="G629" s="253">
        <v>127933.45</v>
      </c>
      <c r="H629" s="253">
        <f t="shared" si="121"/>
        <v>0</v>
      </c>
      <c r="I629" s="254">
        <v>46188</v>
      </c>
      <c r="J629" s="190" t="s">
        <v>441</v>
      </c>
      <c r="K629" s="76" t="s">
        <v>88</v>
      </c>
      <c r="L629" s="190"/>
    </row>
    <row r="630" customHeight="1" spans="1:12">
      <c r="A630" s="190" t="s">
        <v>93</v>
      </c>
      <c r="B630" s="76" t="s">
        <v>1603</v>
      </c>
      <c r="C630" s="76" t="s">
        <v>1080</v>
      </c>
      <c r="D630" s="190">
        <v>21.168</v>
      </c>
      <c r="E630" s="190">
        <v>6350</v>
      </c>
      <c r="F630" s="114">
        <f t="shared" si="120"/>
        <v>134416.8</v>
      </c>
      <c r="G630" s="253">
        <v>134416.8</v>
      </c>
      <c r="H630" s="253">
        <f t="shared" si="121"/>
        <v>0</v>
      </c>
      <c r="I630" s="254">
        <v>46188</v>
      </c>
      <c r="J630" s="190"/>
      <c r="K630" s="76" t="s">
        <v>88</v>
      </c>
      <c r="L630" s="190"/>
    </row>
    <row r="631" customHeight="1" spans="1:12">
      <c r="A631" s="190" t="s">
        <v>93</v>
      </c>
      <c r="B631" s="76" t="s">
        <v>1603</v>
      </c>
      <c r="C631" s="76" t="s">
        <v>1081</v>
      </c>
      <c r="D631" s="190">
        <v>115.14</v>
      </c>
      <c r="E631" s="190">
        <v>6550</v>
      </c>
      <c r="F631" s="114">
        <f t="shared" si="120"/>
        <v>754167</v>
      </c>
      <c r="G631" s="253">
        <f>537649.75+47585.26+168931.99</f>
        <v>754167</v>
      </c>
      <c r="H631" s="253">
        <f t="shared" si="121"/>
        <v>0</v>
      </c>
      <c r="I631" s="254">
        <v>46188</v>
      </c>
      <c r="J631" s="190" t="s">
        <v>441</v>
      </c>
      <c r="K631" s="76" t="s">
        <v>88</v>
      </c>
      <c r="L631" s="190"/>
    </row>
    <row r="632" customHeight="1" spans="1:12">
      <c r="A632" s="190" t="s">
        <v>93</v>
      </c>
      <c r="B632" s="76" t="s">
        <v>1604</v>
      </c>
      <c r="C632" s="76" t="s">
        <v>1081</v>
      </c>
      <c r="D632" s="190">
        <v>60.373</v>
      </c>
      <c r="E632" s="190">
        <v>6550</v>
      </c>
      <c r="F632" s="114">
        <f t="shared" si="120"/>
        <v>395443.15</v>
      </c>
      <c r="G632" s="253">
        <v>395443.15</v>
      </c>
      <c r="H632" s="253">
        <f t="shared" si="121"/>
        <v>0</v>
      </c>
      <c r="I632" s="254">
        <v>46202</v>
      </c>
      <c r="J632" s="190" t="s">
        <v>441</v>
      </c>
      <c r="K632" s="76" t="s">
        <v>88</v>
      </c>
      <c r="L632" s="190"/>
    </row>
    <row r="633" customHeight="1" spans="1:12">
      <c r="A633" s="190" t="s">
        <v>93</v>
      </c>
      <c r="B633" s="76" t="s">
        <v>1605</v>
      </c>
      <c r="C633" s="76" t="s">
        <v>1081</v>
      </c>
      <c r="D633" s="190">
        <v>0.828</v>
      </c>
      <c r="E633" s="190">
        <v>6550</v>
      </c>
      <c r="F633" s="114">
        <f t="shared" si="120"/>
        <v>5423.4</v>
      </c>
      <c r="G633" s="253">
        <v>5423.4</v>
      </c>
      <c r="H633" s="253">
        <f t="shared" si="121"/>
        <v>0</v>
      </c>
      <c r="I633" s="254">
        <v>46202</v>
      </c>
      <c r="J633" s="190" t="s">
        <v>441</v>
      </c>
      <c r="K633" s="76" t="s">
        <v>88</v>
      </c>
      <c r="L633" s="190"/>
    </row>
    <row r="634" customHeight="1" spans="1:12">
      <c r="A634" s="190" t="s">
        <v>93</v>
      </c>
      <c r="B634" s="76" t="s">
        <v>1077</v>
      </c>
      <c r="C634" s="76" t="s">
        <v>1082</v>
      </c>
      <c r="D634" s="190">
        <v>80</v>
      </c>
      <c r="E634" s="190">
        <v>6350</v>
      </c>
      <c r="F634" s="114">
        <f t="shared" ref="F634:F647" si="122">D634*E634</f>
        <v>508000</v>
      </c>
      <c r="G634" s="253">
        <v>0</v>
      </c>
      <c r="H634" s="253">
        <f t="shared" ref="H634:H647" si="123">F634-G634</f>
        <v>508000</v>
      </c>
      <c r="I634" s="254">
        <v>46280</v>
      </c>
      <c r="J634" s="190"/>
      <c r="K634" s="76" t="s">
        <v>88</v>
      </c>
      <c r="L634" s="190"/>
    </row>
    <row r="635" hidden="1" customHeight="1" spans="1:12">
      <c r="A635" s="293" t="s">
        <v>1438</v>
      </c>
      <c r="B635" s="76" t="s">
        <v>1394</v>
      </c>
      <c r="C635" s="81" t="s">
        <v>598</v>
      </c>
      <c r="D635" s="293">
        <v>16.665</v>
      </c>
      <c r="E635" s="293">
        <v>2551</v>
      </c>
      <c r="F635" s="383">
        <f t="shared" si="122"/>
        <v>42512.415</v>
      </c>
      <c r="G635" s="276">
        <v>42512.415</v>
      </c>
      <c r="H635" s="276">
        <f t="shared" si="123"/>
        <v>0</v>
      </c>
      <c r="I635" s="254">
        <v>46111</v>
      </c>
      <c r="J635" s="299" t="s">
        <v>441</v>
      </c>
      <c r="K635" s="302"/>
      <c r="L635" s="293"/>
    </row>
    <row r="636" hidden="1" customHeight="1" spans="1:12">
      <c r="A636" s="190" t="s">
        <v>1438</v>
      </c>
      <c r="B636" s="76" t="s">
        <v>1394</v>
      </c>
      <c r="C636" s="403" t="s">
        <v>162</v>
      </c>
      <c r="D636" s="190">
        <v>69.661</v>
      </c>
      <c r="E636" s="190">
        <v>2449</v>
      </c>
      <c r="F636" s="114">
        <f t="shared" si="122"/>
        <v>170599.789</v>
      </c>
      <c r="G636" s="253">
        <f>170528.768+71.0209999999788</f>
        <v>170599.789</v>
      </c>
      <c r="H636" s="253">
        <f t="shared" si="123"/>
        <v>0</v>
      </c>
      <c r="I636" s="254">
        <v>46111</v>
      </c>
      <c r="J636" s="190" t="s">
        <v>441</v>
      </c>
      <c r="K636" s="190"/>
      <c r="L636" s="190"/>
    </row>
    <row r="637" customHeight="1" spans="1:12">
      <c r="A637" s="190" t="s">
        <v>93</v>
      </c>
      <c r="B637" s="76" t="s">
        <v>1083</v>
      </c>
      <c r="C637" s="76" t="s">
        <v>1084</v>
      </c>
      <c r="D637" s="76">
        <v>1026000</v>
      </c>
      <c r="E637" s="259">
        <v>0.2803</v>
      </c>
      <c r="F637" s="114">
        <f t="shared" si="122"/>
        <v>287587.8</v>
      </c>
      <c r="G637" s="253">
        <v>287587.8</v>
      </c>
      <c r="H637" s="253">
        <f t="shared" si="123"/>
        <v>0</v>
      </c>
      <c r="I637" s="254">
        <v>46198</v>
      </c>
      <c r="J637" s="190"/>
      <c r="K637" s="190" t="s">
        <v>1085</v>
      </c>
      <c r="L637" s="190"/>
    </row>
    <row r="638" customHeight="1" spans="1:12">
      <c r="A638" s="190" t="s">
        <v>93</v>
      </c>
      <c r="B638" s="76" t="s">
        <v>1083</v>
      </c>
      <c r="C638" s="76" t="s">
        <v>1087</v>
      </c>
      <c r="D638" s="76">
        <v>1026000</v>
      </c>
      <c r="E638" s="259">
        <v>0.144</v>
      </c>
      <c r="F638" s="114">
        <f t="shared" si="122"/>
        <v>147744</v>
      </c>
      <c r="G638" s="253">
        <v>147744</v>
      </c>
      <c r="H638" s="253">
        <f t="shared" si="123"/>
        <v>0</v>
      </c>
      <c r="I638" s="254">
        <v>46198</v>
      </c>
      <c r="J638" s="190"/>
      <c r="K638" s="190" t="s">
        <v>1085</v>
      </c>
      <c r="L638" s="190"/>
    </row>
    <row r="639" hidden="1" customHeight="1" spans="1:12">
      <c r="A639" s="190" t="s">
        <v>1358</v>
      </c>
      <c r="B639" s="76" t="s">
        <v>1088</v>
      </c>
      <c r="C639" s="113" t="s">
        <v>1606</v>
      </c>
      <c r="D639" s="190">
        <v>16.44</v>
      </c>
      <c r="E639" s="190">
        <v>6175</v>
      </c>
      <c r="F639" s="114">
        <f t="shared" si="122"/>
        <v>101517</v>
      </c>
      <c r="G639" s="253">
        <v>101517</v>
      </c>
      <c r="H639" s="253">
        <f t="shared" si="123"/>
        <v>0</v>
      </c>
      <c r="I639" s="254">
        <v>46142</v>
      </c>
      <c r="J639" s="190" t="s">
        <v>441</v>
      </c>
      <c r="K639" s="190"/>
      <c r="L639" s="190"/>
    </row>
    <row r="640" hidden="1" customHeight="1" spans="1:12">
      <c r="A640" s="190" t="s">
        <v>1358</v>
      </c>
      <c r="B640" s="76" t="s">
        <v>1607</v>
      </c>
      <c r="C640" s="190" t="s">
        <v>1093</v>
      </c>
      <c r="D640" s="190">
        <v>21.406</v>
      </c>
      <c r="E640" s="190">
        <v>6760</v>
      </c>
      <c r="F640" s="114">
        <f t="shared" si="122"/>
        <v>144704.56</v>
      </c>
      <c r="G640" s="253">
        <v>144704.56</v>
      </c>
      <c r="H640" s="253">
        <f t="shared" si="123"/>
        <v>0</v>
      </c>
      <c r="I640" s="254">
        <v>46171</v>
      </c>
      <c r="J640" s="190" t="s">
        <v>441</v>
      </c>
      <c r="K640" s="190"/>
      <c r="L640" s="190"/>
    </row>
    <row r="641" hidden="1" customHeight="1" spans="1:12">
      <c r="A641" s="190" t="s">
        <v>1358</v>
      </c>
      <c r="B641" s="76" t="s">
        <v>1608</v>
      </c>
      <c r="C641" s="190" t="s">
        <v>1093</v>
      </c>
      <c r="D641" s="190">
        <v>34.503</v>
      </c>
      <c r="E641" s="190">
        <v>6760</v>
      </c>
      <c r="F641" s="114">
        <f t="shared" si="122"/>
        <v>233240.28</v>
      </c>
      <c r="G641" s="253">
        <v>233240.28</v>
      </c>
      <c r="H641" s="253">
        <f t="shared" si="123"/>
        <v>0</v>
      </c>
      <c r="I641" s="254">
        <v>46171</v>
      </c>
      <c r="J641" s="190" t="s">
        <v>441</v>
      </c>
      <c r="K641" s="190"/>
      <c r="L641" s="190"/>
    </row>
    <row r="642" hidden="1" customHeight="1" spans="1:12">
      <c r="A642" s="190" t="s">
        <v>1358</v>
      </c>
      <c r="B642" s="76" t="s">
        <v>1609</v>
      </c>
      <c r="C642" s="190" t="s">
        <v>811</v>
      </c>
      <c r="D642" s="129">
        <v>1.022</v>
      </c>
      <c r="E642" s="190">
        <v>6712</v>
      </c>
      <c r="F642" s="114">
        <f t="shared" si="122"/>
        <v>6859.664</v>
      </c>
      <c r="G642" s="253">
        <v>6859.664</v>
      </c>
      <c r="H642" s="253">
        <f t="shared" si="123"/>
        <v>0</v>
      </c>
      <c r="I642" s="254">
        <v>46171</v>
      </c>
      <c r="J642" s="190" t="s">
        <v>441</v>
      </c>
      <c r="K642" s="190"/>
      <c r="L642" s="190"/>
    </row>
    <row r="643" hidden="1" customHeight="1" spans="1:12">
      <c r="A643" s="190" t="s">
        <v>1358</v>
      </c>
      <c r="B643" s="76" t="s">
        <v>1609</v>
      </c>
      <c r="C643" s="76" t="s">
        <v>1610</v>
      </c>
      <c r="D643" s="129">
        <v>1.026</v>
      </c>
      <c r="E643" s="190">
        <v>6760</v>
      </c>
      <c r="F643" s="114">
        <f t="shared" si="122"/>
        <v>6935.76</v>
      </c>
      <c r="G643" s="253">
        <v>6935.76</v>
      </c>
      <c r="H643" s="253">
        <f t="shared" si="123"/>
        <v>0</v>
      </c>
      <c r="I643" s="254">
        <v>46171</v>
      </c>
      <c r="J643" s="190" t="s">
        <v>441</v>
      </c>
      <c r="K643" s="190"/>
      <c r="L643" s="190"/>
    </row>
    <row r="644" customHeight="1" spans="1:12">
      <c r="A644" s="190" t="s">
        <v>93</v>
      </c>
      <c r="B644" s="76" t="s">
        <v>1096</v>
      </c>
      <c r="C644" s="76" t="s">
        <v>1587</v>
      </c>
      <c r="D644" s="129">
        <v>10.719</v>
      </c>
      <c r="E644" s="190">
        <v>6225</v>
      </c>
      <c r="F644" s="114">
        <f t="shared" si="122"/>
        <v>66725.775</v>
      </c>
      <c r="G644" s="253">
        <v>0</v>
      </c>
      <c r="H644" s="253">
        <f t="shared" si="123"/>
        <v>66725.775</v>
      </c>
      <c r="I644" s="254">
        <v>46208</v>
      </c>
      <c r="J644" s="190" t="s">
        <v>1563</v>
      </c>
      <c r="K644" s="190" t="s">
        <v>66</v>
      </c>
      <c r="L644" s="190"/>
    </row>
    <row r="645" customHeight="1" spans="1:12">
      <c r="A645" s="190" t="s">
        <v>93</v>
      </c>
      <c r="B645" s="76" t="s">
        <v>1611</v>
      </c>
      <c r="C645" s="76" t="s">
        <v>1587</v>
      </c>
      <c r="D645" s="129">
        <v>27.272</v>
      </c>
      <c r="E645" s="190">
        <v>6225</v>
      </c>
      <c r="F645" s="114">
        <f t="shared" si="122"/>
        <v>169768.2</v>
      </c>
      <c r="G645" s="253">
        <v>169768.2</v>
      </c>
      <c r="H645" s="253">
        <f t="shared" si="123"/>
        <v>0</v>
      </c>
      <c r="I645" s="254">
        <v>46208</v>
      </c>
      <c r="J645" s="190" t="s">
        <v>441</v>
      </c>
      <c r="K645" s="190" t="s">
        <v>66</v>
      </c>
      <c r="L645" s="190"/>
    </row>
    <row r="646" customHeight="1" spans="1:12">
      <c r="A646" s="190" t="s">
        <v>93</v>
      </c>
      <c r="B646" s="76" t="s">
        <v>1612</v>
      </c>
      <c r="C646" s="76" t="s">
        <v>1587</v>
      </c>
      <c r="D646" s="129">
        <v>76.029</v>
      </c>
      <c r="E646" s="190">
        <v>6225</v>
      </c>
      <c r="F646" s="114">
        <f t="shared" si="122"/>
        <v>473280.525</v>
      </c>
      <c r="G646" s="253">
        <f>323156.8+150123.725</f>
        <v>473280.525</v>
      </c>
      <c r="H646" s="253">
        <f t="shared" si="123"/>
        <v>0</v>
      </c>
      <c r="I646" s="254">
        <v>46208</v>
      </c>
      <c r="J646" s="190" t="s">
        <v>441</v>
      </c>
      <c r="K646" s="190" t="s">
        <v>66</v>
      </c>
      <c r="L646" s="190"/>
    </row>
    <row r="647" customHeight="1" spans="1:12">
      <c r="A647" s="190" t="s">
        <v>93</v>
      </c>
      <c r="B647" s="76" t="s">
        <v>1612</v>
      </c>
      <c r="C647" s="76" t="s">
        <v>1591</v>
      </c>
      <c r="D647" s="129">
        <v>60.214</v>
      </c>
      <c r="E647" s="190">
        <v>6135</v>
      </c>
      <c r="F647" s="114">
        <f t="shared" si="122"/>
        <v>369412.89</v>
      </c>
      <c r="G647" s="253">
        <v>369412.89</v>
      </c>
      <c r="H647" s="253">
        <f t="shared" si="123"/>
        <v>0</v>
      </c>
      <c r="I647" s="254">
        <v>46208</v>
      </c>
      <c r="J647" s="190" t="s">
        <v>441</v>
      </c>
      <c r="K647" s="190" t="s">
        <v>66</v>
      </c>
      <c r="L647" s="190"/>
    </row>
    <row r="648" customHeight="1" spans="1:12">
      <c r="A648" s="190" t="s">
        <v>93</v>
      </c>
      <c r="B648" s="76" t="s">
        <v>1613</v>
      </c>
      <c r="C648" s="76" t="s">
        <v>1071</v>
      </c>
      <c r="D648" s="129">
        <v>55.214</v>
      </c>
      <c r="E648" s="190">
        <v>6200</v>
      </c>
      <c r="F648" s="114">
        <f t="shared" ref="F648:F651" si="124">D648*E648</f>
        <v>342326.8</v>
      </c>
      <c r="G648" s="253">
        <f>294030+6467.20000000001+41829.6</f>
        <v>342326.8</v>
      </c>
      <c r="H648" s="253">
        <f t="shared" ref="H648:H651" si="125">F648-G648</f>
        <v>0</v>
      </c>
      <c r="I648" s="254">
        <v>46196</v>
      </c>
      <c r="J648" s="190" t="s">
        <v>441</v>
      </c>
      <c r="K648" s="76" t="s">
        <v>88</v>
      </c>
      <c r="L648" s="190"/>
    </row>
    <row r="649" customHeight="1" spans="1:12">
      <c r="A649" s="190" t="s">
        <v>93</v>
      </c>
      <c r="B649" s="76" t="s">
        <v>1613</v>
      </c>
      <c r="C649" s="76" t="s">
        <v>1073</v>
      </c>
      <c r="D649" s="129">
        <v>54.509</v>
      </c>
      <c r="E649" s="190">
        <v>6050</v>
      </c>
      <c r="F649" s="114">
        <f t="shared" si="124"/>
        <v>329779.45</v>
      </c>
      <c r="G649" s="253">
        <f>252200.4+77579.05</f>
        <v>329779.45</v>
      </c>
      <c r="H649" s="253">
        <f t="shared" si="125"/>
        <v>0</v>
      </c>
      <c r="I649" s="254">
        <v>46196</v>
      </c>
      <c r="J649" s="190" t="s">
        <v>441</v>
      </c>
      <c r="K649" s="76" t="s">
        <v>88</v>
      </c>
      <c r="L649" s="190"/>
    </row>
    <row r="650" customHeight="1" spans="1:12">
      <c r="A650" s="190" t="s">
        <v>93</v>
      </c>
      <c r="B650" s="76" t="s">
        <v>1613</v>
      </c>
      <c r="C650" s="76" t="s">
        <v>1102</v>
      </c>
      <c r="D650" s="129">
        <v>48.736</v>
      </c>
      <c r="E650" s="190">
        <v>6050</v>
      </c>
      <c r="F650" s="114">
        <f t="shared" si="124"/>
        <v>294852.8</v>
      </c>
      <c r="G650" s="253">
        <f>301320-6467.20000000001</f>
        <v>294852.8</v>
      </c>
      <c r="H650" s="253">
        <f t="shared" si="125"/>
        <v>0</v>
      </c>
      <c r="I650" s="254">
        <v>46196</v>
      </c>
      <c r="J650" s="190" t="s">
        <v>441</v>
      </c>
      <c r="K650" s="76" t="s">
        <v>88</v>
      </c>
      <c r="L650" s="190"/>
    </row>
    <row r="651" customHeight="1" spans="1:12">
      <c r="A651" s="190" t="s">
        <v>93</v>
      </c>
      <c r="B651" s="76" t="s">
        <v>1614</v>
      </c>
      <c r="C651" s="76" t="s">
        <v>1074</v>
      </c>
      <c r="D651" s="129">
        <v>1.657</v>
      </c>
      <c r="E651" s="190">
        <v>6050</v>
      </c>
      <c r="F651" s="114">
        <f t="shared" si="124"/>
        <v>10024.85</v>
      </c>
      <c r="G651" s="253">
        <v>10024.85</v>
      </c>
      <c r="H651" s="253">
        <f t="shared" si="125"/>
        <v>0</v>
      </c>
      <c r="I651" s="254">
        <v>46196</v>
      </c>
      <c r="J651" s="190" t="s">
        <v>441</v>
      </c>
      <c r="K651" s="76" t="s">
        <v>88</v>
      </c>
      <c r="L651" s="190"/>
    </row>
    <row r="652" customHeight="1" spans="1:12">
      <c r="A652" s="190" t="s">
        <v>93</v>
      </c>
      <c r="B652" s="76" t="s">
        <v>1613</v>
      </c>
      <c r="C652" s="76" t="s">
        <v>1074</v>
      </c>
      <c r="D652" s="129">
        <v>54.576</v>
      </c>
      <c r="E652" s="190">
        <v>6050</v>
      </c>
      <c r="F652" s="114">
        <f t="shared" ref="F652:F657" si="126">D652*E652</f>
        <v>330184.8</v>
      </c>
      <c r="G652" s="253">
        <f>294030+36154.8</f>
        <v>330184.8</v>
      </c>
      <c r="H652" s="253">
        <f t="shared" ref="H652:H679" si="127">F652-G652</f>
        <v>0</v>
      </c>
      <c r="I652" s="254">
        <v>46196</v>
      </c>
      <c r="J652" s="190" t="s">
        <v>441</v>
      </c>
      <c r="K652" s="76" t="s">
        <v>88</v>
      </c>
      <c r="L652" s="190"/>
    </row>
    <row r="653" customHeight="1" spans="1:12">
      <c r="A653" s="190" t="s">
        <v>93</v>
      </c>
      <c r="B653" s="76" t="s">
        <v>1615</v>
      </c>
      <c r="C653" s="76" t="s">
        <v>1103</v>
      </c>
      <c r="D653" s="129">
        <v>27.36</v>
      </c>
      <c r="E653" s="190">
        <v>6050</v>
      </c>
      <c r="F653" s="114">
        <f t="shared" si="126"/>
        <v>165528</v>
      </c>
      <c r="G653" s="253">
        <f>142155-77579.05-36154.8+137106.85</f>
        <v>165528</v>
      </c>
      <c r="H653" s="253">
        <f t="shared" si="127"/>
        <v>0</v>
      </c>
      <c r="I653" s="254">
        <v>46196</v>
      </c>
      <c r="J653" s="190" t="s">
        <v>441</v>
      </c>
      <c r="K653" s="76" t="s">
        <v>88</v>
      </c>
      <c r="L653" s="190"/>
    </row>
    <row r="654" customHeight="1" spans="1:12">
      <c r="A654" s="190" t="s">
        <v>93</v>
      </c>
      <c r="B654" s="76" t="s">
        <v>1616</v>
      </c>
      <c r="C654" s="76" t="s">
        <v>1103</v>
      </c>
      <c r="D654" s="129">
        <v>0.423</v>
      </c>
      <c r="E654" s="190">
        <v>6050</v>
      </c>
      <c r="F654" s="114">
        <f t="shared" si="126"/>
        <v>2559.15</v>
      </c>
      <c r="G654" s="253">
        <v>2559.15</v>
      </c>
      <c r="H654" s="253">
        <f t="shared" si="127"/>
        <v>0</v>
      </c>
      <c r="I654" s="254">
        <v>46196</v>
      </c>
      <c r="J654" s="190" t="s">
        <v>441</v>
      </c>
      <c r="K654" s="76" t="s">
        <v>88</v>
      </c>
      <c r="L654" s="190"/>
    </row>
    <row r="655" customHeight="1" spans="1:12">
      <c r="A655" s="190" t="s">
        <v>93</v>
      </c>
      <c r="B655" s="76" t="s">
        <v>1615</v>
      </c>
      <c r="C655" s="76" t="s">
        <v>1104</v>
      </c>
      <c r="D655" s="129">
        <v>55.224</v>
      </c>
      <c r="E655" s="190">
        <v>5795</v>
      </c>
      <c r="F655" s="114">
        <f t="shared" si="126"/>
        <v>320023.08</v>
      </c>
      <c r="G655" s="253">
        <f>281637+38386.08</f>
        <v>320023.08</v>
      </c>
      <c r="H655" s="253">
        <f t="shared" si="127"/>
        <v>0</v>
      </c>
      <c r="I655" s="254">
        <v>46184</v>
      </c>
      <c r="J655" s="190" t="s">
        <v>441</v>
      </c>
      <c r="K655" s="76" t="s">
        <v>66</v>
      </c>
      <c r="L655" s="190"/>
    </row>
    <row r="656" customHeight="1" spans="1:12">
      <c r="A656" s="190" t="s">
        <v>93</v>
      </c>
      <c r="B656" s="76" t="s">
        <v>1616</v>
      </c>
      <c r="C656" s="76" t="s">
        <v>1104</v>
      </c>
      <c r="D656" s="129">
        <v>1.828</v>
      </c>
      <c r="E656" s="190">
        <v>5795</v>
      </c>
      <c r="F656" s="114">
        <f t="shared" si="126"/>
        <v>10593.26</v>
      </c>
      <c r="G656" s="253">
        <v>10593.26</v>
      </c>
      <c r="H656" s="253">
        <f t="shared" si="127"/>
        <v>0</v>
      </c>
      <c r="I656" s="254">
        <v>46184</v>
      </c>
      <c r="J656" s="190" t="s">
        <v>441</v>
      </c>
      <c r="K656" s="76" t="s">
        <v>66</v>
      </c>
      <c r="L656" s="190"/>
    </row>
    <row r="657" hidden="1" customHeight="1" spans="1:12">
      <c r="A657" s="190" t="s">
        <v>142</v>
      </c>
      <c r="B657" s="76" t="s">
        <v>1106</v>
      </c>
      <c r="C657" s="76" t="s">
        <v>912</v>
      </c>
      <c r="D657" s="264">
        <v>1960400</v>
      </c>
      <c r="E657" s="373">
        <v>0.0184</v>
      </c>
      <c r="F657" s="393">
        <f t="shared" si="126"/>
        <v>36071.36</v>
      </c>
      <c r="G657" s="394">
        <f>7214.27+28857.09</f>
        <v>36071.36</v>
      </c>
      <c r="H657" s="253">
        <f t="shared" si="127"/>
        <v>0</v>
      </c>
      <c r="I657" s="254">
        <v>46152</v>
      </c>
      <c r="J657" s="190"/>
      <c r="K657" s="190"/>
      <c r="L657" s="190"/>
    </row>
    <row r="658" customHeight="1" spans="1:12">
      <c r="A658" s="190" t="s">
        <v>93</v>
      </c>
      <c r="B658" s="76" t="s">
        <v>1108</v>
      </c>
      <c r="C658" s="76" t="s">
        <v>685</v>
      </c>
      <c r="D658" s="264">
        <v>2097600</v>
      </c>
      <c r="E658" s="190">
        <v>0.23</v>
      </c>
      <c r="F658" s="114">
        <f>D658*E658*0.3</f>
        <v>144734.4</v>
      </c>
      <c r="G658" s="253">
        <v>144734.4</v>
      </c>
      <c r="H658" s="253">
        <f t="shared" si="127"/>
        <v>0</v>
      </c>
      <c r="I658" s="254">
        <v>46129</v>
      </c>
      <c r="J658" s="190" t="s">
        <v>441</v>
      </c>
      <c r="K658" s="190" t="s">
        <v>148</v>
      </c>
      <c r="L658" s="190"/>
    </row>
    <row r="659" customHeight="1" spans="1:12">
      <c r="A659" s="190" t="s">
        <v>93</v>
      </c>
      <c r="B659" s="76" t="s">
        <v>1108</v>
      </c>
      <c r="C659" s="76" t="s">
        <v>685</v>
      </c>
      <c r="D659" s="264">
        <v>2097600</v>
      </c>
      <c r="E659" s="190">
        <v>0.23</v>
      </c>
      <c r="F659" s="114">
        <f>D659*E659*0.7</f>
        <v>337713.6</v>
      </c>
      <c r="G659" s="253">
        <v>337713.6</v>
      </c>
      <c r="H659" s="253">
        <f t="shared" si="127"/>
        <v>0</v>
      </c>
      <c r="I659" s="254">
        <v>46152</v>
      </c>
      <c r="J659" s="190" t="s">
        <v>441</v>
      </c>
      <c r="K659" s="190" t="s">
        <v>148</v>
      </c>
      <c r="L659" s="190"/>
    </row>
    <row r="660" customHeight="1" spans="1:12">
      <c r="A660" s="190" t="s">
        <v>93</v>
      </c>
      <c r="B660" s="76" t="s">
        <v>967</v>
      </c>
      <c r="C660" s="76" t="s">
        <v>1617</v>
      </c>
      <c r="D660" s="190">
        <v>32</v>
      </c>
      <c r="E660" s="190">
        <v>50</v>
      </c>
      <c r="F660" s="114">
        <f t="shared" ref="F660:F678" si="128">D660*E660</f>
        <v>1600</v>
      </c>
      <c r="G660" s="253">
        <v>1600</v>
      </c>
      <c r="H660" s="253">
        <f t="shared" si="127"/>
        <v>0</v>
      </c>
      <c r="I660" s="254">
        <v>46058</v>
      </c>
      <c r="J660" s="190" t="s">
        <v>441</v>
      </c>
      <c r="K660" s="190"/>
      <c r="L660" s="190"/>
    </row>
    <row r="661" customHeight="1" spans="1:12">
      <c r="A661" s="190" t="s">
        <v>93</v>
      </c>
      <c r="B661" s="76" t="s">
        <v>967</v>
      </c>
      <c r="C661" s="76" t="s">
        <v>1618</v>
      </c>
      <c r="D661" s="190">
        <v>128</v>
      </c>
      <c r="E661" s="190">
        <v>50</v>
      </c>
      <c r="F661" s="114">
        <f t="shared" si="128"/>
        <v>6400</v>
      </c>
      <c r="G661" s="253">
        <v>6400</v>
      </c>
      <c r="H661" s="253">
        <f t="shared" si="127"/>
        <v>0</v>
      </c>
      <c r="I661" s="254">
        <v>46058</v>
      </c>
      <c r="J661" s="190" t="s">
        <v>441</v>
      </c>
      <c r="K661" s="190"/>
      <c r="L661" s="190"/>
    </row>
    <row r="662" customHeight="1" spans="1:12">
      <c r="A662" s="190" t="s">
        <v>93</v>
      </c>
      <c r="B662" s="190" t="s">
        <v>1110</v>
      </c>
      <c r="C662" s="76" t="s">
        <v>935</v>
      </c>
      <c r="D662" s="76">
        <v>2320000</v>
      </c>
      <c r="E662" s="190">
        <v>0.2329</v>
      </c>
      <c r="F662" s="114">
        <f t="shared" si="128"/>
        <v>540328</v>
      </c>
      <c r="G662" s="253">
        <v>540328</v>
      </c>
      <c r="H662" s="253">
        <f t="shared" si="127"/>
        <v>0</v>
      </c>
      <c r="I662" s="254">
        <v>46208</v>
      </c>
      <c r="J662" s="190" t="s">
        <v>441</v>
      </c>
      <c r="K662" s="190" t="s">
        <v>88</v>
      </c>
      <c r="L662" s="190"/>
    </row>
    <row r="663" customHeight="1" spans="1:12">
      <c r="A663" s="190" t="s">
        <v>93</v>
      </c>
      <c r="B663" s="76" t="s">
        <v>1112</v>
      </c>
      <c r="C663" s="265" t="s">
        <v>1619</v>
      </c>
      <c r="D663" s="129">
        <v>24.758</v>
      </c>
      <c r="E663" s="190">
        <v>30113</v>
      </c>
      <c r="F663" s="114">
        <f t="shared" si="128"/>
        <v>745537.654</v>
      </c>
      <c r="G663" s="253">
        <f>743580+1957.65</f>
        <v>745537.65</v>
      </c>
      <c r="H663" s="253">
        <f t="shared" si="127"/>
        <v>0.00399999995715916</v>
      </c>
      <c r="I663" s="254">
        <v>46172</v>
      </c>
      <c r="J663" s="190" t="s">
        <v>441</v>
      </c>
      <c r="K663" s="190" t="s">
        <v>1114</v>
      </c>
      <c r="L663" s="190"/>
    </row>
    <row r="664" hidden="1" customHeight="1" spans="1:12">
      <c r="A664" s="190" t="s">
        <v>1367</v>
      </c>
      <c r="B664" s="76" t="s">
        <v>1117</v>
      </c>
      <c r="C664" s="76" t="s">
        <v>471</v>
      </c>
      <c r="D664" s="190">
        <f>1960400*2</f>
        <v>3920800</v>
      </c>
      <c r="E664" s="190">
        <v>0.123</v>
      </c>
      <c r="F664" s="114">
        <f t="shared" si="128"/>
        <v>482258.4</v>
      </c>
      <c r="G664" s="253">
        <v>0</v>
      </c>
      <c r="H664" s="253">
        <f t="shared" si="127"/>
        <v>482258.4</v>
      </c>
      <c r="I664" s="254">
        <v>46170</v>
      </c>
      <c r="J664" s="190"/>
      <c r="K664" s="190"/>
      <c r="L664" s="190"/>
    </row>
    <row r="665" customHeight="1" spans="1:12">
      <c r="A665" s="190" t="s">
        <v>93</v>
      </c>
      <c r="B665" s="76" t="s">
        <v>1119</v>
      </c>
      <c r="C665" s="76" t="s">
        <v>1120</v>
      </c>
      <c r="D665" s="190">
        <v>696000</v>
      </c>
      <c r="E665" s="373">
        <v>0.224</v>
      </c>
      <c r="F665" s="114">
        <f t="shared" si="128"/>
        <v>155904</v>
      </c>
      <c r="G665" s="253">
        <v>155904</v>
      </c>
      <c r="H665" s="253">
        <f t="shared" si="127"/>
        <v>0</v>
      </c>
      <c r="I665" s="254">
        <v>46172</v>
      </c>
      <c r="J665" s="190" t="s">
        <v>441</v>
      </c>
      <c r="K665" s="190" t="s">
        <v>88</v>
      </c>
      <c r="L665" s="190"/>
    </row>
    <row r="666" customHeight="1" spans="1:12">
      <c r="A666" s="190" t="s">
        <v>93</v>
      </c>
      <c r="B666" s="76" t="s">
        <v>1119</v>
      </c>
      <c r="C666" s="76" t="s">
        <v>1122</v>
      </c>
      <c r="D666" s="190">
        <v>601920</v>
      </c>
      <c r="E666" s="373">
        <v>0.1695</v>
      </c>
      <c r="F666" s="114">
        <f t="shared" si="128"/>
        <v>102025.44</v>
      </c>
      <c r="G666" s="253">
        <v>102025.44</v>
      </c>
      <c r="H666" s="253">
        <f t="shared" si="127"/>
        <v>0</v>
      </c>
      <c r="I666" s="254">
        <v>46172</v>
      </c>
      <c r="J666" s="190" t="s">
        <v>441</v>
      </c>
      <c r="K666" s="190" t="s">
        <v>88</v>
      </c>
      <c r="L666" s="190"/>
    </row>
    <row r="667" customHeight="1" spans="1:12">
      <c r="A667" s="190" t="s">
        <v>93</v>
      </c>
      <c r="B667" s="76" t="s">
        <v>1124</v>
      </c>
      <c r="C667" s="76" t="s">
        <v>1620</v>
      </c>
      <c r="D667" s="190">
        <v>1160000</v>
      </c>
      <c r="E667" s="190">
        <v>0.2329</v>
      </c>
      <c r="F667" s="114">
        <f t="shared" si="128"/>
        <v>270164</v>
      </c>
      <c r="G667" s="253">
        <v>270164</v>
      </c>
      <c r="H667" s="253">
        <f t="shared" si="127"/>
        <v>0</v>
      </c>
      <c r="I667" s="254">
        <v>46172</v>
      </c>
      <c r="J667" s="190" t="s">
        <v>441</v>
      </c>
      <c r="K667" s="190" t="s">
        <v>88</v>
      </c>
      <c r="L667" s="190"/>
    </row>
    <row r="668" hidden="1" customHeight="1" spans="1:12">
      <c r="A668" s="190" t="s">
        <v>1367</v>
      </c>
      <c r="B668" s="76" t="s">
        <v>1621</v>
      </c>
      <c r="C668" s="76" t="s">
        <v>1128</v>
      </c>
      <c r="D668" s="190">
        <v>2320000</v>
      </c>
      <c r="E668" s="404">
        <v>0.22632</v>
      </c>
      <c r="F668" s="114">
        <f t="shared" si="128"/>
        <v>525062.4</v>
      </c>
      <c r="G668" s="253">
        <v>525062.4</v>
      </c>
      <c r="H668" s="253">
        <f t="shared" si="127"/>
        <v>0</v>
      </c>
      <c r="I668" s="254">
        <v>46233</v>
      </c>
      <c r="J668" s="190" t="s">
        <v>441</v>
      </c>
      <c r="K668" s="190" t="s">
        <v>88</v>
      </c>
      <c r="L668" s="190"/>
    </row>
    <row r="669" hidden="1" customHeight="1" spans="1:12">
      <c r="A669" s="190" t="s">
        <v>1367</v>
      </c>
      <c r="B669" s="76" t="s">
        <v>1622</v>
      </c>
      <c r="C669" s="76" t="s">
        <v>1128</v>
      </c>
      <c r="D669" s="190">
        <f>1160000*3</f>
        <v>3480000</v>
      </c>
      <c r="E669" s="190">
        <v>0.2275</v>
      </c>
      <c r="F669" s="114">
        <f t="shared" si="128"/>
        <v>791700</v>
      </c>
      <c r="G669" s="253">
        <f>1055600-263900</f>
        <v>791700</v>
      </c>
      <c r="H669" s="253">
        <f t="shared" si="127"/>
        <v>0</v>
      </c>
      <c r="I669" s="254">
        <v>46233</v>
      </c>
      <c r="J669" s="190" t="s">
        <v>441</v>
      </c>
      <c r="K669" s="190" t="s">
        <v>88</v>
      </c>
      <c r="L669" s="190"/>
    </row>
    <row r="670" hidden="1" customHeight="1" spans="1:12">
      <c r="A670" s="190" t="s">
        <v>1367</v>
      </c>
      <c r="B670" s="76" t="s">
        <v>1623</v>
      </c>
      <c r="C670" s="76" t="s">
        <v>1128</v>
      </c>
      <c r="D670" s="291">
        <v>2262000</v>
      </c>
      <c r="E670" s="190">
        <v>0.2224</v>
      </c>
      <c r="F670" s="114">
        <f t="shared" si="128"/>
        <v>503068.8</v>
      </c>
      <c r="G670" s="253">
        <f>13738.0300000001+489330.77</f>
        <v>503068.8</v>
      </c>
      <c r="H670" s="253">
        <f t="shared" si="127"/>
        <v>0</v>
      </c>
      <c r="I670" s="254"/>
      <c r="J670" s="190"/>
      <c r="K670" s="190" t="s">
        <v>88</v>
      </c>
      <c r="L670" s="190"/>
    </row>
    <row r="671" hidden="1" customHeight="1" spans="1:12">
      <c r="A671" s="190" t="s">
        <v>1367</v>
      </c>
      <c r="B671" s="76" t="s">
        <v>1624</v>
      </c>
      <c r="C671" s="76" t="s">
        <v>1128</v>
      </c>
      <c r="D671" s="190">
        <f>1160000*3</f>
        <v>3480000</v>
      </c>
      <c r="E671" s="190">
        <v>0.2224</v>
      </c>
      <c r="F671" s="114">
        <f t="shared" si="128"/>
        <v>773952</v>
      </c>
      <c r="G671" s="253">
        <v>0</v>
      </c>
      <c r="H671" s="253">
        <f t="shared" si="127"/>
        <v>773952</v>
      </c>
      <c r="I671" s="254"/>
      <c r="J671" s="190"/>
      <c r="K671" s="190" t="s">
        <v>88</v>
      </c>
      <c r="L671" s="190"/>
    </row>
    <row r="672" customHeight="1" spans="1:12">
      <c r="A672" s="190" t="s">
        <v>93</v>
      </c>
      <c r="B672" s="76" t="s">
        <v>1131</v>
      </c>
      <c r="C672" s="76" t="s">
        <v>699</v>
      </c>
      <c r="D672" s="304">
        <v>10.139</v>
      </c>
      <c r="E672" s="190">
        <v>5665</v>
      </c>
      <c r="F672" s="114">
        <f t="shared" si="128"/>
        <v>57437.435</v>
      </c>
      <c r="G672" s="253">
        <v>57437.435</v>
      </c>
      <c r="H672" s="253">
        <f t="shared" si="127"/>
        <v>0</v>
      </c>
      <c r="I672" s="254">
        <v>46198</v>
      </c>
      <c r="J672" s="190"/>
      <c r="K672" s="190" t="s">
        <v>66</v>
      </c>
      <c r="L672" s="190"/>
    </row>
    <row r="673" customHeight="1" spans="1:13">
      <c r="A673" s="190" t="s">
        <v>93</v>
      </c>
      <c r="B673" s="76" t="s">
        <v>1131</v>
      </c>
      <c r="C673" s="76" t="s">
        <v>705</v>
      </c>
      <c r="D673" s="304">
        <v>16.997</v>
      </c>
      <c r="E673" s="190">
        <v>5665</v>
      </c>
      <c r="F673" s="114">
        <f t="shared" si="128"/>
        <v>96288.005</v>
      </c>
      <c r="G673" s="253">
        <v>42562.565</v>
      </c>
      <c r="H673" s="253">
        <f t="shared" si="127"/>
        <v>53725.44</v>
      </c>
      <c r="I673" s="254">
        <v>46198</v>
      </c>
      <c r="J673" s="190"/>
      <c r="K673" s="190" t="s">
        <v>66</v>
      </c>
      <c r="L673" s="190"/>
    </row>
    <row r="674" customHeight="1" spans="1:13">
      <c r="A674" s="190" t="s">
        <v>93</v>
      </c>
      <c r="B674" s="76" t="s">
        <v>1625</v>
      </c>
      <c r="C674" s="76" t="s">
        <v>705</v>
      </c>
      <c r="D674" s="304">
        <v>12.417</v>
      </c>
      <c r="E674" s="190">
        <v>5740</v>
      </c>
      <c r="F674" s="114">
        <f t="shared" si="128"/>
        <v>71273.58</v>
      </c>
      <c r="G674" s="253">
        <v>71273.58</v>
      </c>
      <c r="H674" s="253">
        <f t="shared" si="127"/>
        <v>0</v>
      </c>
      <c r="I674" s="254">
        <v>46160</v>
      </c>
      <c r="J674" s="190" t="s">
        <v>441</v>
      </c>
      <c r="K674" s="190" t="s">
        <v>66</v>
      </c>
      <c r="L674" s="190"/>
    </row>
    <row r="675" customHeight="1" spans="1:13">
      <c r="A675" s="190" t="s">
        <v>93</v>
      </c>
      <c r="B675" s="76" t="s">
        <v>1625</v>
      </c>
      <c r="C675" s="76" t="s">
        <v>1136</v>
      </c>
      <c r="D675" s="304">
        <v>14.579</v>
      </c>
      <c r="E675" s="190">
        <v>5740</v>
      </c>
      <c r="F675" s="114">
        <f t="shared" si="128"/>
        <v>83683.46</v>
      </c>
      <c r="G675" s="253">
        <v>83683.46</v>
      </c>
      <c r="H675" s="253">
        <f t="shared" si="127"/>
        <v>0</v>
      </c>
      <c r="I675" s="254">
        <v>46160</v>
      </c>
      <c r="J675" s="190" t="s">
        <v>441</v>
      </c>
      <c r="K675" s="190" t="s">
        <v>66</v>
      </c>
      <c r="L675" s="190"/>
    </row>
    <row r="676" customHeight="1" spans="1:13">
      <c r="A676" s="190" t="s">
        <v>93</v>
      </c>
      <c r="B676" s="76" t="s">
        <v>1134</v>
      </c>
      <c r="C676" s="76" t="s">
        <v>705</v>
      </c>
      <c r="D676" s="304">
        <f>20-D674</f>
        <v>7.583</v>
      </c>
      <c r="E676" s="190">
        <v>5740</v>
      </c>
      <c r="F676" s="114">
        <f t="shared" si="128"/>
        <v>43526.42</v>
      </c>
      <c r="G676" s="253">
        <v>0</v>
      </c>
      <c r="H676" s="253">
        <f t="shared" si="127"/>
        <v>43526.42</v>
      </c>
      <c r="I676" s="254">
        <v>46203</v>
      </c>
      <c r="J676" s="190"/>
      <c r="K676" s="190" t="s">
        <v>66</v>
      </c>
      <c r="L676" s="190"/>
    </row>
    <row r="677" customHeight="1" spans="1:13">
      <c r="A677" s="190" t="s">
        <v>93</v>
      </c>
      <c r="B677" s="76" t="s">
        <v>1134</v>
      </c>
      <c r="C677" s="76" t="s">
        <v>1136</v>
      </c>
      <c r="D677" s="304">
        <v>1.566</v>
      </c>
      <c r="E677" s="190">
        <v>5740</v>
      </c>
      <c r="F677" s="114">
        <f t="shared" si="128"/>
        <v>8988.84</v>
      </c>
      <c r="G677" s="253">
        <v>22.9599999999919</v>
      </c>
      <c r="H677" s="253">
        <f t="shared" si="127"/>
        <v>8965.88000000001</v>
      </c>
      <c r="I677" s="254">
        <v>46160</v>
      </c>
      <c r="J677" s="190" t="s">
        <v>1563</v>
      </c>
      <c r="K677" s="190" t="s">
        <v>66</v>
      </c>
      <c r="L677" s="190"/>
    </row>
    <row r="678" customHeight="1" spans="1:13">
      <c r="A678" s="190" t="s">
        <v>93</v>
      </c>
      <c r="B678" s="76" t="s">
        <v>1626</v>
      </c>
      <c r="C678" s="76" t="s">
        <v>1139</v>
      </c>
      <c r="D678" s="129">
        <v>19.526</v>
      </c>
      <c r="E678" s="190">
        <v>6275</v>
      </c>
      <c r="F678" s="114">
        <f t="shared" si="128"/>
        <v>122525.65</v>
      </c>
      <c r="G678" s="114">
        <v>122525.65</v>
      </c>
      <c r="H678" s="253">
        <f t="shared" si="127"/>
        <v>0</v>
      </c>
      <c r="I678" s="254">
        <v>46214</v>
      </c>
      <c r="J678" s="190" t="s">
        <v>441</v>
      </c>
      <c r="K678" s="190" t="s">
        <v>1140</v>
      </c>
      <c r="L678" s="190"/>
    </row>
    <row r="679" customHeight="1" spans="1:13">
      <c r="A679" s="190" t="s">
        <v>93</v>
      </c>
      <c r="B679" s="76" t="s">
        <v>1627</v>
      </c>
      <c r="C679" s="76" t="s">
        <v>1139</v>
      </c>
      <c r="D679" s="129">
        <v>31.542</v>
      </c>
      <c r="E679" s="190">
        <v>6275</v>
      </c>
      <c r="F679" s="114">
        <f t="shared" ref="F679:F684" si="129">D679*E679</f>
        <v>197926.05</v>
      </c>
      <c r="G679" s="253">
        <f>338850-140923.95</f>
        <v>197926.05</v>
      </c>
      <c r="H679" s="253">
        <f t="shared" si="127"/>
        <v>0</v>
      </c>
      <c r="I679" s="254">
        <v>46214</v>
      </c>
      <c r="J679" s="190" t="s">
        <v>441</v>
      </c>
      <c r="K679" s="190" t="s">
        <v>1140</v>
      </c>
      <c r="L679" s="190"/>
    </row>
    <row r="680" customHeight="1" spans="1:13">
      <c r="A680" s="190" t="s">
        <v>93</v>
      </c>
      <c r="B680" s="76" t="s">
        <v>1627</v>
      </c>
      <c r="C680" s="76" t="s">
        <v>1142</v>
      </c>
      <c r="D680" s="129">
        <v>49.284</v>
      </c>
      <c r="E680" s="190">
        <v>6190</v>
      </c>
      <c r="F680" s="114">
        <f t="shared" si="129"/>
        <v>305067.96</v>
      </c>
      <c r="G680" s="253">
        <f>334260-29192.04</f>
        <v>305067.96</v>
      </c>
      <c r="H680" s="253">
        <f t="shared" ref="H680:H686" si="130">F680-G680</f>
        <v>0</v>
      </c>
      <c r="I680" s="254">
        <v>46214</v>
      </c>
      <c r="J680" s="190" t="s">
        <v>441</v>
      </c>
      <c r="K680" s="190" t="s">
        <v>1140</v>
      </c>
      <c r="L680" s="190"/>
    </row>
    <row r="681" customHeight="1" spans="1:13">
      <c r="A681" s="190" t="s">
        <v>93</v>
      </c>
      <c r="B681" s="76" t="s">
        <v>1626</v>
      </c>
      <c r="C681" s="76" t="s">
        <v>1143</v>
      </c>
      <c r="D681" s="129">
        <v>79.928</v>
      </c>
      <c r="E681" s="190">
        <v>6190</v>
      </c>
      <c r="F681" s="114">
        <f t="shared" si="129"/>
        <v>494754.32</v>
      </c>
      <c r="G681" s="114">
        <v>494754.32</v>
      </c>
      <c r="H681" s="253">
        <f t="shared" si="130"/>
        <v>0</v>
      </c>
      <c r="I681" s="254">
        <v>46214</v>
      </c>
      <c r="J681" s="190" t="s">
        <v>441</v>
      </c>
      <c r="K681" s="190" t="s">
        <v>1140</v>
      </c>
      <c r="L681" s="190"/>
    </row>
    <row r="682" customHeight="1" spans="1:13">
      <c r="A682" s="190" t="s">
        <v>93</v>
      </c>
      <c r="B682" s="76" t="s">
        <v>1627</v>
      </c>
      <c r="C682" s="76" t="s">
        <v>1144</v>
      </c>
      <c r="D682" s="129">
        <v>31.92</v>
      </c>
      <c r="E682" s="190">
        <v>6190</v>
      </c>
      <c r="F682" s="114">
        <f t="shared" si="129"/>
        <v>197584.8</v>
      </c>
      <c r="G682" s="253">
        <f>122525.65+75059.15</f>
        <v>197584.8</v>
      </c>
      <c r="H682" s="253">
        <f t="shared" si="130"/>
        <v>0</v>
      </c>
      <c r="I682" s="254">
        <v>46214</v>
      </c>
      <c r="J682" s="190" t="s">
        <v>441</v>
      </c>
      <c r="K682" s="190" t="s">
        <v>1140</v>
      </c>
      <c r="L682" s="190"/>
    </row>
    <row r="683" customHeight="1" spans="1:13">
      <c r="A683" s="190" t="s">
        <v>93</v>
      </c>
      <c r="B683" s="76" t="s">
        <v>1627</v>
      </c>
      <c r="C683" s="76" t="s">
        <v>1145</v>
      </c>
      <c r="D683" s="405">
        <v>102.466</v>
      </c>
      <c r="E683" s="190">
        <v>6015</v>
      </c>
      <c r="F683" s="114">
        <f t="shared" si="129"/>
        <v>616332.99</v>
      </c>
      <c r="G683" s="253">
        <f>134325.31+482007.68</f>
        <v>616332.99</v>
      </c>
      <c r="H683" s="253">
        <f t="shared" si="130"/>
        <v>0</v>
      </c>
      <c r="I683" s="254">
        <v>46214</v>
      </c>
      <c r="J683" s="190" t="s">
        <v>441</v>
      </c>
      <c r="K683" s="190" t="s">
        <v>1140</v>
      </c>
      <c r="L683" s="190"/>
    </row>
    <row r="684" hidden="1" customHeight="1" spans="1:13">
      <c r="A684" s="190" t="s">
        <v>1358</v>
      </c>
      <c r="B684" s="190" t="s">
        <v>1221</v>
      </c>
      <c r="C684" s="269" t="s">
        <v>1157</v>
      </c>
      <c r="D684" s="406">
        <v>27.522</v>
      </c>
      <c r="E684" s="269">
        <v>8553</v>
      </c>
      <c r="F684" s="114">
        <f t="shared" si="129"/>
        <v>235395.666</v>
      </c>
      <c r="G684" s="253">
        <v>0</v>
      </c>
      <c r="H684" s="253">
        <f t="shared" si="130"/>
        <v>235395.666</v>
      </c>
      <c r="I684" s="254">
        <v>46229</v>
      </c>
      <c r="J684" s="190" t="s">
        <v>441</v>
      </c>
      <c r="K684" s="190" t="s">
        <v>88</v>
      </c>
      <c r="L684" s="190"/>
    </row>
    <row r="685" hidden="1" customHeight="1" spans="1:13">
      <c r="A685" s="190" t="s">
        <v>1358</v>
      </c>
      <c r="B685" s="190" t="s">
        <v>1628</v>
      </c>
      <c r="C685" s="190" t="s">
        <v>1147</v>
      </c>
      <c r="D685" s="304">
        <v>16.011</v>
      </c>
      <c r="E685" s="190">
        <v>5704</v>
      </c>
      <c r="F685" s="114">
        <f t="shared" ref="F685:F691" si="131">D685*E685</f>
        <v>91326.744</v>
      </c>
      <c r="G685" s="253">
        <v>0</v>
      </c>
      <c r="H685" s="253">
        <f t="shared" si="130"/>
        <v>91326.744</v>
      </c>
      <c r="I685" s="254">
        <v>46229</v>
      </c>
      <c r="J685" s="190" t="s">
        <v>441</v>
      </c>
      <c r="K685" s="190" t="s">
        <v>88</v>
      </c>
      <c r="L685" s="190"/>
    </row>
    <row r="686" hidden="1" customHeight="1" spans="1:13">
      <c r="A686" s="190" t="s">
        <v>1358</v>
      </c>
      <c r="B686" s="190" t="s">
        <v>1629</v>
      </c>
      <c r="C686" s="269" t="s">
        <v>1149</v>
      </c>
      <c r="D686" s="406">
        <v>25.772</v>
      </c>
      <c r="E686" s="269">
        <v>5753</v>
      </c>
      <c r="F686" s="114">
        <f t="shared" si="131"/>
        <v>148266.316</v>
      </c>
      <c r="G686" s="253">
        <v>0</v>
      </c>
      <c r="H686" s="253">
        <f t="shared" si="130"/>
        <v>148266.316</v>
      </c>
      <c r="I686" s="254">
        <v>46229</v>
      </c>
      <c r="J686" s="190" t="s">
        <v>441</v>
      </c>
      <c r="K686" s="190" t="s">
        <v>88</v>
      </c>
      <c r="L686" s="190"/>
    </row>
    <row r="687" hidden="1" customHeight="1" spans="1:13">
      <c r="A687" s="190" t="s">
        <v>1358</v>
      </c>
      <c r="B687" s="190" t="s">
        <v>1630</v>
      </c>
      <c r="C687" s="269" t="s">
        <v>1149</v>
      </c>
      <c r="D687" s="406">
        <v>25.83</v>
      </c>
      <c r="E687" s="269">
        <v>5753</v>
      </c>
      <c r="F687" s="114">
        <f t="shared" si="131"/>
        <v>148599.99</v>
      </c>
      <c r="G687" s="253">
        <v>0</v>
      </c>
      <c r="H687" s="253">
        <f t="shared" ref="H687:H691" si="132">F687-G687</f>
        <v>148599.99</v>
      </c>
      <c r="I687" s="254">
        <v>46229</v>
      </c>
      <c r="J687" s="190" t="s">
        <v>441</v>
      </c>
      <c r="K687" s="190" t="s">
        <v>88</v>
      </c>
      <c r="L687" s="190"/>
    </row>
    <row r="688" hidden="1" customHeight="1" spans="1:13">
      <c r="A688" s="190" t="s">
        <v>1358</v>
      </c>
      <c r="B688" s="190" t="s">
        <v>1631</v>
      </c>
      <c r="C688" s="269" t="s">
        <v>1150</v>
      </c>
      <c r="D688" s="406">
        <v>22.446</v>
      </c>
      <c r="E688" s="269">
        <v>5782</v>
      </c>
      <c r="F688" s="114">
        <f t="shared" si="131"/>
        <v>129782.772</v>
      </c>
      <c r="G688" s="253">
        <v>0</v>
      </c>
      <c r="H688" s="253">
        <f t="shared" si="132"/>
        <v>129782.772</v>
      </c>
      <c r="I688" s="254">
        <v>46229</v>
      </c>
      <c r="J688" s="190" t="s">
        <v>441</v>
      </c>
      <c r="K688" s="190" t="s">
        <v>88</v>
      </c>
      <c r="L688" s="400" t="s">
        <v>1560</v>
      </c>
      <c r="M688" s="401"/>
    </row>
    <row r="689" hidden="1" customHeight="1" spans="1:12">
      <c r="A689" s="190" t="s">
        <v>1358</v>
      </c>
      <c r="B689" s="190" t="s">
        <v>1632</v>
      </c>
      <c r="C689" s="269" t="s">
        <v>1151</v>
      </c>
      <c r="D689" s="406">
        <v>25.687</v>
      </c>
      <c r="E689" s="269">
        <v>5782</v>
      </c>
      <c r="F689" s="114">
        <f t="shared" si="131"/>
        <v>148522.234</v>
      </c>
      <c r="G689" s="253">
        <v>0</v>
      </c>
      <c r="H689" s="253">
        <f t="shared" si="132"/>
        <v>148522.234</v>
      </c>
      <c r="I689" s="254">
        <v>46229</v>
      </c>
      <c r="J689" s="190" t="s">
        <v>441</v>
      </c>
      <c r="K689" s="190" t="s">
        <v>88</v>
      </c>
      <c r="L689" s="190"/>
    </row>
    <row r="690" hidden="1" customHeight="1" spans="1:12">
      <c r="A690" s="190" t="s">
        <v>1358</v>
      </c>
      <c r="B690" s="190" t="s">
        <v>1633</v>
      </c>
      <c r="C690" s="269" t="s">
        <v>1151</v>
      </c>
      <c r="D690" s="406">
        <v>24.747</v>
      </c>
      <c r="E690" s="269">
        <v>5782</v>
      </c>
      <c r="F690" s="114">
        <f t="shared" si="131"/>
        <v>143087.154</v>
      </c>
      <c r="G690" s="253">
        <v>0</v>
      </c>
      <c r="H690" s="253">
        <f t="shared" si="132"/>
        <v>143087.154</v>
      </c>
      <c r="I690" s="254">
        <v>46229</v>
      </c>
      <c r="J690" s="190" t="s">
        <v>441</v>
      </c>
      <c r="K690" s="190" t="s">
        <v>88</v>
      </c>
      <c r="L690" s="190"/>
    </row>
    <row r="691" hidden="1" customHeight="1" spans="1:12">
      <c r="A691" s="190" t="s">
        <v>1358</v>
      </c>
      <c r="B691" s="190" t="s">
        <v>1628</v>
      </c>
      <c r="C691" s="269" t="s">
        <v>1153</v>
      </c>
      <c r="D691" s="406">
        <v>10.787</v>
      </c>
      <c r="E691" s="269">
        <v>5586</v>
      </c>
      <c r="F691" s="114">
        <f t="shared" si="131"/>
        <v>60256.182</v>
      </c>
      <c r="G691" s="253">
        <v>0</v>
      </c>
      <c r="H691" s="253">
        <f t="shared" si="132"/>
        <v>60256.182</v>
      </c>
      <c r="I691" s="254">
        <v>46229</v>
      </c>
      <c r="J691" s="190" t="s">
        <v>441</v>
      </c>
      <c r="K691" s="190"/>
      <c r="L691" s="190"/>
    </row>
    <row r="692" hidden="1" customHeight="1" spans="1:12">
      <c r="A692" s="190" t="s">
        <v>1358</v>
      </c>
      <c r="B692" s="190" t="s">
        <v>1634</v>
      </c>
      <c r="C692" s="269" t="s">
        <v>1153</v>
      </c>
      <c r="D692" s="406">
        <v>26.99</v>
      </c>
      <c r="E692" s="269">
        <v>5586</v>
      </c>
      <c r="F692" s="114">
        <f t="shared" ref="F692:F699" si="133">D692*E692</f>
        <v>150766.14</v>
      </c>
      <c r="G692" s="253">
        <v>0</v>
      </c>
      <c r="H692" s="253">
        <f t="shared" ref="H692:H699" si="134">F692-G692</f>
        <v>150766.14</v>
      </c>
      <c r="I692" s="254">
        <v>46229</v>
      </c>
      <c r="J692" s="190" t="s">
        <v>441</v>
      </c>
      <c r="K692" s="190" t="s">
        <v>88</v>
      </c>
      <c r="L692" s="190"/>
    </row>
    <row r="693" hidden="1" customHeight="1" spans="1:12">
      <c r="A693" s="190" t="s">
        <v>1358</v>
      </c>
      <c r="B693" s="190" t="s">
        <v>1635</v>
      </c>
      <c r="C693" s="269" t="s">
        <v>1153</v>
      </c>
      <c r="D693" s="406">
        <v>8.566</v>
      </c>
      <c r="E693" s="269">
        <v>5586</v>
      </c>
      <c r="F693" s="114">
        <f t="shared" si="133"/>
        <v>47849.676</v>
      </c>
      <c r="G693" s="253">
        <v>0</v>
      </c>
      <c r="H693" s="253">
        <f t="shared" si="134"/>
        <v>47849.676</v>
      </c>
      <c r="I693" s="254">
        <v>46229</v>
      </c>
      <c r="J693" s="190" t="s">
        <v>441</v>
      </c>
      <c r="K693" s="190" t="s">
        <v>88</v>
      </c>
      <c r="L693" s="190"/>
    </row>
    <row r="694" hidden="1" customHeight="1" spans="1:12">
      <c r="A694" s="190" t="s">
        <v>1358</v>
      </c>
      <c r="B694" s="190" t="s">
        <v>1636</v>
      </c>
      <c r="C694" s="269" t="s">
        <v>1154</v>
      </c>
      <c r="D694" s="406">
        <v>11.476</v>
      </c>
      <c r="E694" s="269">
        <v>6712</v>
      </c>
      <c r="F694" s="114">
        <f t="shared" si="133"/>
        <v>77026.912</v>
      </c>
      <c r="G694" s="253">
        <v>0</v>
      </c>
      <c r="H694" s="253">
        <f t="shared" si="134"/>
        <v>77026.912</v>
      </c>
      <c r="I694" s="254">
        <v>46229</v>
      </c>
      <c r="J694" s="190" t="s">
        <v>441</v>
      </c>
      <c r="K694" s="190" t="s">
        <v>88</v>
      </c>
      <c r="L694" s="190"/>
    </row>
    <row r="695" hidden="1" customHeight="1" spans="1:12">
      <c r="A695" s="190" t="s">
        <v>1358</v>
      </c>
      <c r="B695" s="190" t="s">
        <v>1636</v>
      </c>
      <c r="C695" s="269" t="s">
        <v>1156</v>
      </c>
      <c r="D695" s="406">
        <v>15.522</v>
      </c>
      <c r="E695" s="269">
        <v>6712</v>
      </c>
      <c r="F695" s="114">
        <f t="shared" si="133"/>
        <v>104183.664</v>
      </c>
      <c r="G695" s="253">
        <v>0</v>
      </c>
      <c r="H695" s="253">
        <f t="shared" si="134"/>
        <v>104183.664</v>
      </c>
      <c r="I695" s="254">
        <v>46229</v>
      </c>
      <c r="J695" s="190" t="s">
        <v>441</v>
      </c>
      <c r="K695" s="190" t="s">
        <v>88</v>
      </c>
      <c r="L695" s="190"/>
    </row>
    <row r="696" hidden="1" customHeight="1" spans="1:12">
      <c r="A696" s="190" t="s">
        <v>1358</v>
      </c>
      <c r="B696" s="190" t="s">
        <v>1636</v>
      </c>
      <c r="C696" s="269" t="s">
        <v>1637</v>
      </c>
      <c r="D696" s="406">
        <v>0.242</v>
      </c>
      <c r="E696" s="269">
        <v>6712</v>
      </c>
      <c r="F696" s="114">
        <f t="shared" si="133"/>
        <v>1624.304</v>
      </c>
      <c r="G696" s="253">
        <v>0</v>
      </c>
      <c r="H696" s="253">
        <f t="shared" si="134"/>
        <v>1624.304</v>
      </c>
      <c r="I696" s="254">
        <v>46229</v>
      </c>
      <c r="J696" s="190" t="s">
        <v>441</v>
      </c>
      <c r="K696" s="190" t="s">
        <v>88</v>
      </c>
      <c r="L696" s="190"/>
    </row>
    <row r="697" hidden="1" customHeight="1" spans="1:12">
      <c r="A697" s="190" t="s">
        <v>1358</v>
      </c>
      <c r="B697" s="190" t="s">
        <v>1636</v>
      </c>
      <c r="C697" s="269" t="s">
        <v>1638</v>
      </c>
      <c r="D697" s="406">
        <v>0.235</v>
      </c>
      <c r="E697" s="269">
        <v>6773</v>
      </c>
      <c r="F697" s="114">
        <f t="shared" si="133"/>
        <v>1591.655</v>
      </c>
      <c r="G697" s="253">
        <v>0</v>
      </c>
      <c r="H697" s="253">
        <f t="shared" si="134"/>
        <v>1591.655</v>
      </c>
      <c r="I697" s="254">
        <v>46229</v>
      </c>
      <c r="J697" s="190" t="s">
        <v>441</v>
      </c>
      <c r="K697" s="190" t="s">
        <v>88</v>
      </c>
      <c r="L697" s="190"/>
    </row>
    <row r="698" hidden="1" customHeight="1" spans="1:12">
      <c r="A698" s="190" t="s">
        <v>1358</v>
      </c>
      <c r="B698" s="190" t="s">
        <v>1146</v>
      </c>
      <c r="C698" s="269" t="s">
        <v>1156</v>
      </c>
      <c r="D698" s="406">
        <v>1.474</v>
      </c>
      <c r="E698" s="269">
        <v>6712</v>
      </c>
      <c r="F698" s="114">
        <f t="shared" si="133"/>
        <v>9893.488</v>
      </c>
      <c r="G698" s="253">
        <v>0</v>
      </c>
      <c r="H698" s="253">
        <f t="shared" si="134"/>
        <v>9893.488</v>
      </c>
      <c r="I698" s="254">
        <v>46229</v>
      </c>
      <c r="J698" s="190" t="s">
        <v>1563</v>
      </c>
      <c r="K698" s="190" t="s">
        <v>88</v>
      </c>
      <c r="L698" s="190"/>
    </row>
    <row r="699" hidden="1" customHeight="1" spans="1:12">
      <c r="A699" s="190" t="s">
        <v>1358</v>
      </c>
      <c r="B699" s="190" t="s">
        <v>1639</v>
      </c>
      <c r="C699" s="269" t="s">
        <v>1156</v>
      </c>
      <c r="D699" s="406">
        <v>4.533</v>
      </c>
      <c r="E699" s="269">
        <v>6712</v>
      </c>
      <c r="F699" s="114">
        <f t="shared" si="133"/>
        <v>30425.496</v>
      </c>
      <c r="G699" s="253">
        <v>0</v>
      </c>
      <c r="H699" s="253">
        <f t="shared" si="134"/>
        <v>30425.496</v>
      </c>
      <c r="I699" s="254">
        <v>46229</v>
      </c>
      <c r="J699" s="190" t="s">
        <v>441</v>
      </c>
      <c r="K699" s="190" t="s">
        <v>88</v>
      </c>
      <c r="L699" s="190"/>
    </row>
    <row r="700" hidden="1" customHeight="1" spans="1:12">
      <c r="A700" s="190" t="s">
        <v>1358</v>
      </c>
      <c r="B700" s="190" t="s">
        <v>1639</v>
      </c>
      <c r="C700" s="269" t="s">
        <v>1157</v>
      </c>
      <c r="D700" s="406">
        <v>1.085</v>
      </c>
      <c r="E700" s="269">
        <v>6773</v>
      </c>
      <c r="F700" s="114">
        <f t="shared" ref="F700:F705" si="135">D700*E700</f>
        <v>7348.705</v>
      </c>
      <c r="G700" s="253">
        <v>0</v>
      </c>
      <c r="H700" s="253">
        <f t="shared" ref="H700:H744" si="136">F700-G700</f>
        <v>7348.705</v>
      </c>
      <c r="I700" s="254">
        <v>46229</v>
      </c>
      <c r="J700" s="190" t="s">
        <v>441</v>
      </c>
      <c r="K700" s="190" t="s">
        <v>88</v>
      </c>
      <c r="L700" s="190"/>
    </row>
    <row r="701" hidden="1" customHeight="1" spans="1:12">
      <c r="A701" s="190" t="s">
        <v>1358</v>
      </c>
      <c r="B701" s="190" t="s">
        <v>1640</v>
      </c>
      <c r="C701" s="269" t="s">
        <v>1157</v>
      </c>
      <c r="D701" s="406">
        <v>21.406</v>
      </c>
      <c r="E701" s="269">
        <v>6773</v>
      </c>
      <c r="F701" s="114">
        <f t="shared" si="135"/>
        <v>144982.838</v>
      </c>
      <c r="G701" s="253">
        <v>0</v>
      </c>
      <c r="H701" s="253">
        <f t="shared" si="136"/>
        <v>144982.838</v>
      </c>
      <c r="I701" s="254">
        <v>46225</v>
      </c>
      <c r="J701" s="190" t="s">
        <v>441</v>
      </c>
      <c r="K701" s="190" t="s">
        <v>88</v>
      </c>
      <c r="L701" s="293"/>
    </row>
    <row r="702" hidden="1" customHeight="1" spans="1:12">
      <c r="A702" s="190" t="s">
        <v>1358</v>
      </c>
      <c r="B702" s="190" t="s">
        <v>1641</v>
      </c>
      <c r="C702" s="269" t="s">
        <v>1157</v>
      </c>
      <c r="D702" s="407">
        <v>21.406</v>
      </c>
      <c r="E702" s="269">
        <v>6773</v>
      </c>
      <c r="F702" s="114">
        <f t="shared" si="135"/>
        <v>144982.838</v>
      </c>
      <c r="G702" s="253">
        <v>144982.838</v>
      </c>
      <c r="H702" s="253">
        <f t="shared" si="136"/>
        <v>0</v>
      </c>
      <c r="I702" s="254">
        <v>46225</v>
      </c>
      <c r="J702" s="293" t="s">
        <v>1515</v>
      </c>
      <c r="K702" s="190" t="s">
        <v>88</v>
      </c>
      <c r="L702" s="293"/>
    </row>
    <row r="703" hidden="1" customHeight="1" spans="1:12">
      <c r="A703" s="190" t="s">
        <v>1358</v>
      </c>
      <c r="B703" s="190" t="s">
        <v>1642</v>
      </c>
      <c r="C703" s="269" t="s">
        <v>1157</v>
      </c>
      <c r="D703" s="407">
        <v>16.819</v>
      </c>
      <c r="E703" s="269">
        <v>6773</v>
      </c>
      <c r="F703" s="114">
        <f t="shared" si="135"/>
        <v>113915.087</v>
      </c>
      <c r="G703" s="253">
        <v>113915.087</v>
      </c>
      <c r="H703" s="253">
        <f t="shared" si="136"/>
        <v>0</v>
      </c>
      <c r="I703" s="254">
        <v>46225</v>
      </c>
      <c r="J703" s="293" t="s">
        <v>1515</v>
      </c>
      <c r="K703" s="190" t="s">
        <v>88</v>
      </c>
      <c r="L703" s="293"/>
    </row>
    <row r="704" hidden="1" customHeight="1" spans="1:12">
      <c r="A704" s="190" t="s">
        <v>1358</v>
      </c>
      <c r="B704" s="190" t="s">
        <v>1643</v>
      </c>
      <c r="C704" s="190" t="s">
        <v>1644</v>
      </c>
      <c r="D704" s="405">
        <v>21.014</v>
      </c>
      <c r="E704" s="190">
        <v>6554</v>
      </c>
      <c r="F704" s="114">
        <f t="shared" si="135"/>
        <v>137725.756</v>
      </c>
      <c r="G704" s="253">
        <v>137725.756</v>
      </c>
      <c r="H704" s="253">
        <f t="shared" si="136"/>
        <v>0</v>
      </c>
      <c r="I704" s="254">
        <v>46215</v>
      </c>
      <c r="J704" s="293" t="s">
        <v>1515</v>
      </c>
      <c r="K704" s="190" t="s">
        <v>88</v>
      </c>
      <c r="L704" s="293"/>
    </row>
    <row r="705" hidden="1" customHeight="1" spans="1:12">
      <c r="A705" s="190" t="s">
        <v>1358</v>
      </c>
      <c r="B705" s="190" t="s">
        <v>1640</v>
      </c>
      <c r="C705" s="190" t="s">
        <v>1644</v>
      </c>
      <c r="D705" s="405">
        <v>1.97</v>
      </c>
      <c r="E705" s="190">
        <v>6554</v>
      </c>
      <c r="F705" s="114">
        <f t="shared" si="135"/>
        <v>12911.38</v>
      </c>
      <c r="G705" s="253">
        <v>0</v>
      </c>
      <c r="H705" s="253">
        <f t="shared" si="136"/>
        <v>12911.38</v>
      </c>
      <c r="I705" s="254">
        <v>46215</v>
      </c>
      <c r="J705" s="190" t="s">
        <v>441</v>
      </c>
      <c r="K705" s="190" t="s">
        <v>88</v>
      </c>
      <c r="L705" s="190"/>
    </row>
    <row r="706" hidden="1" customHeight="1" spans="1:12">
      <c r="A706" s="293" t="s">
        <v>1438</v>
      </c>
      <c r="B706" s="295" t="s">
        <v>1645</v>
      </c>
      <c r="C706" s="311" t="s">
        <v>594</v>
      </c>
      <c r="D706" s="337">
        <v>35.141</v>
      </c>
      <c r="E706" s="293">
        <v>2908</v>
      </c>
      <c r="F706" s="383">
        <f t="shared" ref="F706:F744" si="137">D706*E706</f>
        <v>102190.028</v>
      </c>
      <c r="G706" s="276">
        <v>102190.028</v>
      </c>
      <c r="H706" s="276">
        <f t="shared" si="136"/>
        <v>0</v>
      </c>
      <c r="I706" s="308">
        <v>46174</v>
      </c>
      <c r="J706" s="293" t="s">
        <v>441</v>
      </c>
      <c r="K706" s="293"/>
      <c r="L706" s="293"/>
    </row>
    <row r="707" hidden="1" customHeight="1" spans="1:12">
      <c r="A707" s="293" t="s">
        <v>1438</v>
      </c>
      <c r="B707" s="295" t="s">
        <v>1646</v>
      </c>
      <c r="C707" s="311" t="s">
        <v>594</v>
      </c>
      <c r="D707" s="337">
        <v>18.18</v>
      </c>
      <c r="E707" s="293">
        <v>2908</v>
      </c>
      <c r="F707" s="383">
        <f t="shared" si="137"/>
        <v>52867.44</v>
      </c>
      <c r="G707" s="276">
        <v>52867.44</v>
      </c>
      <c r="H707" s="276">
        <f t="shared" si="136"/>
        <v>0</v>
      </c>
      <c r="I707" s="308">
        <v>46197</v>
      </c>
      <c r="J707" s="293" t="s">
        <v>441</v>
      </c>
      <c r="K707" s="293"/>
      <c r="L707" s="293"/>
    </row>
    <row r="708" hidden="1" customHeight="1" spans="1:12">
      <c r="A708" s="293" t="s">
        <v>1438</v>
      </c>
      <c r="B708" s="76" t="s">
        <v>1647</v>
      </c>
      <c r="C708" s="311" t="s">
        <v>594</v>
      </c>
      <c r="D708" s="337">
        <v>33.777</v>
      </c>
      <c r="E708" s="293">
        <v>2908</v>
      </c>
      <c r="F708" s="383">
        <f t="shared" si="137"/>
        <v>98223.516</v>
      </c>
      <c r="G708" s="276">
        <v>98223.516</v>
      </c>
      <c r="H708" s="276">
        <f t="shared" si="136"/>
        <v>0</v>
      </c>
      <c r="I708" s="308">
        <v>46197</v>
      </c>
      <c r="J708" s="293" t="s">
        <v>441</v>
      </c>
      <c r="K708" s="293"/>
      <c r="L708" s="293"/>
    </row>
    <row r="709" hidden="1" customHeight="1" spans="1:12">
      <c r="A709" s="293" t="s">
        <v>1438</v>
      </c>
      <c r="B709" s="295" t="s">
        <v>1395</v>
      </c>
      <c r="C709" s="76" t="s">
        <v>1396</v>
      </c>
      <c r="D709" s="337">
        <v>3.03</v>
      </c>
      <c r="E709" s="293">
        <v>2551</v>
      </c>
      <c r="F709" s="383">
        <f t="shared" si="137"/>
        <v>7729.53</v>
      </c>
      <c r="G709" s="276">
        <v>7729.53</v>
      </c>
      <c r="H709" s="276">
        <f t="shared" si="136"/>
        <v>0</v>
      </c>
      <c r="I709" s="308">
        <v>46174</v>
      </c>
      <c r="J709" s="293" t="s">
        <v>441</v>
      </c>
      <c r="K709" s="293"/>
      <c r="L709" s="293"/>
    </row>
    <row r="710" hidden="1" customHeight="1" spans="1:12">
      <c r="A710" s="190" t="s">
        <v>1438</v>
      </c>
      <c r="B710" s="190" t="s">
        <v>1648</v>
      </c>
      <c r="C710" s="76" t="s">
        <v>162</v>
      </c>
      <c r="D710" s="129">
        <v>43.019</v>
      </c>
      <c r="E710" s="190">
        <v>2806</v>
      </c>
      <c r="F710" s="114">
        <f t="shared" si="137"/>
        <v>120711.314</v>
      </c>
      <c r="G710" s="253">
        <v>120711.314</v>
      </c>
      <c r="H710" s="253">
        <f t="shared" si="136"/>
        <v>0</v>
      </c>
      <c r="I710" s="254">
        <v>46200</v>
      </c>
      <c r="J710" s="293" t="s">
        <v>441</v>
      </c>
      <c r="K710" s="293"/>
      <c r="L710" s="190"/>
    </row>
    <row r="711" hidden="1" customHeight="1" spans="1:12">
      <c r="A711" s="190" t="s">
        <v>1438</v>
      </c>
      <c r="B711" s="190" t="s">
        <v>1649</v>
      </c>
      <c r="C711" s="76" t="s">
        <v>162</v>
      </c>
      <c r="D711" s="129">
        <v>27.285</v>
      </c>
      <c r="E711" s="190">
        <v>2806</v>
      </c>
      <c r="F711" s="114">
        <f t="shared" si="137"/>
        <v>76561.71</v>
      </c>
      <c r="G711" s="253">
        <v>76561.71</v>
      </c>
      <c r="H711" s="253">
        <f t="shared" si="136"/>
        <v>0</v>
      </c>
      <c r="I711" s="308">
        <v>46208</v>
      </c>
      <c r="J711" s="293" t="s">
        <v>441</v>
      </c>
      <c r="K711" s="293"/>
      <c r="L711" s="190"/>
    </row>
    <row r="712" hidden="1" customHeight="1" spans="1:12">
      <c r="A712" s="190" t="s">
        <v>1438</v>
      </c>
      <c r="B712" s="76" t="s">
        <v>1650</v>
      </c>
      <c r="C712" s="76" t="s">
        <v>1396</v>
      </c>
      <c r="D712" s="129">
        <v>37.777</v>
      </c>
      <c r="E712" s="293">
        <v>2908</v>
      </c>
      <c r="F712" s="253">
        <f t="shared" si="137"/>
        <v>109855.516</v>
      </c>
      <c r="G712" s="253">
        <v>109855.516</v>
      </c>
      <c r="H712" s="253">
        <f t="shared" si="136"/>
        <v>0</v>
      </c>
      <c r="I712" s="308">
        <v>46174</v>
      </c>
      <c r="J712" s="293" t="s">
        <v>441</v>
      </c>
      <c r="K712" s="293"/>
      <c r="L712" s="190"/>
    </row>
    <row r="713" hidden="1" customHeight="1" spans="1:12">
      <c r="A713" s="190" t="s">
        <v>1438</v>
      </c>
      <c r="B713" s="76" t="s">
        <v>1651</v>
      </c>
      <c r="C713" s="76" t="s">
        <v>376</v>
      </c>
      <c r="D713" s="190">
        <v>4.383</v>
      </c>
      <c r="E713" s="293">
        <v>2908</v>
      </c>
      <c r="F713" s="114">
        <f t="shared" si="137"/>
        <v>12745.764</v>
      </c>
      <c r="G713" s="253">
        <v>12745.764</v>
      </c>
      <c r="H713" s="253">
        <f t="shared" si="136"/>
        <v>0</v>
      </c>
      <c r="I713" s="254">
        <v>46200</v>
      </c>
      <c r="J713" s="293" t="s">
        <v>441</v>
      </c>
      <c r="K713" s="293"/>
      <c r="L713" s="190"/>
    </row>
    <row r="714" hidden="1" customHeight="1" spans="1:12">
      <c r="A714" s="190" t="s">
        <v>1438</v>
      </c>
      <c r="B714" s="76" t="s">
        <v>1652</v>
      </c>
      <c r="C714" s="76" t="s">
        <v>376</v>
      </c>
      <c r="D714" s="190">
        <v>33.03</v>
      </c>
      <c r="E714" s="293">
        <v>2908</v>
      </c>
      <c r="F714" s="114">
        <f t="shared" si="137"/>
        <v>96051.24</v>
      </c>
      <c r="G714" s="253">
        <v>96051.24</v>
      </c>
      <c r="H714" s="253">
        <f t="shared" si="136"/>
        <v>0</v>
      </c>
      <c r="I714" s="308">
        <v>46174</v>
      </c>
      <c r="J714" s="293" t="s">
        <v>441</v>
      </c>
      <c r="K714" s="293"/>
      <c r="L714" s="190"/>
    </row>
    <row r="715" hidden="1" customHeight="1" spans="1:12">
      <c r="A715" s="190" t="s">
        <v>1438</v>
      </c>
      <c r="B715" s="76" t="s">
        <v>1653</v>
      </c>
      <c r="C715" s="76" t="s">
        <v>376</v>
      </c>
      <c r="D715" s="190">
        <v>1.461</v>
      </c>
      <c r="E715" s="293">
        <v>2908</v>
      </c>
      <c r="F715" s="114">
        <f t="shared" si="137"/>
        <v>4248.588</v>
      </c>
      <c r="G715" s="253">
        <v>4248.588</v>
      </c>
      <c r="H715" s="253">
        <f t="shared" si="136"/>
        <v>0</v>
      </c>
      <c r="I715" s="308">
        <v>46197</v>
      </c>
      <c r="J715" s="293" t="s">
        <v>441</v>
      </c>
      <c r="K715" s="293"/>
      <c r="L715" s="190"/>
    </row>
    <row r="716" hidden="1" customHeight="1" spans="1:12">
      <c r="A716" s="190" t="s">
        <v>1438</v>
      </c>
      <c r="B716" s="76" t="s">
        <v>1574</v>
      </c>
      <c r="C716" s="76" t="s">
        <v>1080</v>
      </c>
      <c r="D716" s="190">
        <v>7.646</v>
      </c>
      <c r="E716" s="293">
        <v>2449</v>
      </c>
      <c r="F716" s="114">
        <f t="shared" si="137"/>
        <v>18725.054</v>
      </c>
      <c r="G716" s="253">
        <v>18725.054</v>
      </c>
      <c r="H716" s="253">
        <f t="shared" si="136"/>
        <v>0</v>
      </c>
      <c r="I716" s="308">
        <v>46197</v>
      </c>
      <c r="J716" s="293" t="s">
        <v>441</v>
      </c>
      <c r="K716" s="293"/>
      <c r="L716" s="190"/>
    </row>
    <row r="717" hidden="1" customHeight="1" spans="1:12">
      <c r="A717" s="190" t="s">
        <v>1438</v>
      </c>
      <c r="B717" s="76" t="s">
        <v>1654</v>
      </c>
      <c r="C717" s="76" t="s">
        <v>1080</v>
      </c>
      <c r="D717" s="190">
        <v>20.147</v>
      </c>
      <c r="E717" s="190">
        <v>2806</v>
      </c>
      <c r="F717" s="114">
        <f t="shared" si="137"/>
        <v>56532.482</v>
      </c>
      <c r="G717" s="253">
        <v>56532.482</v>
      </c>
      <c r="H717" s="253">
        <f t="shared" si="136"/>
        <v>0</v>
      </c>
      <c r="I717" s="308">
        <v>46197</v>
      </c>
      <c r="J717" s="293" t="s">
        <v>441</v>
      </c>
      <c r="K717" s="293"/>
      <c r="L717" s="190"/>
    </row>
    <row r="718" hidden="1" customHeight="1" spans="1:12">
      <c r="A718" s="190" t="s">
        <v>1438</v>
      </c>
      <c r="B718" s="76" t="s">
        <v>1655</v>
      </c>
      <c r="C718" s="76" t="s">
        <v>1080</v>
      </c>
      <c r="D718" s="190">
        <v>21.168</v>
      </c>
      <c r="E718" s="190">
        <v>2806</v>
      </c>
      <c r="F718" s="114">
        <f t="shared" si="137"/>
        <v>59397.408</v>
      </c>
      <c r="G718" s="253">
        <v>59397.408</v>
      </c>
      <c r="H718" s="253">
        <f t="shared" si="136"/>
        <v>0</v>
      </c>
      <c r="I718" s="308">
        <v>46197</v>
      </c>
      <c r="J718" s="293" t="s">
        <v>441</v>
      </c>
      <c r="K718" s="293"/>
      <c r="L718" s="190"/>
    </row>
    <row r="719" hidden="1" customHeight="1" spans="1:12">
      <c r="A719" s="190" t="s">
        <v>1438</v>
      </c>
      <c r="B719" s="76" t="s">
        <v>1656</v>
      </c>
      <c r="C719" s="76" t="s">
        <v>1081</v>
      </c>
      <c r="D719" s="190">
        <v>60.373</v>
      </c>
      <c r="E719" s="293">
        <v>2908</v>
      </c>
      <c r="F719" s="114">
        <f t="shared" si="137"/>
        <v>175564.684</v>
      </c>
      <c r="G719" s="408">
        <v>175564.684</v>
      </c>
      <c r="H719" s="253">
        <f t="shared" si="136"/>
        <v>0</v>
      </c>
      <c r="I719" s="254">
        <v>46200</v>
      </c>
      <c r="J719" s="293" t="s">
        <v>441</v>
      </c>
      <c r="K719" s="293"/>
      <c r="L719" s="190"/>
    </row>
    <row r="720" customHeight="1" spans="1:12">
      <c r="A720" s="190" t="s">
        <v>93</v>
      </c>
      <c r="B720" s="76" t="s">
        <v>1657</v>
      </c>
      <c r="C720" s="76" t="s">
        <v>1139</v>
      </c>
      <c r="D720" s="190">
        <v>27.036</v>
      </c>
      <c r="E720" s="190">
        <v>6085</v>
      </c>
      <c r="F720" s="114">
        <f t="shared" si="137"/>
        <v>164514.06</v>
      </c>
      <c r="G720" s="408">
        <f>164295+219.06</f>
        <v>164514.06</v>
      </c>
      <c r="H720" s="253">
        <f t="shared" si="136"/>
        <v>0</v>
      </c>
      <c r="I720" s="254">
        <v>46240</v>
      </c>
      <c r="J720" s="190" t="s">
        <v>441</v>
      </c>
      <c r="K720" s="190" t="s">
        <v>1140</v>
      </c>
      <c r="L720" s="190"/>
    </row>
    <row r="721" customHeight="1" spans="1:12">
      <c r="A721" s="190" t="s">
        <v>93</v>
      </c>
      <c r="B721" s="76" t="s">
        <v>1657</v>
      </c>
      <c r="C721" s="76" t="s">
        <v>1161</v>
      </c>
      <c r="D721" s="190">
        <v>54.18</v>
      </c>
      <c r="E721" s="190">
        <v>6000</v>
      </c>
      <c r="F721" s="114">
        <f t="shared" si="137"/>
        <v>325080</v>
      </c>
      <c r="G721" s="408">
        <f>324000+1080</f>
        <v>325080</v>
      </c>
      <c r="H721" s="253">
        <f t="shared" si="136"/>
        <v>0</v>
      </c>
      <c r="I721" s="254">
        <v>46240</v>
      </c>
      <c r="J721" s="190" t="s">
        <v>441</v>
      </c>
      <c r="K721" s="190" t="s">
        <v>1140</v>
      </c>
      <c r="L721" s="190"/>
    </row>
    <row r="722" customHeight="1" spans="1:12">
      <c r="A722" s="190" t="s">
        <v>93</v>
      </c>
      <c r="B722" s="76" t="s">
        <v>1657</v>
      </c>
      <c r="C722" s="76" t="s">
        <v>1142</v>
      </c>
      <c r="D722" s="190">
        <v>6.092</v>
      </c>
      <c r="E722" s="190">
        <v>6000</v>
      </c>
      <c r="F722" s="114">
        <f t="shared" si="137"/>
        <v>36552</v>
      </c>
      <c r="G722" s="408">
        <f>162000-125448</f>
        <v>36552</v>
      </c>
      <c r="H722" s="253">
        <f t="shared" si="136"/>
        <v>0</v>
      </c>
      <c r="I722" s="254">
        <v>46240</v>
      </c>
      <c r="J722" s="190" t="s">
        <v>441</v>
      </c>
      <c r="K722" s="190" t="s">
        <v>1140</v>
      </c>
      <c r="L722" s="190"/>
    </row>
    <row r="723" customHeight="1" spans="1:12">
      <c r="A723" s="190" t="s">
        <v>93</v>
      </c>
      <c r="B723" s="76" t="s">
        <v>1657</v>
      </c>
      <c r="C723" s="76" t="s">
        <v>1144</v>
      </c>
      <c r="D723" s="190">
        <v>50.16</v>
      </c>
      <c r="E723" s="190">
        <v>6000</v>
      </c>
      <c r="F723" s="114">
        <f t="shared" si="137"/>
        <v>300960</v>
      </c>
      <c r="G723" s="408">
        <f>324000-23040</f>
        <v>300960</v>
      </c>
      <c r="H723" s="253">
        <f t="shared" si="136"/>
        <v>0</v>
      </c>
      <c r="I723" s="254">
        <v>46240</v>
      </c>
      <c r="J723" s="190" t="s">
        <v>441</v>
      </c>
      <c r="K723" s="190" t="s">
        <v>1140</v>
      </c>
      <c r="L723" s="190"/>
    </row>
    <row r="724" customHeight="1" spans="1:12">
      <c r="A724" s="190" t="s">
        <v>93</v>
      </c>
      <c r="B724" s="76" t="s">
        <v>1159</v>
      </c>
      <c r="C724" s="76" t="s">
        <v>1142</v>
      </c>
      <c r="D724" s="190">
        <v>18.799</v>
      </c>
      <c r="E724" s="190">
        <v>6000</v>
      </c>
      <c r="F724" s="114">
        <f t="shared" si="137"/>
        <v>112794</v>
      </c>
      <c r="G724" s="408">
        <v>112794</v>
      </c>
      <c r="H724" s="253">
        <f t="shared" si="136"/>
        <v>0</v>
      </c>
      <c r="I724" s="254">
        <v>46240</v>
      </c>
      <c r="J724" s="190" t="s">
        <v>1563</v>
      </c>
      <c r="K724" s="190" t="s">
        <v>1140</v>
      </c>
      <c r="L724" s="190"/>
    </row>
    <row r="725" customHeight="1" spans="1:12">
      <c r="A725" s="190" t="s">
        <v>93</v>
      </c>
      <c r="B725" s="76" t="s">
        <v>1159</v>
      </c>
      <c r="C725" s="76" t="s">
        <v>1143</v>
      </c>
      <c r="D725" s="190">
        <f>81-D726</f>
        <v>34.004</v>
      </c>
      <c r="E725" s="190">
        <v>6000</v>
      </c>
      <c r="F725" s="114">
        <f t="shared" si="137"/>
        <v>204024</v>
      </c>
      <c r="G725" s="408">
        <f>486000-281976</f>
        <v>204024</v>
      </c>
      <c r="H725" s="253">
        <f t="shared" si="136"/>
        <v>0</v>
      </c>
      <c r="I725" s="254">
        <v>46240</v>
      </c>
      <c r="J725" s="190"/>
      <c r="K725" s="190" t="s">
        <v>1140</v>
      </c>
      <c r="L725" s="190"/>
    </row>
    <row r="726" customHeight="1" spans="1:12">
      <c r="A726" s="190" t="s">
        <v>93</v>
      </c>
      <c r="B726" s="76" t="s">
        <v>1658</v>
      </c>
      <c r="C726" s="76" t="s">
        <v>1143</v>
      </c>
      <c r="D726" s="190">
        <v>46.996</v>
      </c>
      <c r="E726" s="190">
        <v>6000</v>
      </c>
      <c r="F726" s="114">
        <f t="shared" si="137"/>
        <v>281976</v>
      </c>
      <c r="G726" s="408">
        <v>281976</v>
      </c>
      <c r="H726" s="253">
        <f t="shared" si="136"/>
        <v>0</v>
      </c>
      <c r="I726" s="254">
        <v>46240</v>
      </c>
      <c r="J726" s="190" t="s">
        <v>441</v>
      </c>
      <c r="K726" s="190" t="s">
        <v>1140</v>
      </c>
      <c r="L726" s="190"/>
    </row>
    <row r="727" customHeight="1" spans="1:12">
      <c r="A727" s="190" t="s">
        <v>93</v>
      </c>
      <c r="B727" s="76" t="s">
        <v>1159</v>
      </c>
      <c r="C727" s="76" t="s">
        <v>1659</v>
      </c>
      <c r="D727" s="190">
        <v>27</v>
      </c>
      <c r="E727" s="190">
        <v>6000</v>
      </c>
      <c r="F727" s="114">
        <f t="shared" si="137"/>
        <v>162000</v>
      </c>
      <c r="G727" s="408">
        <v>162000</v>
      </c>
      <c r="H727" s="253">
        <f t="shared" si="136"/>
        <v>0</v>
      </c>
      <c r="I727" s="254">
        <v>46240</v>
      </c>
      <c r="J727" s="190"/>
      <c r="K727" s="190" t="s">
        <v>1140</v>
      </c>
      <c r="L727" s="190"/>
    </row>
    <row r="728" customHeight="1" spans="1:12">
      <c r="A728" s="190" t="s">
        <v>93</v>
      </c>
      <c r="B728" s="76" t="s">
        <v>1159</v>
      </c>
      <c r="C728" s="76" t="s">
        <v>1145</v>
      </c>
      <c r="D728" s="351">
        <v>136.268</v>
      </c>
      <c r="E728" s="190">
        <v>5750</v>
      </c>
      <c r="F728" s="114">
        <f t="shared" si="137"/>
        <v>783541</v>
      </c>
      <c r="G728" s="408">
        <f>114261.64+34394.94</f>
        <v>148656.58</v>
      </c>
      <c r="H728" s="253">
        <f t="shared" si="136"/>
        <v>634884.42</v>
      </c>
      <c r="I728" s="254">
        <v>46240</v>
      </c>
      <c r="J728" s="190"/>
      <c r="K728" s="190" t="s">
        <v>1140</v>
      </c>
      <c r="L728" s="190"/>
    </row>
    <row r="729" customHeight="1" spans="1:12">
      <c r="A729" s="190" t="s">
        <v>93</v>
      </c>
      <c r="B729" s="76" t="s">
        <v>1660</v>
      </c>
      <c r="C729" s="144" t="s">
        <v>1165</v>
      </c>
      <c r="D729" s="190">
        <v>1083000</v>
      </c>
      <c r="E729" s="190">
        <v>0.2052</v>
      </c>
      <c r="F729" s="409">
        <f t="shared" si="137"/>
        <v>222231.6</v>
      </c>
      <c r="G729" s="408">
        <v>222231.6</v>
      </c>
      <c r="H729" s="253">
        <f t="shared" si="136"/>
        <v>0</v>
      </c>
      <c r="I729" s="254">
        <v>46266</v>
      </c>
      <c r="J729" s="190" t="s">
        <v>441</v>
      </c>
      <c r="K729" s="190" t="s">
        <v>1166</v>
      </c>
      <c r="L729" s="190"/>
    </row>
    <row r="730" customHeight="1" spans="1:12">
      <c r="A730" s="190" t="s">
        <v>93</v>
      </c>
      <c r="B730" s="76" t="s">
        <v>1661</v>
      </c>
      <c r="C730" s="144" t="s">
        <v>1165</v>
      </c>
      <c r="D730" s="190">
        <v>1083000</v>
      </c>
      <c r="E730" s="190">
        <v>0.2052</v>
      </c>
      <c r="F730" s="409">
        <f t="shared" si="137"/>
        <v>222231.6</v>
      </c>
      <c r="G730" s="408">
        <v>222231.6</v>
      </c>
      <c r="H730" s="253">
        <f t="shared" si="136"/>
        <v>0</v>
      </c>
      <c r="I730" s="254">
        <v>46266</v>
      </c>
      <c r="J730" s="190" t="s">
        <v>441</v>
      </c>
      <c r="K730" s="190" t="s">
        <v>1166</v>
      </c>
      <c r="L730" s="190"/>
    </row>
    <row r="731" customHeight="1" spans="1:12">
      <c r="A731" s="190" t="s">
        <v>93</v>
      </c>
      <c r="B731" s="76" t="s">
        <v>1164</v>
      </c>
      <c r="C731" s="144" t="s">
        <v>1165</v>
      </c>
      <c r="D731" s="190">
        <f>5415000-D730-D729</f>
        <v>3249000</v>
      </c>
      <c r="E731" s="190">
        <v>0.2052</v>
      </c>
      <c r="F731" s="409">
        <f t="shared" si="137"/>
        <v>666694.8</v>
      </c>
      <c r="G731" s="408">
        <v>165536.8</v>
      </c>
      <c r="H731" s="253">
        <f t="shared" si="136"/>
        <v>501158</v>
      </c>
      <c r="I731" s="254">
        <v>46266</v>
      </c>
      <c r="J731" s="190"/>
      <c r="K731" s="190" t="s">
        <v>1166</v>
      </c>
      <c r="L731" s="190"/>
    </row>
    <row r="732" customHeight="1" spans="1:12">
      <c r="A732" s="190" t="s">
        <v>93</v>
      </c>
      <c r="B732" s="76" t="s">
        <v>1168</v>
      </c>
      <c r="C732" s="76" t="s">
        <v>1169</v>
      </c>
      <c r="D732" s="190">
        <v>1578600</v>
      </c>
      <c r="E732" s="190">
        <v>0.1162</v>
      </c>
      <c r="F732" s="409">
        <f t="shared" si="137"/>
        <v>183433.32</v>
      </c>
      <c r="G732" s="408">
        <v>183433.32</v>
      </c>
      <c r="H732" s="253">
        <f t="shared" si="136"/>
        <v>0</v>
      </c>
      <c r="I732" s="254">
        <v>46204</v>
      </c>
      <c r="J732" s="190" t="s">
        <v>441</v>
      </c>
      <c r="K732" s="190" t="s">
        <v>88</v>
      </c>
      <c r="L732" s="190"/>
    </row>
    <row r="733" customHeight="1" spans="1:12">
      <c r="A733" s="190" t="s">
        <v>93</v>
      </c>
      <c r="B733" s="76" t="s">
        <v>1171</v>
      </c>
      <c r="C733" s="76" t="s">
        <v>1078</v>
      </c>
      <c r="D733" s="129">
        <f>108-D734</f>
        <v>99.315</v>
      </c>
      <c r="E733" s="190">
        <v>6650</v>
      </c>
      <c r="F733" s="409">
        <f t="shared" si="137"/>
        <v>660444.75</v>
      </c>
      <c r="G733" s="408">
        <f>718200-57755.25-8288.25-350481.6-209644.59-92030.31</f>
        <v>0</v>
      </c>
      <c r="H733" s="253">
        <f t="shared" si="136"/>
        <v>660444.75</v>
      </c>
      <c r="I733" s="254">
        <v>46263</v>
      </c>
      <c r="J733" s="190"/>
      <c r="K733" s="190" t="s">
        <v>88</v>
      </c>
      <c r="L733" s="190"/>
    </row>
    <row r="734" customHeight="1" spans="1:12">
      <c r="A734" s="190" t="s">
        <v>93</v>
      </c>
      <c r="B734" s="76" t="s">
        <v>1662</v>
      </c>
      <c r="C734" s="76" t="s">
        <v>1078</v>
      </c>
      <c r="D734" s="129">
        <v>8.685</v>
      </c>
      <c r="E734" s="190">
        <v>6650</v>
      </c>
      <c r="F734" s="409">
        <f t="shared" si="137"/>
        <v>57755.25</v>
      </c>
      <c r="G734" s="408">
        <v>57755.25</v>
      </c>
      <c r="H734" s="253">
        <f t="shared" si="136"/>
        <v>0</v>
      </c>
      <c r="I734" s="254">
        <v>46263</v>
      </c>
      <c r="J734" s="190" t="s">
        <v>441</v>
      </c>
      <c r="K734" s="190" t="s">
        <v>88</v>
      </c>
      <c r="L734" s="190"/>
    </row>
    <row r="735" customHeight="1" spans="1:12">
      <c r="A735" s="190" t="s">
        <v>93</v>
      </c>
      <c r="B735" s="76" t="s">
        <v>1662</v>
      </c>
      <c r="C735" s="76" t="s">
        <v>1080</v>
      </c>
      <c r="D735" s="129">
        <v>82.38</v>
      </c>
      <c r="E735" s="190">
        <v>6450</v>
      </c>
      <c r="F735" s="409">
        <f t="shared" si="137"/>
        <v>531351</v>
      </c>
      <c r="G735" s="408">
        <f>516000+15351</f>
        <v>531351</v>
      </c>
      <c r="H735" s="253">
        <f t="shared" si="136"/>
        <v>0</v>
      </c>
      <c r="I735" s="254">
        <v>46263</v>
      </c>
      <c r="J735" s="190" t="s">
        <v>441</v>
      </c>
      <c r="K735" s="190" t="s">
        <v>88</v>
      </c>
      <c r="L735" s="190"/>
    </row>
    <row r="736" customHeight="1" spans="1:12">
      <c r="A736" s="190" t="s">
        <v>93</v>
      </c>
      <c r="B736" s="76" t="s">
        <v>1663</v>
      </c>
      <c r="C736" s="76" t="s">
        <v>1080</v>
      </c>
      <c r="D736" s="129">
        <v>1.285</v>
      </c>
      <c r="E736" s="190">
        <v>6450</v>
      </c>
      <c r="F736" s="409">
        <f t="shared" si="137"/>
        <v>8288.25</v>
      </c>
      <c r="G736" s="408">
        <v>8288.25</v>
      </c>
      <c r="H736" s="253">
        <f t="shared" si="136"/>
        <v>0</v>
      </c>
      <c r="I736" s="254">
        <v>46263</v>
      </c>
      <c r="J736" s="190" t="s">
        <v>441</v>
      </c>
      <c r="K736" s="190" t="s">
        <v>88</v>
      </c>
      <c r="L736" s="190"/>
    </row>
    <row r="737" customHeight="1" spans="1:12">
      <c r="A737" s="190" t="s">
        <v>93</v>
      </c>
      <c r="B737" s="76" t="s">
        <v>1663</v>
      </c>
      <c r="C737" s="76" t="s">
        <v>1081</v>
      </c>
      <c r="D737" s="129">
        <v>52.704</v>
      </c>
      <c r="E737" s="190">
        <v>6650</v>
      </c>
      <c r="F737" s="409">
        <f t="shared" si="137"/>
        <v>350481.6</v>
      </c>
      <c r="G737" s="408">
        <v>350481.6</v>
      </c>
      <c r="H737" s="253">
        <f t="shared" si="136"/>
        <v>0</v>
      </c>
      <c r="I737" s="254">
        <v>46263</v>
      </c>
      <c r="J737" s="190" t="s">
        <v>441</v>
      </c>
      <c r="K737" s="190" t="s">
        <v>88</v>
      </c>
      <c r="L737" s="190"/>
    </row>
    <row r="738" customHeight="1" spans="1:12">
      <c r="A738" s="190" t="s">
        <v>93</v>
      </c>
      <c r="B738" s="76" t="s">
        <v>1171</v>
      </c>
      <c r="C738" s="76" t="s">
        <v>1081</v>
      </c>
      <c r="D738" s="129">
        <f>210-99.99-53.647-52.704</f>
        <v>3.65900000000001</v>
      </c>
      <c r="E738" s="190">
        <v>6650</v>
      </c>
      <c r="F738" s="409">
        <f t="shared" si="137"/>
        <v>24332.35</v>
      </c>
      <c r="G738" s="408">
        <v>0</v>
      </c>
      <c r="H738" s="253">
        <f t="shared" si="136"/>
        <v>24332.35</v>
      </c>
      <c r="I738" s="254">
        <v>46263</v>
      </c>
      <c r="J738" s="190"/>
      <c r="K738" s="190" t="s">
        <v>88</v>
      </c>
      <c r="L738" s="190"/>
    </row>
    <row r="739" customHeight="1" spans="1:12">
      <c r="A739" s="190" t="s">
        <v>93</v>
      </c>
      <c r="B739" s="76" t="s">
        <v>1664</v>
      </c>
      <c r="C739" s="76" t="s">
        <v>1081</v>
      </c>
      <c r="D739" s="129">
        <v>53.647</v>
      </c>
      <c r="E739" s="190">
        <v>6650</v>
      </c>
      <c r="F739" s="409">
        <f t="shared" si="137"/>
        <v>356752.55</v>
      </c>
      <c r="G739" s="408">
        <f>92030.31+264722.24</f>
        <v>356752.55</v>
      </c>
      <c r="H739" s="253">
        <f t="shared" si="136"/>
        <v>0</v>
      </c>
      <c r="I739" s="254">
        <v>46263</v>
      </c>
      <c r="J739" s="190" t="s">
        <v>441</v>
      </c>
      <c r="K739" s="190" t="s">
        <v>88</v>
      </c>
      <c r="L739" s="190"/>
    </row>
    <row r="740" customHeight="1" spans="1:12">
      <c r="A740" s="190" t="s">
        <v>93</v>
      </c>
      <c r="B740" s="76" t="s">
        <v>1665</v>
      </c>
      <c r="C740" s="76" t="s">
        <v>1081</v>
      </c>
      <c r="D740" s="129">
        <v>99.99</v>
      </c>
      <c r="E740" s="190">
        <v>6650</v>
      </c>
      <c r="F740" s="409">
        <f t="shared" si="137"/>
        <v>664933.5</v>
      </c>
      <c r="G740" s="408">
        <f>470639.91-15351+209644.59</f>
        <v>664933.5</v>
      </c>
      <c r="H740" s="253">
        <f t="shared" si="136"/>
        <v>0</v>
      </c>
      <c r="I740" s="254">
        <v>46263</v>
      </c>
      <c r="J740" s="190" t="s">
        <v>441</v>
      </c>
      <c r="K740" s="190" t="s">
        <v>88</v>
      </c>
      <c r="L740" s="190"/>
    </row>
    <row r="741" customHeight="1" spans="1:12">
      <c r="A741" s="190" t="s">
        <v>93</v>
      </c>
      <c r="B741" s="76" t="s">
        <v>1171</v>
      </c>
      <c r="C741" s="76" t="s">
        <v>1173</v>
      </c>
      <c r="D741" s="129">
        <v>90</v>
      </c>
      <c r="E741" s="190">
        <v>6450</v>
      </c>
      <c r="F741" s="409">
        <f t="shared" si="137"/>
        <v>580500</v>
      </c>
      <c r="G741" s="408">
        <v>0</v>
      </c>
      <c r="H741" s="253">
        <f t="shared" si="136"/>
        <v>580500</v>
      </c>
      <c r="I741" s="254">
        <v>46263</v>
      </c>
      <c r="J741" s="190"/>
      <c r="K741" s="190" t="s">
        <v>88</v>
      </c>
      <c r="L741" s="190"/>
    </row>
    <row r="742" customHeight="1" spans="1:12">
      <c r="A742" s="190" t="s">
        <v>93</v>
      </c>
      <c r="B742" s="76" t="s">
        <v>1664</v>
      </c>
      <c r="C742" s="76" t="s">
        <v>1174</v>
      </c>
      <c r="D742" s="129">
        <v>27.329</v>
      </c>
      <c r="E742" s="190">
        <v>6650</v>
      </c>
      <c r="F742" s="409">
        <f t="shared" si="137"/>
        <v>181737.85</v>
      </c>
      <c r="G742" s="408">
        <v>181737.85</v>
      </c>
      <c r="H742" s="253">
        <f t="shared" si="136"/>
        <v>0</v>
      </c>
      <c r="I742" s="254">
        <v>46263</v>
      </c>
      <c r="J742" s="190" t="s">
        <v>441</v>
      </c>
      <c r="K742" s="190" t="s">
        <v>88</v>
      </c>
      <c r="L742" s="190"/>
    </row>
    <row r="743" customHeight="1" spans="1:12">
      <c r="A743" s="190" t="s">
        <v>93</v>
      </c>
      <c r="B743" s="76" t="s">
        <v>1666</v>
      </c>
      <c r="C743" s="76" t="s">
        <v>1174</v>
      </c>
      <c r="D743" s="129">
        <v>53.584</v>
      </c>
      <c r="E743" s="190">
        <v>6650</v>
      </c>
      <c r="F743" s="409">
        <f t="shared" si="137"/>
        <v>356333.6</v>
      </c>
      <c r="G743" s="408">
        <v>103539.91</v>
      </c>
      <c r="H743" s="253">
        <f t="shared" si="136"/>
        <v>252793.69</v>
      </c>
      <c r="I743" s="254">
        <v>46263</v>
      </c>
      <c r="J743" s="190"/>
      <c r="K743" s="190" t="s">
        <v>88</v>
      </c>
      <c r="L743" s="400" t="s">
        <v>1667</v>
      </c>
    </row>
    <row r="744" customHeight="1" spans="1:12">
      <c r="A744" s="190" t="s">
        <v>93</v>
      </c>
      <c r="B744" s="76" t="s">
        <v>1171</v>
      </c>
      <c r="C744" s="76" t="s">
        <v>1174</v>
      </c>
      <c r="D744" s="129">
        <v>2.922</v>
      </c>
      <c r="E744" s="190">
        <v>6650</v>
      </c>
      <c r="F744" s="409">
        <f t="shared" si="137"/>
        <v>19431.3</v>
      </c>
      <c r="G744" s="408">
        <v>0</v>
      </c>
      <c r="H744" s="253">
        <f t="shared" si="136"/>
        <v>19431.3</v>
      </c>
      <c r="I744" s="254">
        <v>46263</v>
      </c>
      <c r="J744" s="190" t="s">
        <v>1563</v>
      </c>
      <c r="K744" s="190" t="s">
        <v>88</v>
      </c>
      <c r="L744" s="190"/>
    </row>
    <row r="745" hidden="1" customHeight="1" spans="1:12">
      <c r="A745" s="190" t="s">
        <v>984</v>
      </c>
      <c r="B745" s="76" t="s">
        <v>1175</v>
      </c>
      <c r="C745" s="76" t="s">
        <v>986</v>
      </c>
      <c r="D745" s="190">
        <v>186.624</v>
      </c>
      <c r="E745" s="190">
        <v>8287</v>
      </c>
      <c r="F745" s="409">
        <f t="shared" ref="F745:F752" si="138">D745*E745</f>
        <v>1546553.088</v>
      </c>
      <c r="G745" s="408">
        <v>0</v>
      </c>
      <c r="H745" s="253">
        <f t="shared" ref="H745:H752" si="139">F745-G745</f>
        <v>1546553.088</v>
      </c>
      <c r="I745" s="254">
        <v>46265</v>
      </c>
      <c r="J745" s="190" t="s">
        <v>441</v>
      </c>
      <c r="K745" s="190" t="s">
        <v>1140</v>
      </c>
      <c r="L745" s="190"/>
    </row>
    <row r="746" hidden="1" customHeight="1" spans="1:12">
      <c r="A746" s="190" t="s">
        <v>984</v>
      </c>
      <c r="B746" s="76" t="s">
        <v>1175</v>
      </c>
      <c r="C746" s="76" t="s">
        <v>986</v>
      </c>
      <c r="D746" s="190">
        <v>5.832</v>
      </c>
      <c r="E746" s="190">
        <v>8287</v>
      </c>
      <c r="F746" s="409">
        <f t="shared" si="138"/>
        <v>48329.784</v>
      </c>
      <c r="G746" s="408">
        <v>0</v>
      </c>
      <c r="H746" s="253">
        <f t="shared" si="139"/>
        <v>48329.784</v>
      </c>
      <c r="I746" s="254">
        <v>46265</v>
      </c>
      <c r="J746" s="190" t="s">
        <v>1563</v>
      </c>
      <c r="K746" s="190" t="s">
        <v>1140</v>
      </c>
      <c r="L746" s="190"/>
    </row>
    <row r="747" hidden="1" customHeight="1" spans="1:12">
      <c r="A747" s="190" t="s">
        <v>1438</v>
      </c>
      <c r="B747" s="76" t="s">
        <v>1655</v>
      </c>
      <c r="C747" s="190" t="s">
        <v>1081</v>
      </c>
      <c r="D747" s="190">
        <v>115.14</v>
      </c>
      <c r="E747" s="190">
        <v>2908</v>
      </c>
      <c r="F747" s="114">
        <f t="shared" si="138"/>
        <v>334827.12</v>
      </c>
      <c r="G747" s="408">
        <v>334827.12</v>
      </c>
      <c r="H747" s="253">
        <f t="shared" si="139"/>
        <v>0</v>
      </c>
      <c r="I747" s="254">
        <v>46197</v>
      </c>
      <c r="J747" s="190" t="s">
        <v>441</v>
      </c>
      <c r="K747" s="190"/>
      <c r="L747" s="190"/>
    </row>
    <row r="748" customHeight="1" spans="1:12">
      <c r="A748" s="190" t="s">
        <v>93</v>
      </c>
      <c r="B748" s="76" t="s">
        <v>1668</v>
      </c>
      <c r="C748" s="76" t="s">
        <v>1179</v>
      </c>
      <c r="D748" s="129">
        <v>39.329</v>
      </c>
      <c r="E748" s="190">
        <v>6250</v>
      </c>
      <c r="F748" s="114">
        <f t="shared" si="138"/>
        <v>245806.25</v>
      </c>
      <c r="G748" s="408">
        <v>237500</v>
      </c>
      <c r="H748" s="253">
        <f t="shared" si="139"/>
        <v>8306.25</v>
      </c>
      <c r="I748" s="254">
        <v>46262</v>
      </c>
      <c r="J748" s="190"/>
      <c r="K748" s="190" t="s">
        <v>88</v>
      </c>
      <c r="L748" s="400" t="s">
        <v>1669</v>
      </c>
    </row>
    <row r="749" customHeight="1" spans="1:12">
      <c r="A749" s="190" t="s">
        <v>93</v>
      </c>
      <c r="B749" s="76" t="s">
        <v>1668</v>
      </c>
      <c r="C749" s="76" t="s">
        <v>1181</v>
      </c>
      <c r="D749" s="129">
        <v>17.006</v>
      </c>
      <c r="E749" s="190">
        <v>6250</v>
      </c>
      <c r="F749" s="114">
        <f t="shared" si="138"/>
        <v>106287.5</v>
      </c>
      <c r="G749" s="408">
        <f>99925-24667.65</f>
        <v>75257.35</v>
      </c>
      <c r="H749" s="253">
        <f t="shared" si="139"/>
        <v>31030.15</v>
      </c>
      <c r="I749" s="254">
        <v>46262</v>
      </c>
      <c r="J749" s="190"/>
      <c r="K749" s="190" t="s">
        <v>88</v>
      </c>
      <c r="L749" s="400" t="s">
        <v>1669</v>
      </c>
    </row>
    <row r="750" customHeight="1" spans="1:12">
      <c r="A750" s="190" t="s">
        <v>93</v>
      </c>
      <c r="B750" s="76" t="s">
        <v>1670</v>
      </c>
      <c r="C750" s="76" t="s">
        <v>1181</v>
      </c>
      <c r="D750" s="129">
        <v>34.012</v>
      </c>
      <c r="E750" s="190">
        <v>6250</v>
      </c>
      <c r="F750" s="114">
        <f t="shared" si="138"/>
        <v>212575</v>
      </c>
      <c r="G750" s="408">
        <f>312500-99925</f>
        <v>212575</v>
      </c>
      <c r="H750" s="253">
        <f t="shared" si="139"/>
        <v>0</v>
      </c>
      <c r="I750" s="254">
        <v>46262</v>
      </c>
      <c r="J750" s="190" t="s">
        <v>441</v>
      </c>
      <c r="K750" s="190" t="s">
        <v>88</v>
      </c>
      <c r="L750" s="190"/>
    </row>
    <row r="751" customHeight="1" spans="1:12">
      <c r="A751" s="190" t="s">
        <v>93</v>
      </c>
      <c r="B751" s="76" t="s">
        <v>1668</v>
      </c>
      <c r="C751" s="76" t="s">
        <v>1182</v>
      </c>
      <c r="D751" s="129">
        <v>7.63</v>
      </c>
      <c r="E751" s="190">
        <v>6250</v>
      </c>
      <c r="F751" s="114">
        <f t="shared" si="138"/>
        <v>47687.5</v>
      </c>
      <c r="G751" s="408">
        <f>131234.88-83547.38</f>
        <v>47687.5</v>
      </c>
      <c r="H751" s="253">
        <f t="shared" si="139"/>
        <v>0</v>
      </c>
      <c r="I751" s="254">
        <v>46262</v>
      </c>
      <c r="J751" s="190"/>
      <c r="K751" s="190" t="s">
        <v>88</v>
      </c>
      <c r="L751" s="400" t="s">
        <v>1669</v>
      </c>
    </row>
    <row r="752" customHeight="1" spans="1:12">
      <c r="A752" s="190" t="s">
        <v>93</v>
      </c>
      <c r="B752" s="76" t="s">
        <v>1178</v>
      </c>
      <c r="C752" s="76" t="s">
        <v>1182</v>
      </c>
      <c r="D752" s="129">
        <f>36-7.63</f>
        <v>28.37</v>
      </c>
      <c r="E752" s="190">
        <v>6250</v>
      </c>
      <c r="F752" s="114">
        <f t="shared" si="138"/>
        <v>177312.5</v>
      </c>
      <c r="G752" s="408">
        <v>83547.38</v>
      </c>
      <c r="H752" s="253">
        <f t="shared" si="139"/>
        <v>93765.12</v>
      </c>
      <c r="I752" s="254">
        <v>46262</v>
      </c>
      <c r="J752" s="190"/>
      <c r="K752" s="190" t="s">
        <v>88</v>
      </c>
      <c r="L752" s="190"/>
    </row>
    <row r="753" customHeight="1" spans="1:12">
      <c r="A753" s="190" t="s">
        <v>93</v>
      </c>
      <c r="B753" s="76" t="s">
        <v>1670</v>
      </c>
      <c r="C753" s="76" t="s">
        <v>1183</v>
      </c>
      <c r="D753" s="129">
        <v>4.011</v>
      </c>
      <c r="E753" s="190">
        <v>6150</v>
      </c>
      <c r="F753" s="114">
        <f t="shared" ref="F753:F759" si="140">D753*E753</f>
        <v>24667.65</v>
      </c>
      <c r="G753" s="408">
        <v>24667.65</v>
      </c>
      <c r="H753" s="253">
        <f t="shared" ref="H753:H759" si="141">F753-G753</f>
        <v>0</v>
      </c>
      <c r="I753" s="254">
        <v>46262</v>
      </c>
      <c r="J753" s="190" t="s">
        <v>441</v>
      </c>
      <c r="K753" s="190" t="s">
        <v>88</v>
      </c>
      <c r="L753" s="190"/>
    </row>
    <row r="754" customHeight="1" spans="1:12">
      <c r="A754" s="190" t="s">
        <v>93</v>
      </c>
      <c r="B754" s="76" t="s">
        <v>1184</v>
      </c>
      <c r="C754" s="76" t="s">
        <v>1620</v>
      </c>
      <c r="D754" s="190">
        <v>1160000</v>
      </c>
      <c r="E754" s="190">
        <v>0.2329</v>
      </c>
      <c r="F754" s="114">
        <f t="shared" si="140"/>
        <v>270164</v>
      </c>
      <c r="G754" s="253">
        <v>270164</v>
      </c>
      <c r="H754" s="253">
        <f t="shared" si="141"/>
        <v>0</v>
      </c>
      <c r="I754" s="254">
        <v>46232</v>
      </c>
      <c r="J754" s="190"/>
      <c r="K754" s="190" t="s">
        <v>88</v>
      </c>
      <c r="L754" s="190"/>
    </row>
    <row r="755" customHeight="1" spans="1:12">
      <c r="A755" s="190" t="s">
        <v>93</v>
      </c>
      <c r="B755" s="76" t="s">
        <v>1671</v>
      </c>
      <c r="C755" s="76" t="s">
        <v>1161</v>
      </c>
      <c r="D755" s="129">
        <v>27.685</v>
      </c>
      <c r="E755" s="190">
        <v>6180</v>
      </c>
      <c r="F755" s="114">
        <f t="shared" si="140"/>
        <v>171093.3</v>
      </c>
      <c r="G755" s="253">
        <f>166860+4233.3</f>
        <v>171093.3</v>
      </c>
      <c r="H755" s="253">
        <f t="shared" si="141"/>
        <v>0</v>
      </c>
      <c r="I755" s="254">
        <v>46254</v>
      </c>
      <c r="J755" s="190" t="s">
        <v>441</v>
      </c>
      <c r="K755" s="190" t="s">
        <v>1140</v>
      </c>
      <c r="L755" s="190"/>
    </row>
    <row r="756" customHeight="1" spans="1:12">
      <c r="A756" s="190" t="s">
        <v>93</v>
      </c>
      <c r="B756" s="76" t="s">
        <v>1672</v>
      </c>
      <c r="C756" s="76" t="s">
        <v>1142</v>
      </c>
      <c r="D756" s="388">
        <v>5.686</v>
      </c>
      <c r="E756" s="190">
        <v>6180</v>
      </c>
      <c r="F756" s="114">
        <f t="shared" si="140"/>
        <v>35139.48</v>
      </c>
      <c r="G756" s="253">
        <v>0</v>
      </c>
      <c r="H756" s="253">
        <f t="shared" si="141"/>
        <v>35139.48</v>
      </c>
      <c r="I756" s="254">
        <v>46254</v>
      </c>
      <c r="J756" s="190" t="s">
        <v>441</v>
      </c>
      <c r="K756" s="190" t="s">
        <v>1140</v>
      </c>
      <c r="L756" s="190"/>
    </row>
    <row r="757" customHeight="1" spans="1:12">
      <c r="A757" s="190" t="s">
        <v>93</v>
      </c>
      <c r="B757" s="76" t="s">
        <v>1673</v>
      </c>
      <c r="C757" s="76" t="s">
        <v>1142</v>
      </c>
      <c r="D757" s="388">
        <v>27.414</v>
      </c>
      <c r="E757" s="190">
        <v>6180</v>
      </c>
      <c r="F757" s="114">
        <f t="shared" si="140"/>
        <v>169418.52</v>
      </c>
      <c r="G757" s="253">
        <f>166860-4233.3-28749.84-24077.28-27059.76+86678.7</f>
        <v>169418.52</v>
      </c>
      <c r="H757" s="253">
        <f t="shared" si="141"/>
        <v>0</v>
      </c>
      <c r="I757" s="254">
        <v>46254</v>
      </c>
      <c r="J757" s="190" t="s">
        <v>441</v>
      </c>
      <c r="K757" s="190" t="s">
        <v>1140</v>
      </c>
      <c r="L757" s="190"/>
    </row>
    <row r="758" customHeight="1" spans="1:12">
      <c r="A758" s="190" t="s">
        <v>93</v>
      </c>
      <c r="B758" s="76" t="s">
        <v>1674</v>
      </c>
      <c r="C758" s="76" t="s">
        <v>1139</v>
      </c>
      <c r="D758" s="129">
        <v>34.546</v>
      </c>
      <c r="E758" s="190">
        <v>6280</v>
      </c>
      <c r="F758" s="114">
        <f t="shared" si="140"/>
        <v>216948.88</v>
      </c>
      <c r="G758" s="253">
        <f>339120-122171.12</f>
        <v>216948.88</v>
      </c>
      <c r="H758" s="253">
        <f t="shared" si="141"/>
        <v>0</v>
      </c>
      <c r="I758" s="254">
        <v>46254</v>
      </c>
      <c r="J758" s="190" t="s">
        <v>441</v>
      </c>
      <c r="K758" s="190" t="s">
        <v>1140</v>
      </c>
      <c r="L758" s="190"/>
    </row>
    <row r="759" customHeight="1" spans="1:12">
      <c r="A759" s="190" t="s">
        <v>93</v>
      </c>
      <c r="B759" s="76" t="s">
        <v>1671</v>
      </c>
      <c r="C759" s="76" t="s">
        <v>1139</v>
      </c>
      <c r="D759" s="129">
        <v>24.032</v>
      </c>
      <c r="E759" s="190">
        <v>6280</v>
      </c>
      <c r="F759" s="114">
        <f t="shared" si="140"/>
        <v>150920.96</v>
      </c>
      <c r="G759" s="253">
        <f>122171.12+28749.84</f>
        <v>150920.96</v>
      </c>
      <c r="H759" s="253">
        <f t="shared" si="141"/>
        <v>0</v>
      </c>
      <c r="I759" s="254">
        <v>46254</v>
      </c>
      <c r="J759" s="190" t="s">
        <v>441</v>
      </c>
      <c r="K759" s="190" t="s">
        <v>1140</v>
      </c>
      <c r="L759" s="190"/>
    </row>
    <row r="760" customHeight="1" spans="1:12">
      <c r="A760" s="190" t="s">
        <v>93</v>
      </c>
      <c r="B760" s="76" t="s">
        <v>1188</v>
      </c>
      <c r="C760" s="76" t="s">
        <v>1162</v>
      </c>
      <c r="D760" s="129">
        <v>27</v>
      </c>
      <c r="E760" s="190">
        <v>6180</v>
      </c>
      <c r="F760" s="114">
        <f t="shared" ref="F760:F773" si="142">D760*E760</f>
        <v>166860</v>
      </c>
      <c r="G760" s="253">
        <v>0</v>
      </c>
      <c r="H760" s="253">
        <f t="shared" ref="H760:H773" si="143">F760-G760</f>
        <v>166860</v>
      </c>
      <c r="I760" s="254">
        <v>46254</v>
      </c>
      <c r="J760" s="190"/>
      <c r="K760" s="190" t="s">
        <v>1140</v>
      </c>
      <c r="L760" s="190"/>
    </row>
    <row r="761" customHeight="1" spans="1:12">
      <c r="A761" s="190" t="s">
        <v>93</v>
      </c>
      <c r="B761" s="76" t="s">
        <v>1675</v>
      </c>
      <c r="C761" s="76" t="s">
        <v>1143</v>
      </c>
      <c r="D761" s="129">
        <v>84.896</v>
      </c>
      <c r="E761" s="190">
        <v>6180</v>
      </c>
      <c r="F761" s="114">
        <f t="shared" si="142"/>
        <v>524657.28</v>
      </c>
      <c r="G761" s="253">
        <f>500580+24077.28</f>
        <v>524657.28</v>
      </c>
      <c r="H761" s="253">
        <f t="shared" si="143"/>
        <v>0</v>
      </c>
      <c r="I761" s="254">
        <v>46254</v>
      </c>
      <c r="J761" s="190" t="s">
        <v>441</v>
      </c>
      <c r="K761" s="190" t="s">
        <v>1140</v>
      </c>
      <c r="L761" s="190"/>
    </row>
    <row r="762" customHeight="1" spans="1:12">
      <c r="A762" s="190" t="s">
        <v>93</v>
      </c>
      <c r="B762" s="76" t="s">
        <v>1673</v>
      </c>
      <c r="C762" s="76" t="s">
        <v>1144</v>
      </c>
      <c r="D762" s="129">
        <v>27.335</v>
      </c>
      <c r="E762" s="190">
        <v>6180</v>
      </c>
      <c r="F762" s="114">
        <f t="shared" si="142"/>
        <v>168930.3</v>
      </c>
      <c r="G762" s="253">
        <f>166860+2224.79999999999-154.499999999971</f>
        <v>168930.3</v>
      </c>
      <c r="H762" s="253">
        <f t="shared" si="143"/>
        <v>0</v>
      </c>
      <c r="I762" s="254">
        <v>46254</v>
      </c>
      <c r="J762" s="190" t="s">
        <v>441</v>
      </c>
      <c r="K762" s="190" t="s">
        <v>1140</v>
      </c>
      <c r="L762" s="190"/>
    </row>
    <row r="763" customHeight="1" spans="1:12">
      <c r="A763" s="190" t="s">
        <v>93</v>
      </c>
      <c r="B763" s="76" t="s">
        <v>1672</v>
      </c>
      <c r="C763" s="76" t="s">
        <v>1144</v>
      </c>
      <c r="D763" s="129">
        <v>4.021</v>
      </c>
      <c r="E763" s="190">
        <v>6180</v>
      </c>
      <c r="F763" s="114">
        <f t="shared" si="142"/>
        <v>24849.78</v>
      </c>
      <c r="G763" s="253">
        <v>0</v>
      </c>
      <c r="H763" s="253">
        <f t="shared" si="143"/>
        <v>24849.78</v>
      </c>
      <c r="I763" s="254">
        <v>46254</v>
      </c>
      <c r="J763" s="190" t="s">
        <v>441</v>
      </c>
      <c r="K763" s="190" t="s">
        <v>1140</v>
      </c>
      <c r="L763" s="190"/>
    </row>
    <row r="764" customHeight="1" spans="1:12">
      <c r="A764" s="190" t="s">
        <v>93</v>
      </c>
      <c r="B764" s="76" t="s">
        <v>1188</v>
      </c>
      <c r="C764" s="76" t="s">
        <v>1190</v>
      </c>
      <c r="D764" s="405">
        <f>54-21.812</f>
        <v>32.188</v>
      </c>
      <c r="E764" s="190">
        <v>6380</v>
      </c>
      <c r="F764" s="114">
        <f t="shared" si="142"/>
        <v>205359.44</v>
      </c>
      <c r="G764" s="253">
        <v>0</v>
      </c>
      <c r="H764" s="253">
        <f t="shared" si="143"/>
        <v>205359.44</v>
      </c>
      <c r="I764" s="254">
        <v>46254</v>
      </c>
      <c r="J764" s="190"/>
      <c r="K764" s="190" t="s">
        <v>1140</v>
      </c>
      <c r="L764" s="190"/>
    </row>
    <row r="765" customHeight="1" spans="1:12">
      <c r="A765" s="190" t="s">
        <v>93</v>
      </c>
      <c r="B765" s="76" t="s">
        <v>1672</v>
      </c>
      <c r="C765" s="76" t="s">
        <v>1190</v>
      </c>
      <c r="D765" s="405">
        <v>21.812</v>
      </c>
      <c r="E765" s="190">
        <v>6380</v>
      </c>
      <c r="F765" s="114">
        <f t="shared" si="142"/>
        <v>139160.56</v>
      </c>
      <c r="G765" s="253">
        <v>0</v>
      </c>
      <c r="H765" s="253">
        <f t="shared" si="143"/>
        <v>139160.56</v>
      </c>
      <c r="I765" s="254">
        <v>46254</v>
      </c>
      <c r="J765" s="190" t="s">
        <v>441</v>
      </c>
      <c r="K765" s="190" t="s">
        <v>1140</v>
      </c>
      <c r="L765" s="190"/>
    </row>
    <row r="766" customHeight="1" spans="1:12">
      <c r="A766" s="190" t="s">
        <v>93</v>
      </c>
      <c r="B766" s="76" t="s">
        <v>1672</v>
      </c>
      <c r="C766" s="76" t="s">
        <v>1191</v>
      </c>
      <c r="D766" s="129">
        <v>31.386</v>
      </c>
      <c r="E766" s="190">
        <v>5990</v>
      </c>
      <c r="F766" s="114">
        <f t="shared" si="142"/>
        <v>188002.14</v>
      </c>
      <c r="G766" s="253">
        <v>0</v>
      </c>
      <c r="H766" s="253">
        <f t="shared" si="143"/>
        <v>188002.14</v>
      </c>
      <c r="I766" s="254">
        <v>46254</v>
      </c>
      <c r="J766" s="190" t="s">
        <v>441</v>
      </c>
      <c r="K766" s="190" t="s">
        <v>1140</v>
      </c>
      <c r="L766" s="190"/>
    </row>
    <row r="767" customHeight="1" spans="1:12">
      <c r="A767" s="190" t="s">
        <v>93</v>
      </c>
      <c r="B767" s="76" t="s">
        <v>1675</v>
      </c>
      <c r="C767" s="76" t="s">
        <v>1145</v>
      </c>
      <c r="D767" s="129">
        <v>4.602</v>
      </c>
      <c r="E767" s="190">
        <v>5880</v>
      </c>
      <c r="F767" s="114">
        <f t="shared" si="142"/>
        <v>27059.76</v>
      </c>
      <c r="G767" s="253">
        <v>27059.76</v>
      </c>
      <c r="H767" s="253">
        <f t="shared" si="143"/>
        <v>0</v>
      </c>
      <c r="I767" s="254">
        <v>46254</v>
      </c>
      <c r="J767" s="190" t="s">
        <v>441</v>
      </c>
      <c r="K767" s="190" t="s">
        <v>1140</v>
      </c>
      <c r="L767" s="190"/>
    </row>
    <row r="768" customHeight="1" spans="1:12">
      <c r="A768" s="190" t="s">
        <v>93</v>
      </c>
      <c r="B768" s="76" t="s">
        <v>1673</v>
      </c>
      <c r="C768" s="76" t="s">
        <v>1145</v>
      </c>
      <c r="D768" s="129">
        <v>55.224</v>
      </c>
      <c r="E768" s="190">
        <v>5880</v>
      </c>
      <c r="F768" s="114">
        <f t="shared" si="142"/>
        <v>324717.12</v>
      </c>
      <c r="G768" s="253">
        <f>229173.24+154.499999999971+95389.38</f>
        <v>324717.12</v>
      </c>
      <c r="H768" s="253">
        <f t="shared" si="143"/>
        <v>0</v>
      </c>
      <c r="I768" s="254">
        <v>46254</v>
      </c>
      <c r="J768" s="190" t="s">
        <v>441</v>
      </c>
      <c r="K768" s="190" t="s">
        <v>1140</v>
      </c>
      <c r="L768" s="190"/>
    </row>
    <row r="769" customHeight="1" spans="1:12">
      <c r="A769" s="190" t="s">
        <v>93</v>
      </c>
      <c r="B769" s="76" t="s">
        <v>1672</v>
      </c>
      <c r="C769" s="76" t="s">
        <v>1145</v>
      </c>
      <c r="D769" s="388">
        <v>74.229</v>
      </c>
      <c r="E769" s="190">
        <v>5880</v>
      </c>
      <c r="F769" s="114">
        <f t="shared" si="142"/>
        <v>436466.52</v>
      </c>
      <c r="G769" s="253">
        <v>0</v>
      </c>
      <c r="H769" s="253">
        <f t="shared" si="143"/>
        <v>436466.52</v>
      </c>
      <c r="I769" s="254">
        <v>46254</v>
      </c>
      <c r="J769" s="190"/>
      <c r="K769" s="190" t="s">
        <v>1140</v>
      </c>
      <c r="L769" s="190"/>
    </row>
    <row r="770" customHeight="1" spans="1:12">
      <c r="A770" s="190" t="s">
        <v>93</v>
      </c>
      <c r="B770" s="76" t="s">
        <v>1676</v>
      </c>
      <c r="C770" s="76" t="s">
        <v>1120</v>
      </c>
      <c r="D770" s="264">
        <v>696000</v>
      </c>
      <c r="E770" s="373">
        <v>0.224</v>
      </c>
      <c r="F770" s="114">
        <f t="shared" si="142"/>
        <v>155904</v>
      </c>
      <c r="G770" s="253">
        <v>155904</v>
      </c>
      <c r="H770" s="253">
        <f t="shared" si="143"/>
        <v>0</v>
      </c>
      <c r="I770" s="254">
        <v>46213</v>
      </c>
      <c r="J770" s="190" t="s">
        <v>441</v>
      </c>
      <c r="K770" s="190" t="s">
        <v>88</v>
      </c>
      <c r="L770" s="190"/>
    </row>
    <row r="771" customHeight="1" spans="1:12">
      <c r="A771" s="190" t="s">
        <v>93</v>
      </c>
      <c r="B771" s="76" t="s">
        <v>1676</v>
      </c>
      <c r="C771" s="76" t="s">
        <v>1122</v>
      </c>
      <c r="D771" s="264">
        <v>601920</v>
      </c>
      <c r="E771" s="373">
        <v>0.1695</v>
      </c>
      <c r="F771" s="114">
        <f t="shared" si="142"/>
        <v>102025.44</v>
      </c>
      <c r="G771" s="253">
        <v>102025.44</v>
      </c>
      <c r="H771" s="253">
        <f t="shared" si="143"/>
        <v>0</v>
      </c>
      <c r="I771" s="254">
        <v>46213</v>
      </c>
      <c r="J771" s="190" t="s">
        <v>441</v>
      </c>
      <c r="K771" s="190" t="s">
        <v>88</v>
      </c>
      <c r="L771" s="190"/>
    </row>
    <row r="772" customHeight="1" spans="1:12">
      <c r="A772" s="190" t="s">
        <v>93</v>
      </c>
      <c r="B772" s="76" t="s">
        <v>1677</v>
      </c>
      <c r="C772" s="76" t="s">
        <v>1169</v>
      </c>
      <c r="D772" s="264">
        <v>1561200</v>
      </c>
      <c r="E772" s="373">
        <v>0.1162</v>
      </c>
      <c r="F772" s="114">
        <f t="shared" si="142"/>
        <v>181411.44</v>
      </c>
      <c r="G772" s="253">
        <f>39768.18+141643.26</f>
        <v>181411.44</v>
      </c>
      <c r="H772" s="253">
        <f t="shared" si="143"/>
        <v>0</v>
      </c>
      <c r="I772" s="254">
        <v>46237</v>
      </c>
      <c r="J772" s="190" t="s">
        <v>441</v>
      </c>
      <c r="K772" s="190" t="s">
        <v>88</v>
      </c>
      <c r="L772" s="190"/>
    </row>
    <row r="773" customHeight="1" spans="1:12">
      <c r="A773" s="190" t="s">
        <v>93</v>
      </c>
      <c r="B773" s="76" t="s">
        <v>1195</v>
      </c>
      <c r="C773" s="190" t="s">
        <v>1678</v>
      </c>
      <c r="D773" s="190">
        <v>1102000</v>
      </c>
      <c r="E773" s="190">
        <v>0.2329</v>
      </c>
      <c r="F773" s="114">
        <f t="shared" si="142"/>
        <v>256655.8</v>
      </c>
      <c r="G773" s="253">
        <f>270164-13508.2</f>
        <v>256655.8</v>
      </c>
      <c r="H773" s="253">
        <f t="shared" si="143"/>
        <v>0</v>
      </c>
      <c r="I773" s="254">
        <v>46249</v>
      </c>
      <c r="J773" s="190" t="s">
        <v>441</v>
      </c>
      <c r="K773" s="190" t="s">
        <v>88</v>
      </c>
      <c r="L773" s="190"/>
    </row>
    <row r="774" customHeight="1" spans="1:12">
      <c r="A774" s="190" t="s">
        <v>93</v>
      </c>
      <c r="B774" s="76" t="s">
        <v>1198</v>
      </c>
      <c r="C774" s="76" t="s">
        <v>703</v>
      </c>
      <c r="D774" s="190">
        <v>15</v>
      </c>
      <c r="E774" s="190">
        <v>5520</v>
      </c>
      <c r="F774" s="114">
        <f t="shared" ref="F774:F780" si="144">D774*E774</f>
        <v>82800</v>
      </c>
      <c r="G774" s="253">
        <v>0</v>
      </c>
      <c r="H774" s="253">
        <f t="shared" ref="H774:H780" si="145">F774-G774</f>
        <v>82800</v>
      </c>
      <c r="I774" s="254">
        <v>46268</v>
      </c>
      <c r="J774" s="190"/>
      <c r="K774" s="190" t="s">
        <v>1140</v>
      </c>
      <c r="L774" s="190"/>
    </row>
    <row r="775" customHeight="1" spans="1:12">
      <c r="A775" s="190" t="s">
        <v>93</v>
      </c>
      <c r="B775" s="76" t="s">
        <v>1198</v>
      </c>
      <c r="C775" s="76" t="s">
        <v>705</v>
      </c>
      <c r="D775" s="190">
        <v>10</v>
      </c>
      <c r="E775" s="190">
        <v>5520</v>
      </c>
      <c r="F775" s="114">
        <f t="shared" si="144"/>
        <v>55200</v>
      </c>
      <c r="G775" s="253">
        <v>0</v>
      </c>
      <c r="H775" s="253">
        <f t="shared" si="145"/>
        <v>55200</v>
      </c>
      <c r="I775" s="254">
        <v>46268</v>
      </c>
      <c r="J775" s="190"/>
      <c r="K775" s="190" t="s">
        <v>1140</v>
      </c>
      <c r="L775" s="190"/>
    </row>
    <row r="776" customHeight="1" spans="1:12">
      <c r="A776" s="190" t="s">
        <v>93</v>
      </c>
      <c r="B776" s="76" t="s">
        <v>1200</v>
      </c>
      <c r="C776" s="76" t="s">
        <v>1084</v>
      </c>
      <c r="D776" s="190">
        <v>5220000</v>
      </c>
      <c r="E776" s="259">
        <v>0.2803</v>
      </c>
      <c r="F776" s="114">
        <f t="shared" si="144"/>
        <v>1463166</v>
      </c>
      <c r="G776" s="253">
        <v>217665.9</v>
      </c>
      <c r="H776" s="253">
        <f t="shared" si="145"/>
        <v>1245500.1</v>
      </c>
      <c r="I776" s="254">
        <v>46241</v>
      </c>
      <c r="J776" s="190"/>
      <c r="K776" s="190" t="s">
        <v>1085</v>
      </c>
      <c r="L776" s="190"/>
    </row>
    <row r="777" customHeight="1" spans="1:12">
      <c r="A777" s="190" t="s">
        <v>93</v>
      </c>
      <c r="B777" s="76" t="s">
        <v>1200</v>
      </c>
      <c r="C777" s="76" t="s">
        <v>1087</v>
      </c>
      <c r="D777" s="190">
        <v>4640000</v>
      </c>
      <c r="E777" s="259">
        <v>0.144</v>
      </c>
      <c r="F777" s="114">
        <f t="shared" si="144"/>
        <v>668160</v>
      </c>
      <c r="G777" s="253">
        <v>0</v>
      </c>
      <c r="H777" s="253">
        <f t="shared" si="145"/>
        <v>668160</v>
      </c>
      <c r="I777" s="254">
        <v>46241</v>
      </c>
      <c r="J777" s="190"/>
      <c r="K777" s="190" t="s">
        <v>1085</v>
      </c>
      <c r="L777" s="190"/>
    </row>
    <row r="778" hidden="1" customHeight="1" spans="1:12">
      <c r="A778" s="190" t="s">
        <v>1367</v>
      </c>
      <c r="B778" s="76" t="s">
        <v>1204</v>
      </c>
      <c r="C778" s="76" t="s">
        <v>1205</v>
      </c>
      <c r="D778" s="76">
        <v>1140120</v>
      </c>
      <c r="E778" s="143">
        <v>0.26195</v>
      </c>
      <c r="F778" s="114">
        <f t="shared" si="144"/>
        <v>298654.434</v>
      </c>
      <c r="G778" s="253">
        <v>298654.434</v>
      </c>
      <c r="H778" s="253">
        <f t="shared" si="145"/>
        <v>0</v>
      </c>
      <c r="I778" s="254">
        <v>46249</v>
      </c>
      <c r="J778" s="190" t="s">
        <v>441</v>
      </c>
      <c r="K778" s="190" t="s">
        <v>88</v>
      </c>
      <c r="L778" s="190"/>
    </row>
    <row r="779" customHeight="1" spans="1:12">
      <c r="A779" s="190" t="s">
        <v>93</v>
      </c>
      <c r="B779" s="76" t="s">
        <v>1207</v>
      </c>
      <c r="C779" s="76" t="s">
        <v>652</v>
      </c>
      <c r="D779" s="304">
        <f>200-105.768-22.035</f>
        <v>72.197</v>
      </c>
      <c r="E779" s="190">
        <v>6150</v>
      </c>
      <c r="F779" s="114">
        <f t="shared" si="144"/>
        <v>444011.55</v>
      </c>
      <c r="G779" s="253">
        <v>0</v>
      </c>
      <c r="H779" s="253">
        <f t="shared" si="145"/>
        <v>444011.55</v>
      </c>
      <c r="I779" s="254">
        <v>46280</v>
      </c>
      <c r="J779" s="190"/>
      <c r="K779" s="190" t="s">
        <v>1140</v>
      </c>
      <c r="L779" s="190"/>
    </row>
    <row r="780" customHeight="1" spans="1:12">
      <c r="A780" s="190" t="s">
        <v>93</v>
      </c>
      <c r="B780" s="76" t="s">
        <v>1207</v>
      </c>
      <c r="C780" s="76" t="s">
        <v>652</v>
      </c>
      <c r="D780" s="304">
        <v>105.768</v>
      </c>
      <c r="E780" s="190">
        <v>6150</v>
      </c>
      <c r="F780" s="114">
        <f t="shared" si="144"/>
        <v>650473.2</v>
      </c>
      <c r="G780" s="253">
        <f>252855.49+1965.60000000003</f>
        <v>254821.09</v>
      </c>
      <c r="H780" s="253">
        <f t="shared" si="145"/>
        <v>395652.11</v>
      </c>
      <c r="I780" s="254">
        <v>46280</v>
      </c>
      <c r="J780" s="190" t="s">
        <v>1563</v>
      </c>
      <c r="K780" s="190" t="s">
        <v>1140</v>
      </c>
      <c r="L780" s="190"/>
    </row>
    <row r="781" customHeight="1" spans="1:12">
      <c r="A781" s="190" t="s">
        <v>93</v>
      </c>
      <c r="B781" s="76" t="s">
        <v>1679</v>
      </c>
      <c r="C781" s="76" t="s">
        <v>652</v>
      </c>
      <c r="D781" s="304">
        <v>22.035</v>
      </c>
      <c r="E781" s="190">
        <v>6150</v>
      </c>
      <c r="F781" s="114">
        <f t="shared" ref="F781:F786" si="146">D781*E781</f>
        <v>135515.25</v>
      </c>
      <c r="G781" s="253">
        <v>135515.25</v>
      </c>
      <c r="H781" s="253">
        <f t="shared" ref="H781:H795" si="147">F781-G781</f>
        <v>0</v>
      </c>
      <c r="I781" s="254">
        <v>46280</v>
      </c>
      <c r="J781" s="190" t="s">
        <v>441</v>
      </c>
      <c r="K781" s="190" t="s">
        <v>1140</v>
      </c>
      <c r="L781" s="190"/>
    </row>
    <row r="782" customHeight="1" spans="1:12">
      <c r="A782" s="190" t="s">
        <v>93</v>
      </c>
      <c r="B782" s="76" t="s">
        <v>1679</v>
      </c>
      <c r="C782" s="76" t="s">
        <v>654</v>
      </c>
      <c r="D782" s="304">
        <v>57.056</v>
      </c>
      <c r="E782" s="190">
        <v>6150</v>
      </c>
      <c r="F782" s="114">
        <f t="shared" si="146"/>
        <v>350894.4</v>
      </c>
      <c r="G782" s="253">
        <v>350894.4</v>
      </c>
      <c r="H782" s="253">
        <f t="shared" si="147"/>
        <v>0</v>
      </c>
      <c r="I782" s="254">
        <v>46280</v>
      </c>
      <c r="J782" s="190" t="s">
        <v>441</v>
      </c>
      <c r="K782" s="190" t="s">
        <v>1140</v>
      </c>
      <c r="L782" s="190"/>
    </row>
    <row r="783" customHeight="1" spans="1:12">
      <c r="A783" s="190" t="s">
        <v>93</v>
      </c>
      <c r="B783" s="76" t="s">
        <v>1679</v>
      </c>
      <c r="C783" s="76" t="s">
        <v>926</v>
      </c>
      <c r="D783" s="304">
        <v>54.664</v>
      </c>
      <c r="E783" s="190">
        <v>6240</v>
      </c>
      <c r="F783" s="114">
        <f t="shared" si="146"/>
        <v>341103.36</v>
      </c>
      <c r="G783" s="253">
        <f>343068.96-1965.60000000003</f>
        <v>341103.36</v>
      </c>
      <c r="H783" s="253">
        <f t="shared" si="147"/>
        <v>0</v>
      </c>
      <c r="I783" s="254">
        <v>46280</v>
      </c>
      <c r="J783" s="190" t="s">
        <v>441</v>
      </c>
      <c r="K783" s="190" t="s">
        <v>1140</v>
      </c>
      <c r="L783" s="190"/>
    </row>
    <row r="784" customHeight="1" spans="1:12">
      <c r="A784" s="190" t="s">
        <v>93</v>
      </c>
      <c r="B784" s="76" t="s">
        <v>1209</v>
      </c>
      <c r="C784" s="76" t="s">
        <v>685</v>
      </c>
      <c r="D784" s="264">
        <v>2097600</v>
      </c>
      <c r="E784" s="190">
        <v>0.23</v>
      </c>
      <c r="F784" s="114">
        <f t="shared" si="146"/>
        <v>482448</v>
      </c>
      <c r="G784" s="253">
        <v>371464.73</v>
      </c>
      <c r="H784" s="253">
        <f t="shared" si="147"/>
        <v>110983.27</v>
      </c>
      <c r="I784" s="254">
        <v>46264</v>
      </c>
      <c r="J784" s="190"/>
      <c r="K784" s="190" t="s">
        <v>148</v>
      </c>
      <c r="L784" s="190"/>
    </row>
    <row r="785" customHeight="1" spans="1:12">
      <c r="A785" s="190" t="s">
        <v>93</v>
      </c>
      <c r="B785" s="76" t="s">
        <v>1211</v>
      </c>
      <c r="C785" s="76" t="s">
        <v>652</v>
      </c>
      <c r="D785" s="190">
        <v>100</v>
      </c>
      <c r="E785" s="190">
        <v>6150</v>
      </c>
      <c r="F785" s="114">
        <f t="shared" si="146"/>
        <v>615000</v>
      </c>
      <c r="G785" s="253">
        <v>553500</v>
      </c>
      <c r="H785" s="253">
        <f t="shared" si="147"/>
        <v>61500</v>
      </c>
      <c r="I785" s="254">
        <v>46290</v>
      </c>
      <c r="J785" s="190"/>
      <c r="K785" s="190" t="s">
        <v>1140</v>
      </c>
      <c r="L785" s="190"/>
    </row>
    <row r="786" customHeight="1" spans="1:12">
      <c r="A786" s="190" t="s">
        <v>93</v>
      </c>
      <c r="B786" s="76" t="s">
        <v>1680</v>
      </c>
      <c r="C786" s="76" t="s">
        <v>1587</v>
      </c>
      <c r="D786" s="129">
        <v>78.845</v>
      </c>
      <c r="E786" s="190">
        <v>6210</v>
      </c>
      <c r="F786" s="114">
        <f t="shared" si="146"/>
        <v>489627.45</v>
      </c>
      <c r="G786" s="253">
        <v>384461.1</v>
      </c>
      <c r="H786" s="253">
        <f t="shared" si="147"/>
        <v>105166.35</v>
      </c>
      <c r="I786" s="254">
        <v>46290</v>
      </c>
      <c r="J786" s="190" t="s">
        <v>441</v>
      </c>
      <c r="K786" s="190" t="s">
        <v>1140</v>
      </c>
      <c r="L786" s="190"/>
    </row>
    <row r="787" customHeight="1" spans="1:12">
      <c r="A787" s="190" t="s">
        <v>93</v>
      </c>
      <c r="B787" s="76" t="s">
        <v>1681</v>
      </c>
      <c r="C787" s="76" t="s">
        <v>1587</v>
      </c>
      <c r="D787" s="129">
        <v>55.09</v>
      </c>
      <c r="E787" s="190">
        <v>6210</v>
      </c>
      <c r="F787" s="114">
        <f t="shared" ref="F787:F804" si="148">D787*E787</f>
        <v>342108.9</v>
      </c>
      <c r="G787" s="253">
        <f>726570-384461.1</f>
        <v>342108.9</v>
      </c>
      <c r="H787" s="253">
        <f t="shared" si="147"/>
        <v>0</v>
      </c>
      <c r="I787" s="254">
        <v>46290</v>
      </c>
      <c r="J787" s="190" t="s">
        <v>441</v>
      </c>
      <c r="K787" s="190" t="s">
        <v>1140</v>
      </c>
      <c r="L787" s="190"/>
    </row>
    <row r="788" hidden="1" customHeight="1" spans="1:12">
      <c r="A788" s="190" t="s">
        <v>1367</v>
      </c>
      <c r="B788" s="76" t="s">
        <v>1682</v>
      </c>
      <c r="C788" s="76" t="s">
        <v>1683</v>
      </c>
      <c r="D788" s="190">
        <f t="shared" ref="D788:D791" si="149">1960400*3</f>
        <v>5881200</v>
      </c>
      <c r="E788" s="190">
        <v>0.126</v>
      </c>
      <c r="F788" s="114">
        <f t="shared" si="148"/>
        <v>741031.2</v>
      </c>
      <c r="G788" s="253">
        <f>494020.8+263900-16889.6000000001</f>
        <v>741031.2</v>
      </c>
      <c r="H788" s="253">
        <f t="shared" si="147"/>
        <v>0</v>
      </c>
      <c r="I788" s="254">
        <v>46266</v>
      </c>
      <c r="J788" s="190" t="s">
        <v>441</v>
      </c>
      <c r="K788" s="190" t="s">
        <v>88</v>
      </c>
    </row>
    <row r="789" hidden="1" customHeight="1" spans="1:12">
      <c r="A789" s="190" t="s">
        <v>1367</v>
      </c>
      <c r="B789" s="76" t="s">
        <v>1684</v>
      </c>
      <c r="C789" s="76" t="s">
        <v>1683</v>
      </c>
      <c r="D789" s="190">
        <f t="shared" si="149"/>
        <v>5881200</v>
      </c>
      <c r="E789" s="190">
        <v>0.123</v>
      </c>
      <c r="F789" s="114">
        <f t="shared" si="148"/>
        <v>723387.6</v>
      </c>
      <c r="G789" s="253">
        <v>0</v>
      </c>
      <c r="H789" s="253">
        <f t="shared" si="147"/>
        <v>723387.6</v>
      </c>
      <c r="I789" s="254">
        <v>46296</v>
      </c>
      <c r="J789" s="190"/>
      <c r="K789" s="190" t="s">
        <v>88</v>
      </c>
    </row>
    <row r="790" hidden="1" customHeight="1" spans="1:12">
      <c r="A790" s="190" t="s">
        <v>1367</v>
      </c>
      <c r="B790" s="76" t="s">
        <v>1685</v>
      </c>
      <c r="C790" s="76" t="s">
        <v>1683</v>
      </c>
      <c r="D790" s="190">
        <f t="shared" si="149"/>
        <v>5881200</v>
      </c>
      <c r="E790" s="190">
        <v>0.123</v>
      </c>
      <c r="F790" s="114">
        <f t="shared" si="148"/>
        <v>723387.6</v>
      </c>
      <c r="G790" s="253">
        <v>0</v>
      </c>
      <c r="H790" s="253">
        <f t="shared" si="147"/>
        <v>723387.6</v>
      </c>
      <c r="I790" s="254">
        <v>46327</v>
      </c>
      <c r="J790" s="190"/>
      <c r="K790" s="190" t="s">
        <v>88</v>
      </c>
    </row>
    <row r="791" hidden="1" customHeight="1" spans="1:12">
      <c r="A791" s="190" t="s">
        <v>1367</v>
      </c>
      <c r="B791" s="76" t="s">
        <v>1686</v>
      </c>
      <c r="C791" s="76" t="s">
        <v>1683</v>
      </c>
      <c r="D791" s="190">
        <f t="shared" si="149"/>
        <v>5881200</v>
      </c>
      <c r="E791" s="190">
        <v>0.123</v>
      </c>
      <c r="F791" s="114">
        <f t="shared" si="148"/>
        <v>723387.6</v>
      </c>
      <c r="G791" s="253">
        <v>0</v>
      </c>
      <c r="H791" s="253">
        <f t="shared" si="147"/>
        <v>723387.6</v>
      </c>
      <c r="I791" s="254">
        <v>46357</v>
      </c>
      <c r="J791" s="190"/>
      <c r="K791" s="190" t="s">
        <v>88</v>
      </c>
    </row>
    <row r="792" hidden="1" customHeight="1" spans="1:12">
      <c r="A792" s="190" t="s">
        <v>1367</v>
      </c>
      <c r="B792" s="190" t="s">
        <v>1687</v>
      </c>
      <c r="C792" s="190" t="s">
        <v>1688</v>
      </c>
      <c r="D792" s="190">
        <v>1160000</v>
      </c>
      <c r="E792" s="190">
        <v>0.1575</v>
      </c>
      <c r="F792" s="114">
        <f t="shared" si="148"/>
        <v>182700</v>
      </c>
      <c r="G792" s="253">
        <f>179548.43+16889.6000000001-13738.0300000001</f>
        <v>182700</v>
      </c>
      <c r="H792" s="253">
        <f t="shared" si="147"/>
        <v>0</v>
      </c>
      <c r="I792" s="254">
        <v>46266</v>
      </c>
      <c r="J792" s="190" t="s">
        <v>441</v>
      </c>
      <c r="K792" s="190" t="s">
        <v>88</v>
      </c>
    </row>
    <row r="793" hidden="1" customHeight="1" spans="1:12">
      <c r="A793" s="190" t="s">
        <v>1367</v>
      </c>
      <c r="B793" s="190" t="s">
        <v>1689</v>
      </c>
      <c r="C793" s="190" t="s">
        <v>1688</v>
      </c>
      <c r="D793" s="190">
        <v>1160000</v>
      </c>
      <c r="E793" s="190">
        <v>0.15244</v>
      </c>
      <c r="F793" s="114">
        <f t="shared" si="148"/>
        <v>176830.4</v>
      </c>
      <c r="G793" s="253">
        <v>179548.43</v>
      </c>
      <c r="H793" s="253">
        <f t="shared" si="147"/>
        <v>-2718.03</v>
      </c>
      <c r="I793" s="254">
        <v>46296</v>
      </c>
      <c r="J793" s="190"/>
      <c r="K793" s="190" t="s">
        <v>88</v>
      </c>
    </row>
    <row r="794" hidden="1" customHeight="1" spans="1:12">
      <c r="A794" s="190" t="s">
        <v>1367</v>
      </c>
      <c r="B794" s="190" t="s">
        <v>1690</v>
      </c>
      <c r="C794" s="190" t="s">
        <v>1688</v>
      </c>
      <c r="D794" s="190">
        <v>1160000</v>
      </c>
      <c r="E794" s="190">
        <v>0.15244</v>
      </c>
      <c r="F794" s="114">
        <f t="shared" si="148"/>
        <v>176830.4</v>
      </c>
      <c r="G794" s="253">
        <v>0</v>
      </c>
      <c r="H794" s="253">
        <f t="shared" si="147"/>
        <v>176830.4</v>
      </c>
      <c r="I794" s="254">
        <v>46327</v>
      </c>
      <c r="J794" s="190"/>
      <c r="K794" s="190" t="s">
        <v>88</v>
      </c>
    </row>
    <row r="795" hidden="1" customHeight="1" spans="1:12">
      <c r="A795" s="190" t="s">
        <v>1367</v>
      </c>
      <c r="B795" s="190" t="s">
        <v>1691</v>
      </c>
      <c r="C795" s="190" t="s">
        <v>1688</v>
      </c>
      <c r="D795" s="190">
        <v>1160000</v>
      </c>
      <c r="E795" s="190">
        <v>0.15244</v>
      </c>
      <c r="F795" s="114">
        <f t="shared" si="148"/>
        <v>176830.4</v>
      </c>
      <c r="G795" s="253">
        <v>0</v>
      </c>
      <c r="H795" s="253">
        <f t="shared" si="147"/>
        <v>176830.4</v>
      </c>
      <c r="I795" s="254">
        <v>46357</v>
      </c>
      <c r="J795" s="190"/>
      <c r="K795" s="190" t="s">
        <v>88</v>
      </c>
    </row>
    <row r="796" hidden="1" customHeight="1" spans="1:12">
      <c r="A796" s="190" t="s">
        <v>1367</v>
      </c>
      <c r="B796" s="190" t="s">
        <v>1242</v>
      </c>
      <c r="C796" s="76" t="s">
        <v>1692</v>
      </c>
      <c r="D796" s="190">
        <f>98020</f>
        <v>98020</v>
      </c>
      <c r="E796" s="190">
        <v>0.13355</v>
      </c>
      <c r="F796" s="114">
        <f t="shared" si="148"/>
        <v>13090.571</v>
      </c>
      <c r="G796" s="253">
        <v>13090.571</v>
      </c>
      <c r="H796" s="253">
        <f t="shared" ref="H796:H801" si="150">F796-G796</f>
        <v>0</v>
      </c>
      <c r="I796" s="254"/>
      <c r="J796" s="190"/>
      <c r="K796" s="190" t="s">
        <v>88</v>
      </c>
    </row>
    <row r="797" hidden="1" customHeight="1" spans="1:12">
      <c r="A797" s="190" t="s">
        <v>1367</v>
      </c>
      <c r="B797" s="190" t="s">
        <v>1239</v>
      </c>
      <c r="C797" s="76" t="s">
        <v>1692</v>
      </c>
      <c r="D797" s="190">
        <f>1960400*2</f>
        <v>3920800</v>
      </c>
      <c r="E797" s="190">
        <v>0.13355</v>
      </c>
      <c r="F797" s="114">
        <f t="shared" si="148"/>
        <v>523622.84</v>
      </c>
      <c r="G797" s="253">
        <v>0</v>
      </c>
      <c r="H797" s="253">
        <f t="shared" si="150"/>
        <v>523622.84</v>
      </c>
      <c r="I797" s="254"/>
      <c r="J797" s="190"/>
      <c r="K797" s="190" t="s">
        <v>88</v>
      </c>
    </row>
    <row r="798" customHeight="1" spans="1:12">
      <c r="A798" s="190" t="s">
        <v>93</v>
      </c>
      <c r="B798" s="76" t="s">
        <v>1215</v>
      </c>
      <c r="C798" s="76" t="s">
        <v>972</v>
      </c>
      <c r="D798" s="76">
        <v>290000</v>
      </c>
      <c r="E798" s="143">
        <v>0.2675</v>
      </c>
      <c r="F798" s="114">
        <f t="shared" si="148"/>
        <v>77575</v>
      </c>
      <c r="G798" s="253">
        <v>3551.85</v>
      </c>
      <c r="H798" s="253">
        <f t="shared" si="150"/>
        <v>74023.15</v>
      </c>
      <c r="I798" s="254">
        <v>46280</v>
      </c>
      <c r="J798" s="190"/>
      <c r="K798" s="190" t="s">
        <v>88</v>
      </c>
      <c r="L798" s="190"/>
    </row>
    <row r="799" customHeight="1" spans="1:12">
      <c r="A799" s="190" t="s">
        <v>93</v>
      </c>
      <c r="B799" s="76" t="s">
        <v>1217</v>
      </c>
      <c r="C799" s="190" t="s">
        <v>1678</v>
      </c>
      <c r="D799" s="190">
        <v>1102000</v>
      </c>
      <c r="E799" s="190">
        <v>0.2329</v>
      </c>
      <c r="F799" s="114">
        <f t="shared" si="148"/>
        <v>256655.8</v>
      </c>
      <c r="G799" s="253">
        <f>237645.18+13508.2+5502.41999999998</f>
        <v>256655.8</v>
      </c>
      <c r="H799" s="253">
        <f t="shared" si="150"/>
        <v>0</v>
      </c>
      <c r="I799" s="254">
        <v>46285</v>
      </c>
      <c r="J799" s="190" t="s">
        <v>441</v>
      </c>
      <c r="K799" s="190" t="s">
        <v>88</v>
      </c>
      <c r="L799" s="190"/>
    </row>
    <row r="800" customHeight="1" spans="1:12">
      <c r="A800" s="190" t="s">
        <v>93</v>
      </c>
      <c r="B800" s="76" t="s">
        <v>1219</v>
      </c>
      <c r="C800" s="190" t="s">
        <v>1678</v>
      </c>
      <c r="D800" s="190">
        <v>1160000</v>
      </c>
      <c r="E800" s="190">
        <v>0.2329</v>
      </c>
      <c r="F800" s="114">
        <f t="shared" si="148"/>
        <v>270164</v>
      </c>
      <c r="G800" s="253">
        <v>270164</v>
      </c>
      <c r="H800" s="253">
        <f t="shared" si="150"/>
        <v>0</v>
      </c>
      <c r="I800" s="254">
        <v>46285</v>
      </c>
      <c r="J800" s="190"/>
      <c r="K800" s="190" t="s">
        <v>88</v>
      </c>
      <c r="L800" s="190"/>
    </row>
    <row r="801" hidden="1" customHeight="1" spans="1:12">
      <c r="A801" s="190" t="s">
        <v>1438</v>
      </c>
      <c r="B801" s="76" t="s">
        <v>1171</v>
      </c>
      <c r="C801" s="190" t="s">
        <v>1078</v>
      </c>
      <c r="D801" s="129">
        <f>108-D802</f>
        <v>99.315</v>
      </c>
      <c r="E801" s="190">
        <v>2908</v>
      </c>
      <c r="F801" s="253">
        <f>E801*D801</f>
        <v>288808.02</v>
      </c>
      <c r="G801" s="253">
        <v>0</v>
      </c>
      <c r="H801" s="253">
        <f t="shared" si="150"/>
        <v>288808.02</v>
      </c>
      <c r="I801" s="254">
        <v>46280</v>
      </c>
      <c r="J801" s="190"/>
      <c r="K801" s="190"/>
      <c r="L801" s="190"/>
    </row>
    <row r="802" hidden="1" customHeight="1" spans="1:12">
      <c r="A802" s="190" t="s">
        <v>1438</v>
      </c>
      <c r="B802" s="76" t="s">
        <v>1662</v>
      </c>
      <c r="C802" s="190" t="s">
        <v>1078</v>
      </c>
      <c r="D802" s="129">
        <v>8.685</v>
      </c>
      <c r="E802" s="190">
        <v>2908</v>
      </c>
      <c r="F802" s="253">
        <f t="shared" ref="F802:F807" si="151">E802*D802</f>
        <v>25255.98</v>
      </c>
      <c r="G802" s="253">
        <v>0</v>
      </c>
      <c r="H802" s="253">
        <f t="shared" ref="H802:H807" si="152">F802-G802</f>
        <v>25255.98</v>
      </c>
      <c r="I802" s="254">
        <v>46280</v>
      </c>
      <c r="J802" s="190" t="s">
        <v>441</v>
      </c>
      <c r="K802" s="190" t="s">
        <v>88</v>
      </c>
      <c r="L802" s="190"/>
    </row>
    <row r="803" hidden="1" customHeight="1" spans="1:12">
      <c r="A803" s="190" t="s">
        <v>1438</v>
      </c>
      <c r="B803" s="76" t="s">
        <v>1662</v>
      </c>
      <c r="C803" s="190" t="s">
        <v>1080</v>
      </c>
      <c r="D803" s="129">
        <v>82.38</v>
      </c>
      <c r="E803" s="190">
        <v>2806</v>
      </c>
      <c r="F803" s="253">
        <f t="shared" si="151"/>
        <v>231158.28</v>
      </c>
      <c r="G803" s="253">
        <v>0</v>
      </c>
      <c r="H803" s="253">
        <f t="shared" si="152"/>
        <v>231158.28</v>
      </c>
      <c r="I803" s="254">
        <v>46280</v>
      </c>
      <c r="J803" s="190" t="s">
        <v>441</v>
      </c>
      <c r="K803" s="190" t="s">
        <v>88</v>
      </c>
      <c r="L803" s="190"/>
    </row>
    <row r="804" hidden="1" customHeight="1" spans="1:12">
      <c r="A804" s="190" t="s">
        <v>1438</v>
      </c>
      <c r="B804" s="76" t="s">
        <v>1663</v>
      </c>
      <c r="C804" s="190" t="s">
        <v>1080</v>
      </c>
      <c r="D804" s="129">
        <v>1.285</v>
      </c>
      <c r="E804" s="190">
        <v>2806</v>
      </c>
      <c r="F804" s="253">
        <f t="shared" si="151"/>
        <v>3605.71</v>
      </c>
      <c r="G804" s="253">
        <v>0</v>
      </c>
      <c r="H804" s="253">
        <f t="shared" si="152"/>
        <v>3605.71</v>
      </c>
      <c r="I804" s="254">
        <v>46280</v>
      </c>
      <c r="J804" s="190" t="s">
        <v>441</v>
      </c>
      <c r="K804" s="190" t="s">
        <v>88</v>
      </c>
      <c r="L804" s="190"/>
    </row>
    <row r="805" hidden="1" customHeight="1" spans="1:12">
      <c r="A805" s="190" t="s">
        <v>1438</v>
      </c>
      <c r="B805" s="76" t="s">
        <v>1663</v>
      </c>
      <c r="C805" s="190" t="s">
        <v>1081</v>
      </c>
      <c r="D805" s="129">
        <v>52.704</v>
      </c>
      <c r="E805" s="190">
        <v>2908</v>
      </c>
      <c r="F805" s="253">
        <f t="shared" si="151"/>
        <v>153263.232</v>
      </c>
      <c r="G805" s="253">
        <v>0</v>
      </c>
      <c r="H805" s="253">
        <f t="shared" si="152"/>
        <v>153263.232</v>
      </c>
      <c r="I805" s="254">
        <v>46280</v>
      </c>
      <c r="J805" s="190" t="s">
        <v>441</v>
      </c>
      <c r="K805" s="190" t="s">
        <v>88</v>
      </c>
      <c r="L805" s="190"/>
    </row>
    <row r="806" hidden="1" customHeight="1" spans="1:12">
      <c r="A806" s="190" t="s">
        <v>1438</v>
      </c>
      <c r="B806" s="76" t="s">
        <v>1664</v>
      </c>
      <c r="C806" s="190" t="s">
        <v>1081</v>
      </c>
      <c r="D806" s="129">
        <v>53.647</v>
      </c>
      <c r="E806" s="190">
        <v>2908</v>
      </c>
      <c r="F806" s="253">
        <f t="shared" si="151"/>
        <v>156005.476</v>
      </c>
      <c r="G806" s="253">
        <v>0</v>
      </c>
      <c r="H806" s="253">
        <f t="shared" si="152"/>
        <v>156005.476</v>
      </c>
      <c r="I806" s="254">
        <v>46280</v>
      </c>
      <c r="J806" s="190" t="s">
        <v>441</v>
      </c>
      <c r="K806" s="190" t="s">
        <v>88</v>
      </c>
      <c r="L806" s="190"/>
    </row>
    <row r="807" hidden="1" customHeight="1" spans="1:12">
      <c r="A807" s="190" t="s">
        <v>1438</v>
      </c>
      <c r="B807" s="76" t="s">
        <v>1665</v>
      </c>
      <c r="C807" s="190" t="s">
        <v>1081</v>
      </c>
      <c r="D807" s="129">
        <v>99.99</v>
      </c>
      <c r="E807" s="190">
        <v>2908</v>
      </c>
      <c r="F807" s="253">
        <f t="shared" si="151"/>
        <v>290770.92</v>
      </c>
      <c r="G807" s="253">
        <v>0</v>
      </c>
      <c r="H807" s="253">
        <f t="shared" si="152"/>
        <v>290770.92</v>
      </c>
      <c r="I807" s="254">
        <v>46280</v>
      </c>
      <c r="J807" s="190" t="s">
        <v>441</v>
      </c>
      <c r="K807" s="190" t="s">
        <v>88</v>
      </c>
      <c r="L807" s="190"/>
    </row>
    <row r="808" hidden="1" customHeight="1" spans="1:12">
      <c r="A808" s="190" t="s">
        <v>1438</v>
      </c>
      <c r="B808" s="190" t="s">
        <v>1171</v>
      </c>
      <c r="C808" s="190" t="s">
        <v>1081</v>
      </c>
      <c r="D808" s="129">
        <f>210-99.99-53.647-52.704</f>
        <v>3.65900000000001</v>
      </c>
      <c r="E808" s="190">
        <v>2908</v>
      </c>
      <c r="F808" s="253">
        <f t="shared" ref="F808:F810" si="153">E808*D808</f>
        <v>10640.372</v>
      </c>
      <c r="G808" s="253">
        <v>0</v>
      </c>
      <c r="H808" s="253">
        <f t="shared" ref="H808:H810" si="154">F808-G808</f>
        <v>10640.372</v>
      </c>
      <c r="I808" s="254">
        <v>46280</v>
      </c>
      <c r="J808" s="190"/>
      <c r="K808" s="190"/>
      <c r="L808" s="190"/>
    </row>
    <row r="809" hidden="1" customHeight="1" spans="1:12">
      <c r="A809" s="190" t="s">
        <v>1438</v>
      </c>
      <c r="B809" s="190" t="s">
        <v>1171</v>
      </c>
      <c r="C809" s="190" t="s">
        <v>1173</v>
      </c>
      <c r="D809" s="190">
        <v>90</v>
      </c>
      <c r="E809" s="190">
        <v>2806</v>
      </c>
      <c r="F809" s="253">
        <f t="shared" si="153"/>
        <v>252540</v>
      </c>
      <c r="G809" s="253">
        <v>0</v>
      </c>
      <c r="H809" s="253">
        <f t="shared" si="154"/>
        <v>252540</v>
      </c>
      <c r="I809" s="254">
        <v>46280</v>
      </c>
      <c r="J809" s="190"/>
      <c r="K809" s="190"/>
      <c r="L809" s="190"/>
    </row>
    <row r="810" hidden="1" customHeight="1" spans="1:12">
      <c r="A810" s="190" t="s">
        <v>1438</v>
      </c>
      <c r="B810" s="76" t="s">
        <v>1664</v>
      </c>
      <c r="C810" s="190" t="s">
        <v>1693</v>
      </c>
      <c r="D810" s="129">
        <v>27.329</v>
      </c>
      <c r="E810" s="190">
        <v>2908</v>
      </c>
      <c r="F810" s="253">
        <f t="shared" si="153"/>
        <v>79472.732</v>
      </c>
      <c r="G810" s="253">
        <v>0</v>
      </c>
      <c r="H810" s="253">
        <f t="shared" si="154"/>
        <v>79472.732</v>
      </c>
      <c r="I810" s="254">
        <v>46280</v>
      </c>
      <c r="J810" s="190" t="s">
        <v>441</v>
      </c>
      <c r="K810" s="190" t="s">
        <v>88</v>
      </c>
      <c r="L810" s="190"/>
    </row>
    <row r="811" hidden="1" customHeight="1" spans="1:12">
      <c r="A811" s="190" t="s">
        <v>1438</v>
      </c>
      <c r="B811" s="190" t="s">
        <v>1171</v>
      </c>
      <c r="C811" s="190" t="s">
        <v>1693</v>
      </c>
      <c r="D811" s="410">
        <f>100-D810</f>
        <v>72.671</v>
      </c>
      <c r="E811" s="190">
        <v>2908</v>
      </c>
      <c r="F811" s="253">
        <f t="shared" ref="F811:F820" si="155">E811*D811</f>
        <v>211327.268</v>
      </c>
      <c r="G811" s="253">
        <v>0</v>
      </c>
      <c r="H811" s="253">
        <f t="shared" ref="H811:H842" si="156">F811-G811</f>
        <v>211327.268</v>
      </c>
      <c r="I811" s="254">
        <v>46280</v>
      </c>
      <c r="J811" s="190"/>
      <c r="K811" s="190"/>
      <c r="L811" s="190"/>
    </row>
    <row r="812" hidden="1" customHeight="1" spans="1:12">
      <c r="A812" s="190" t="s">
        <v>1358</v>
      </c>
      <c r="B812" s="190" t="s">
        <v>1223</v>
      </c>
      <c r="C812" s="190" t="s">
        <v>1224</v>
      </c>
      <c r="D812" s="190">
        <v>60</v>
      </c>
      <c r="E812" s="190">
        <v>6690</v>
      </c>
      <c r="F812" s="253">
        <f t="shared" si="155"/>
        <v>401400</v>
      </c>
      <c r="G812" s="253">
        <v>0</v>
      </c>
      <c r="H812" s="253">
        <f t="shared" si="156"/>
        <v>401400</v>
      </c>
      <c r="I812" s="254"/>
      <c r="J812" s="190"/>
      <c r="K812" s="190" t="s">
        <v>88</v>
      </c>
    </row>
    <row r="813" hidden="1" customHeight="1" spans="1:12">
      <c r="A813" s="190" t="s">
        <v>1358</v>
      </c>
      <c r="B813" s="190" t="s">
        <v>1223</v>
      </c>
      <c r="C813" s="190" t="s">
        <v>1226</v>
      </c>
      <c r="D813" s="190">
        <v>40</v>
      </c>
      <c r="E813" s="190">
        <v>6690</v>
      </c>
      <c r="F813" s="253">
        <f t="shared" si="155"/>
        <v>267600</v>
      </c>
      <c r="G813" s="253">
        <v>0</v>
      </c>
      <c r="H813" s="253">
        <f t="shared" si="156"/>
        <v>267600</v>
      </c>
      <c r="I813" s="254"/>
      <c r="J813" s="190"/>
      <c r="K813" s="190" t="s">
        <v>88</v>
      </c>
    </row>
    <row r="814" hidden="1" customHeight="1" spans="1:12">
      <c r="A814" s="190" t="s">
        <v>1358</v>
      </c>
      <c r="B814" s="190" t="s">
        <v>1223</v>
      </c>
      <c r="C814" s="190" t="s">
        <v>1093</v>
      </c>
      <c r="D814" s="190">
        <v>160</v>
      </c>
      <c r="E814" s="190">
        <v>6640</v>
      </c>
      <c r="F814" s="253">
        <f t="shared" si="155"/>
        <v>1062400</v>
      </c>
      <c r="G814" s="253">
        <v>0</v>
      </c>
      <c r="H814" s="253">
        <f t="shared" si="156"/>
        <v>1062400</v>
      </c>
      <c r="I814" s="254"/>
      <c r="J814" s="190"/>
      <c r="K814" s="190" t="s">
        <v>88</v>
      </c>
    </row>
    <row r="815" hidden="1" customHeight="1" spans="1:12">
      <c r="A815" s="190" t="s">
        <v>1358</v>
      </c>
      <c r="B815" s="190" t="s">
        <v>1227</v>
      </c>
      <c r="C815" s="190" t="s">
        <v>1228</v>
      </c>
      <c r="D815" s="190">
        <v>110</v>
      </c>
      <c r="E815" s="190">
        <v>7010</v>
      </c>
      <c r="F815" s="253">
        <f t="shared" si="155"/>
        <v>771100</v>
      </c>
      <c r="G815" s="253">
        <v>0</v>
      </c>
      <c r="H815" s="253">
        <f t="shared" si="156"/>
        <v>771100</v>
      </c>
      <c r="I815" s="254"/>
      <c r="J815" s="190"/>
      <c r="K815" s="190" t="s">
        <v>88</v>
      </c>
    </row>
    <row r="816" hidden="1" customHeight="1" spans="1:12">
      <c r="A816" s="190" t="s">
        <v>1358</v>
      </c>
      <c r="B816" s="190" t="s">
        <v>1227</v>
      </c>
      <c r="C816" s="190" t="s">
        <v>1229</v>
      </c>
      <c r="D816" s="190">
        <v>40</v>
      </c>
      <c r="E816" s="190">
        <v>7260</v>
      </c>
      <c r="F816" s="253">
        <f t="shared" si="155"/>
        <v>290400</v>
      </c>
      <c r="G816" s="253">
        <v>0</v>
      </c>
      <c r="H816" s="253">
        <f t="shared" si="156"/>
        <v>290400</v>
      </c>
      <c r="I816" s="254"/>
      <c r="J816" s="190"/>
      <c r="K816" s="190" t="s">
        <v>88</v>
      </c>
    </row>
    <row r="817" hidden="1" customHeight="1" spans="1:12">
      <c r="A817" s="190" t="s">
        <v>1358</v>
      </c>
      <c r="B817" s="190" t="s">
        <v>1227</v>
      </c>
      <c r="C817" s="190" t="s">
        <v>1230</v>
      </c>
      <c r="D817" s="190">
        <v>100</v>
      </c>
      <c r="E817" s="190">
        <v>7260</v>
      </c>
      <c r="F817" s="253">
        <f t="shared" si="155"/>
        <v>726000</v>
      </c>
      <c r="G817" s="253">
        <v>0</v>
      </c>
      <c r="H817" s="253">
        <f t="shared" si="156"/>
        <v>726000</v>
      </c>
      <c r="I817" s="254"/>
      <c r="J817" s="190"/>
      <c r="K817" s="190" t="s">
        <v>88</v>
      </c>
    </row>
    <row r="818" hidden="1" customHeight="1" spans="1:12">
      <c r="A818" s="190" t="s">
        <v>1358</v>
      </c>
      <c r="B818" s="190" t="s">
        <v>1227</v>
      </c>
      <c r="C818" s="190" t="s">
        <v>1231</v>
      </c>
      <c r="D818" s="190">
        <v>50</v>
      </c>
      <c r="E818" s="190">
        <v>7260</v>
      </c>
      <c r="F818" s="253">
        <f t="shared" si="155"/>
        <v>363000</v>
      </c>
      <c r="G818" s="253">
        <v>0</v>
      </c>
      <c r="H818" s="253">
        <f t="shared" si="156"/>
        <v>363000</v>
      </c>
      <c r="I818" s="254"/>
      <c r="J818" s="190"/>
      <c r="K818" s="190" t="s">
        <v>88</v>
      </c>
    </row>
    <row r="819" hidden="1" customHeight="1" spans="1:12">
      <c r="A819" s="190" t="s">
        <v>1358</v>
      </c>
      <c r="B819" s="190" t="s">
        <v>1227</v>
      </c>
      <c r="C819" s="190" t="s">
        <v>1232</v>
      </c>
      <c r="D819" s="190">
        <v>55</v>
      </c>
      <c r="E819" s="190">
        <v>7260</v>
      </c>
      <c r="F819" s="253">
        <f t="shared" si="155"/>
        <v>399300</v>
      </c>
      <c r="G819" s="253">
        <v>0</v>
      </c>
      <c r="H819" s="253">
        <f t="shared" si="156"/>
        <v>399300</v>
      </c>
      <c r="I819" s="254"/>
      <c r="J819" s="190"/>
      <c r="K819" s="190" t="s">
        <v>88</v>
      </c>
    </row>
    <row r="820" hidden="1" customHeight="1" spans="1:12">
      <c r="A820" s="190" t="s">
        <v>1358</v>
      </c>
      <c r="B820" s="190" t="s">
        <v>1227</v>
      </c>
      <c r="C820" s="190" t="s">
        <v>1233</v>
      </c>
      <c r="D820" s="190">
        <v>45</v>
      </c>
      <c r="E820" s="190">
        <v>7260</v>
      </c>
      <c r="F820" s="253">
        <f t="shared" si="155"/>
        <v>326700</v>
      </c>
      <c r="G820" s="253">
        <v>0</v>
      </c>
      <c r="H820" s="253">
        <f t="shared" si="156"/>
        <v>326700</v>
      </c>
      <c r="I820" s="254"/>
      <c r="J820" s="190"/>
      <c r="K820" s="190" t="s">
        <v>88</v>
      </c>
    </row>
    <row r="821" hidden="1" customHeight="1" spans="1:12">
      <c r="A821" s="190" t="s">
        <v>142</v>
      </c>
      <c r="B821" s="76" t="s">
        <v>1244</v>
      </c>
      <c r="C821" s="76" t="s">
        <v>912</v>
      </c>
      <c r="D821" s="264">
        <v>1960400</v>
      </c>
      <c r="E821" s="373">
        <v>0.019</v>
      </c>
      <c r="F821" s="393">
        <f>D821*E821</f>
        <v>37247.6</v>
      </c>
      <c r="G821" s="394">
        <v>7449.52</v>
      </c>
      <c r="H821" s="253">
        <f t="shared" si="156"/>
        <v>29798.08</v>
      </c>
      <c r="I821" s="254">
        <v>46310</v>
      </c>
      <c r="J821" s="190"/>
      <c r="K821" s="190" t="s">
        <v>88</v>
      </c>
      <c r="L821" s="190"/>
    </row>
    <row r="822" customHeight="1" spans="1:12">
      <c r="A822" s="190" t="s">
        <v>93</v>
      </c>
      <c r="B822" s="76" t="s">
        <v>1246</v>
      </c>
      <c r="C822" s="76" t="s">
        <v>1161</v>
      </c>
      <c r="D822" s="304">
        <v>27</v>
      </c>
      <c r="E822" s="190">
        <v>5950</v>
      </c>
      <c r="F822" s="253">
        <f t="shared" ref="F822:F827" si="157">E822*D822</f>
        <v>160650</v>
      </c>
      <c r="G822" s="253">
        <v>160650</v>
      </c>
      <c r="H822" s="253">
        <f t="shared" si="156"/>
        <v>0</v>
      </c>
      <c r="I822" s="254"/>
      <c r="J822" s="190"/>
      <c r="K822" s="190" t="s">
        <v>88</v>
      </c>
    </row>
    <row r="823" customHeight="1" spans="1:12">
      <c r="A823" s="190" t="s">
        <v>93</v>
      </c>
      <c r="B823" s="76" t="s">
        <v>1246</v>
      </c>
      <c r="C823" s="76" t="s">
        <v>1142</v>
      </c>
      <c r="D823" s="304">
        <v>54</v>
      </c>
      <c r="E823" s="190">
        <v>5950</v>
      </c>
      <c r="F823" s="253">
        <f t="shared" si="157"/>
        <v>321300</v>
      </c>
      <c r="G823" s="253">
        <v>307172.15</v>
      </c>
      <c r="H823" s="253">
        <f t="shared" si="156"/>
        <v>14127.85</v>
      </c>
      <c r="I823" s="254"/>
      <c r="J823" s="190"/>
      <c r="K823" s="190" t="s">
        <v>88</v>
      </c>
    </row>
    <row r="824" customHeight="1" spans="1:12">
      <c r="A824" s="190" t="s">
        <v>93</v>
      </c>
      <c r="B824" s="76" t="s">
        <v>1246</v>
      </c>
      <c r="C824" s="76" t="s">
        <v>1139</v>
      </c>
      <c r="D824" s="304">
        <v>54</v>
      </c>
      <c r="E824" s="190">
        <v>6100</v>
      </c>
      <c r="F824" s="253">
        <f t="shared" si="157"/>
        <v>329400</v>
      </c>
      <c r="G824" s="253">
        <v>0</v>
      </c>
      <c r="H824" s="253">
        <f t="shared" si="156"/>
        <v>329400</v>
      </c>
      <c r="I824" s="254"/>
      <c r="J824" s="190"/>
      <c r="K824" s="190" t="s">
        <v>88</v>
      </c>
    </row>
    <row r="825" customHeight="1" spans="1:12">
      <c r="A825" s="190" t="s">
        <v>93</v>
      </c>
      <c r="B825" s="76" t="s">
        <v>1246</v>
      </c>
      <c r="C825" s="76" t="s">
        <v>1144</v>
      </c>
      <c r="D825" s="304">
        <v>27</v>
      </c>
      <c r="E825" s="190">
        <v>5950</v>
      </c>
      <c r="F825" s="253">
        <f t="shared" si="157"/>
        <v>160650</v>
      </c>
      <c r="G825" s="253">
        <v>0</v>
      </c>
      <c r="H825" s="253">
        <f t="shared" si="156"/>
        <v>160650</v>
      </c>
      <c r="I825" s="254"/>
      <c r="J825" s="190"/>
      <c r="K825" s="190" t="s">
        <v>88</v>
      </c>
    </row>
    <row r="826" customHeight="1" spans="1:12">
      <c r="A826" s="190" t="s">
        <v>93</v>
      </c>
      <c r="B826" s="76" t="s">
        <v>1248</v>
      </c>
      <c r="C826" s="76" t="s">
        <v>1080</v>
      </c>
      <c r="D826" s="129">
        <v>80</v>
      </c>
      <c r="E826" s="190">
        <v>6550</v>
      </c>
      <c r="F826" s="253">
        <f t="shared" si="157"/>
        <v>524000</v>
      </c>
      <c r="G826" s="253">
        <v>0</v>
      </c>
      <c r="H826" s="253">
        <f t="shared" si="156"/>
        <v>524000</v>
      </c>
      <c r="I826" s="254"/>
      <c r="J826" s="190"/>
      <c r="K826" s="190" t="s">
        <v>88</v>
      </c>
    </row>
    <row r="827" customHeight="1" spans="1:12">
      <c r="A827" s="190" t="s">
        <v>93</v>
      </c>
      <c r="B827" s="76" t="s">
        <v>1248</v>
      </c>
      <c r="C827" s="76" t="s">
        <v>1081</v>
      </c>
      <c r="D827" s="129">
        <v>210</v>
      </c>
      <c r="E827" s="190">
        <v>6750</v>
      </c>
      <c r="F827" s="253">
        <f t="shared" si="157"/>
        <v>1417500</v>
      </c>
      <c r="G827" s="253">
        <v>0</v>
      </c>
      <c r="H827" s="253">
        <f t="shared" si="156"/>
        <v>1417500</v>
      </c>
      <c r="I827" s="254"/>
      <c r="J827" s="254"/>
      <c r="K827" s="190" t="s">
        <v>88</v>
      </c>
    </row>
    <row r="828" customHeight="1" spans="1:12">
      <c r="A828" s="190" t="s">
        <v>93</v>
      </c>
      <c r="B828" s="76" t="s">
        <v>1248</v>
      </c>
      <c r="C828" s="76" t="s">
        <v>1174</v>
      </c>
      <c r="D828" s="129">
        <v>100</v>
      </c>
      <c r="E828" s="190">
        <v>6445</v>
      </c>
      <c r="F828" s="253">
        <f t="shared" ref="F828:F842" si="158">E828*D828</f>
        <v>644500</v>
      </c>
      <c r="G828" s="253">
        <v>0</v>
      </c>
      <c r="H828" s="253">
        <f t="shared" si="156"/>
        <v>644500</v>
      </c>
      <c r="I828" s="254"/>
      <c r="J828" s="190"/>
      <c r="K828" s="190" t="s">
        <v>1140</v>
      </c>
    </row>
    <row r="829" hidden="1" customHeight="1" spans="1:12">
      <c r="A829" s="190" t="s">
        <v>1358</v>
      </c>
      <c r="B829" s="190" t="s">
        <v>1252</v>
      </c>
      <c r="C829" s="190" t="s">
        <v>1253</v>
      </c>
      <c r="D829" s="190">
        <v>7.194</v>
      </c>
      <c r="E829" s="190">
        <v>5870</v>
      </c>
      <c r="F829" s="253">
        <f t="shared" si="158"/>
        <v>42228.78</v>
      </c>
      <c r="G829" s="253">
        <v>0</v>
      </c>
      <c r="H829" s="253">
        <f t="shared" si="156"/>
        <v>42228.78</v>
      </c>
      <c r="I829" s="254"/>
      <c r="J829" s="190" t="s">
        <v>441</v>
      </c>
      <c r="K829" s="190" t="s">
        <v>88</v>
      </c>
    </row>
    <row r="830" hidden="1" customHeight="1" spans="1:12">
      <c r="A830" s="190" t="s">
        <v>1358</v>
      </c>
      <c r="B830" s="190" t="s">
        <v>1255</v>
      </c>
      <c r="C830" s="269" t="s">
        <v>1256</v>
      </c>
      <c r="D830" s="406">
        <v>17</v>
      </c>
      <c r="E830" s="269">
        <v>6135</v>
      </c>
      <c r="F830" s="253">
        <f t="shared" si="158"/>
        <v>104295</v>
      </c>
      <c r="G830" s="253">
        <v>0</v>
      </c>
      <c r="H830" s="253">
        <f t="shared" si="156"/>
        <v>104295</v>
      </c>
      <c r="I830" s="254"/>
      <c r="J830" s="190"/>
      <c r="K830" s="190" t="s">
        <v>1140</v>
      </c>
    </row>
    <row r="831" hidden="1" customHeight="1" spans="1:12">
      <c r="A831" s="190" t="s">
        <v>1358</v>
      </c>
      <c r="B831" s="190" t="s">
        <v>1255</v>
      </c>
      <c r="C831" s="269" t="s">
        <v>1258</v>
      </c>
      <c r="D831" s="406">
        <v>50</v>
      </c>
      <c r="E831" s="269">
        <v>5786</v>
      </c>
      <c r="F831" s="253">
        <f t="shared" si="158"/>
        <v>289300</v>
      </c>
      <c r="G831" s="253">
        <v>0</v>
      </c>
      <c r="H831" s="253">
        <f t="shared" si="156"/>
        <v>289300</v>
      </c>
      <c r="I831" s="254"/>
      <c r="J831" s="190"/>
      <c r="K831" s="190" t="s">
        <v>1140</v>
      </c>
    </row>
    <row r="832" hidden="1" customHeight="1" spans="1:12">
      <c r="A832" s="190" t="s">
        <v>1358</v>
      </c>
      <c r="B832" s="190" t="s">
        <v>1255</v>
      </c>
      <c r="C832" s="269" t="s">
        <v>1259</v>
      </c>
      <c r="D832" s="406">
        <v>15</v>
      </c>
      <c r="E832" s="269">
        <v>5828</v>
      </c>
      <c r="F832" s="253">
        <f t="shared" si="158"/>
        <v>87420</v>
      </c>
      <c r="G832" s="253">
        <v>0</v>
      </c>
      <c r="H832" s="253">
        <f t="shared" si="156"/>
        <v>87420</v>
      </c>
      <c r="I832" s="254"/>
      <c r="J832" s="190"/>
      <c r="K832" s="190" t="s">
        <v>1140</v>
      </c>
    </row>
    <row r="833" hidden="1" customHeight="1" spans="1:11">
      <c r="A833" s="190" t="s">
        <v>1358</v>
      </c>
      <c r="B833" s="190" t="s">
        <v>1255</v>
      </c>
      <c r="C833" s="269" t="s">
        <v>1260</v>
      </c>
      <c r="D833" s="406">
        <v>22</v>
      </c>
      <c r="E833" s="269">
        <v>5868</v>
      </c>
      <c r="F833" s="253">
        <f t="shared" si="158"/>
        <v>129096</v>
      </c>
      <c r="G833" s="253">
        <v>0</v>
      </c>
      <c r="H833" s="253">
        <f t="shared" si="156"/>
        <v>129096</v>
      </c>
      <c r="I833" s="254"/>
      <c r="J833" s="190"/>
      <c r="K833" s="190" t="s">
        <v>1140</v>
      </c>
    </row>
    <row r="834" hidden="1" customHeight="1" spans="1:11">
      <c r="A834" s="190" t="s">
        <v>1358</v>
      </c>
      <c r="B834" s="190" t="s">
        <v>1255</v>
      </c>
      <c r="C834" s="269" t="s">
        <v>1261</v>
      </c>
      <c r="D834" s="406">
        <v>56</v>
      </c>
      <c r="E834" s="269">
        <v>5868</v>
      </c>
      <c r="F834" s="253">
        <f t="shared" si="158"/>
        <v>328608</v>
      </c>
      <c r="G834" s="253">
        <v>0</v>
      </c>
      <c r="H834" s="253">
        <f t="shared" si="156"/>
        <v>328608</v>
      </c>
      <c r="I834" s="254"/>
      <c r="J834" s="190"/>
      <c r="K834" s="190" t="s">
        <v>1140</v>
      </c>
    </row>
    <row r="835" hidden="1" customHeight="1" spans="1:11">
      <c r="A835" s="190" t="s">
        <v>1358</v>
      </c>
      <c r="B835" s="190" t="s">
        <v>1255</v>
      </c>
      <c r="C835" s="269" t="s">
        <v>1262</v>
      </c>
      <c r="D835" s="406">
        <v>25</v>
      </c>
      <c r="E835" s="269">
        <v>6005</v>
      </c>
      <c r="F835" s="253">
        <f t="shared" si="158"/>
        <v>150125</v>
      </c>
      <c r="G835" s="253">
        <v>0</v>
      </c>
      <c r="H835" s="253">
        <f t="shared" si="156"/>
        <v>150125</v>
      </c>
      <c r="I835" s="254"/>
      <c r="J835" s="190"/>
      <c r="K835" s="190" t="s">
        <v>1140</v>
      </c>
    </row>
    <row r="836" hidden="1" customHeight="1" spans="1:11">
      <c r="A836" s="190" t="s">
        <v>1358</v>
      </c>
      <c r="B836" s="190" t="s">
        <v>1255</v>
      </c>
      <c r="C836" s="269" t="s">
        <v>1263</v>
      </c>
      <c r="D836" s="406">
        <v>10</v>
      </c>
      <c r="E836" s="269">
        <v>6005</v>
      </c>
      <c r="F836" s="253">
        <f t="shared" si="158"/>
        <v>60050</v>
      </c>
      <c r="G836" s="253">
        <v>0</v>
      </c>
      <c r="H836" s="253">
        <f t="shared" si="156"/>
        <v>60050</v>
      </c>
      <c r="I836" s="254"/>
      <c r="J836" s="190"/>
      <c r="K836" s="190" t="s">
        <v>1140</v>
      </c>
    </row>
    <row r="837" hidden="1" customHeight="1" spans="1:11">
      <c r="A837" s="190" t="s">
        <v>1358</v>
      </c>
      <c r="B837" s="190" t="s">
        <v>1255</v>
      </c>
      <c r="C837" s="269" t="s">
        <v>1264</v>
      </c>
      <c r="D837" s="406">
        <v>12</v>
      </c>
      <c r="E837" s="269">
        <v>5463</v>
      </c>
      <c r="F837" s="253">
        <f t="shared" si="158"/>
        <v>65556</v>
      </c>
      <c r="G837" s="253">
        <v>0</v>
      </c>
      <c r="H837" s="253">
        <f t="shared" si="156"/>
        <v>65556</v>
      </c>
      <c r="I837" s="254"/>
      <c r="J837" s="190"/>
      <c r="K837" s="190" t="s">
        <v>1140</v>
      </c>
    </row>
    <row r="838" hidden="1" customHeight="1" spans="1:11">
      <c r="A838" s="190" t="s">
        <v>1358</v>
      </c>
      <c r="B838" s="190" t="s">
        <v>1255</v>
      </c>
      <c r="C838" s="269" t="s">
        <v>1265</v>
      </c>
      <c r="D838" s="304">
        <v>26</v>
      </c>
      <c r="E838" s="190">
        <v>5463</v>
      </c>
      <c r="F838" s="253">
        <f t="shared" si="158"/>
        <v>142038</v>
      </c>
      <c r="G838" s="253">
        <v>0</v>
      </c>
      <c r="H838" s="253">
        <f t="shared" si="156"/>
        <v>142038</v>
      </c>
      <c r="I838" s="254"/>
      <c r="J838" s="190"/>
      <c r="K838" s="190" t="s">
        <v>1140</v>
      </c>
    </row>
    <row r="839" customHeight="1" spans="1:11">
      <c r="A839" s="190" t="s">
        <v>93</v>
      </c>
      <c r="B839" s="76" t="s">
        <v>1266</v>
      </c>
      <c r="C839" s="76" t="s">
        <v>1143</v>
      </c>
      <c r="D839" s="129">
        <v>54</v>
      </c>
      <c r="E839" s="190">
        <f>5630+340</f>
        <v>5970</v>
      </c>
      <c r="F839" s="253">
        <f t="shared" si="158"/>
        <v>322380</v>
      </c>
      <c r="G839" s="253">
        <v>299108.2</v>
      </c>
      <c r="H839" s="253">
        <f t="shared" si="156"/>
        <v>23271.8</v>
      </c>
      <c r="I839" s="254"/>
      <c r="J839" s="190"/>
      <c r="K839" s="190" t="s">
        <v>1140</v>
      </c>
    </row>
    <row r="840" customHeight="1" spans="1:11">
      <c r="A840" s="190" t="s">
        <v>93</v>
      </c>
      <c r="B840" s="76" t="s">
        <v>1268</v>
      </c>
      <c r="C840" s="76" t="s">
        <v>1269</v>
      </c>
      <c r="D840" s="129">
        <v>15</v>
      </c>
      <c r="E840" s="190">
        <v>5400</v>
      </c>
      <c r="F840" s="253">
        <f t="shared" si="158"/>
        <v>81000</v>
      </c>
      <c r="G840" s="253">
        <v>0</v>
      </c>
      <c r="H840" s="253">
        <f t="shared" si="156"/>
        <v>81000</v>
      </c>
      <c r="I840" s="254"/>
      <c r="J840" s="190"/>
      <c r="K840" s="190" t="s">
        <v>1140</v>
      </c>
    </row>
    <row r="841" customHeight="1" spans="1:11">
      <c r="A841" s="190" t="s">
        <v>93</v>
      </c>
      <c r="B841" s="76" t="s">
        <v>1268</v>
      </c>
      <c r="C841" s="76" t="s">
        <v>1136</v>
      </c>
      <c r="D841" s="129">
        <v>10</v>
      </c>
      <c r="E841" s="190">
        <v>5400</v>
      </c>
      <c r="F841" s="253">
        <f t="shared" si="158"/>
        <v>54000</v>
      </c>
      <c r="G841" s="253">
        <v>0</v>
      </c>
      <c r="H841" s="253">
        <f t="shared" si="156"/>
        <v>54000</v>
      </c>
      <c r="I841" s="254"/>
      <c r="J841" s="190"/>
      <c r="K841" s="190" t="s">
        <v>1140</v>
      </c>
    </row>
    <row r="842" customHeight="1" spans="1:11">
      <c r="A842" s="190" t="s">
        <v>93</v>
      </c>
      <c r="B842" s="76" t="s">
        <v>1271</v>
      </c>
      <c r="C842" s="76" t="s">
        <v>1120</v>
      </c>
      <c r="D842" s="264">
        <v>232000</v>
      </c>
      <c r="E842" s="190">
        <v>0.224</v>
      </c>
      <c r="F842" s="253">
        <f t="shared" si="158"/>
        <v>51968</v>
      </c>
      <c r="G842" s="253">
        <v>0</v>
      </c>
      <c r="H842" s="253">
        <f t="shared" si="156"/>
        <v>51968</v>
      </c>
      <c r="I842" s="254"/>
      <c r="J842" s="190"/>
      <c r="K842" s="190" t="s">
        <v>88</v>
      </c>
    </row>
    <row r="849" customHeight="1" spans="7:8">
      <c r="H849" s="238">
        <f>400000-SUM(H852:H857)</f>
        <v>0</v>
      </c>
    </row>
    <row r="852" customHeight="1" spans="7:8">
      <c r="G852" s="238" t="s">
        <v>1673</v>
      </c>
      <c r="H852" s="238">
        <v>95389.38</v>
      </c>
    </row>
    <row r="853" customHeight="1" spans="7:8">
      <c r="G853" s="238" t="s">
        <v>1217</v>
      </c>
      <c r="H853" s="238">
        <v>5502.41999999998</v>
      </c>
    </row>
    <row r="854" customHeight="1" spans="7:8">
      <c r="G854" s="238" t="s">
        <v>1266</v>
      </c>
      <c r="H854" s="238">
        <f>298953.7+154.5</f>
        <v>299108.2</v>
      </c>
    </row>
  </sheetData>
  <autoFilter xmlns:etc="http://www.wps.cn/officeDocument/2017/etCustomData" ref="A1:L842" etc:filterBottomFollowUsedRange="0">
    <filterColumn colId="0">
      <filters>
        <filter val="TW"/>
      </filters>
    </filterColumn>
    <extLst/>
  </autoFilter>
  <sortState ref="B372:M391">
    <sortCondition ref="B372"/>
  </sortState>
  <mergeCells count="33">
    <mergeCell ref="B175:B176"/>
    <mergeCell ref="B177:B178"/>
    <mergeCell ref="C77:C78"/>
    <mergeCell ref="C85:C86"/>
    <mergeCell ref="C88:C89"/>
    <mergeCell ref="C112:C113"/>
    <mergeCell ref="C175:C176"/>
    <mergeCell ref="C177:C178"/>
    <mergeCell ref="D77:D78"/>
    <mergeCell ref="D85:D86"/>
    <mergeCell ref="D88:D89"/>
    <mergeCell ref="D112:D113"/>
    <mergeCell ref="D175:D176"/>
    <mergeCell ref="D177:D178"/>
    <mergeCell ref="E77:E78"/>
    <mergeCell ref="E85:E86"/>
    <mergeCell ref="E88:E89"/>
    <mergeCell ref="E112:E113"/>
    <mergeCell ref="E175:E176"/>
    <mergeCell ref="E177:E178"/>
    <mergeCell ref="G12:G14"/>
    <mergeCell ref="G18:G19"/>
    <mergeCell ref="G24:G25"/>
    <mergeCell ref="G30:G31"/>
    <mergeCell ref="G32:G38"/>
    <mergeCell ref="G41:G43"/>
    <mergeCell ref="H12:H14"/>
    <mergeCell ref="H18:H19"/>
    <mergeCell ref="H24:H25"/>
    <mergeCell ref="H30:H31"/>
    <mergeCell ref="H32:H38"/>
    <mergeCell ref="H41:H43"/>
    <mergeCell ref="I114:I115"/>
  </mergeCells>
  <pageMargins left="0.75" right="0.75" top="1" bottom="1" header="0.5" footer="0.5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Z133"/>
  <sheetViews>
    <sheetView zoomScale="85" zoomScaleNormal="85" workbookViewId="0">
      <pane ySplit="2" topLeftCell="A91" activePane="bottomLeft" state="frozen"/>
      <selection/>
      <selection pane="bottomLeft" activeCell="C117" sqref="C117"/>
    </sheetView>
  </sheetViews>
  <sheetFormatPr defaultColWidth="10.75" defaultRowHeight="13.5" customHeight="1"/>
  <cols>
    <col min="1" max="1" width="7.25" style="84" customWidth="1"/>
    <col min="2" max="2" width="12.75" style="85" customWidth="1"/>
    <col min="3" max="3" width="12.75" style="84" customWidth="1"/>
    <col min="4" max="4" width="41.25" style="84" customWidth="1"/>
    <col min="5" max="5" width="10.75" style="84" hidden="1" customWidth="1"/>
    <col min="6" max="6" width="11.8796296296296" style="86" hidden="1" customWidth="1"/>
    <col min="7" max="7" width="10.1296296296296" style="87" hidden="1" customWidth="1"/>
    <col min="8" max="8" width="10" style="84" hidden="1" customWidth="1"/>
    <col min="9" max="9" width="35.6296296296296" style="84" hidden="1" customWidth="1"/>
    <col min="10" max="10" width="16.25" style="88" hidden="1" customWidth="1"/>
    <col min="11" max="11" width="11.6296296296296" style="88" hidden="1" customWidth="1"/>
    <col min="12" max="13" width="16.6296296296296" style="88" hidden="1" customWidth="1"/>
    <col min="14" max="14" width="17.3796296296296" style="84" hidden="1" customWidth="1"/>
    <col min="15" max="15" width="14.1296296296296" style="84" hidden="1" customWidth="1"/>
    <col min="16" max="16" width="2.37962962962963" style="89" customWidth="1"/>
    <col min="17" max="17" width="3.25" style="73" customWidth="1"/>
    <col min="18" max="18" width="9.25" style="84" customWidth="1" outlineLevel="1"/>
    <col min="19" max="19" width="15" style="84" customWidth="1" outlineLevel="1"/>
    <col min="20" max="20" width="9.12962962962963" style="87" customWidth="1" outlineLevel="1"/>
    <col min="21" max="21" width="11.3796296296296" style="87" customWidth="1" outlineLevel="1"/>
    <col min="22" max="22" width="11.8796296296296" style="84" customWidth="1" outlineLevel="1"/>
    <col min="23" max="23" width="11" style="86" customWidth="1" outlineLevel="1"/>
    <col min="24" max="24" width="13.3796296296296" style="86" customWidth="1" outlineLevel="1"/>
    <col min="25" max="25" width="16.3796296296296" style="86" customWidth="1" outlineLevel="1"/>
    <col min="26" max="26" width="15.6296296296296" style="86" customWidth="1" outlineLevel="1"/>
    <col min="27" max="27" width="15.6296296296296" style="90" hidden="1" customWidth="1" outlineLevel="1"/>
    <col min="28" max="29" width="15.6296296296296" style="86" hidden="1" customWidth="1" outlineLevel="1"/>
    <col min="30" max="30" width="12.25" style="86" hidden="1" customWidth="1" outlineLevel="1"/>
    <col min="31" max="31" width="13.3796296296296" style="86" hidden="1" customWidth="1" outlineLevel="1"/>
    <col min="32" max="32" width="2.37962962962963" style="91" customWidth="1"/>
    <col min="33" max="33" width="32.1296296296296" style="84" hidden="1" customWidth="1"/>
    <col min="34" max="34" width="13.3796296296296" style="84" customWidth="1" outlineLevel="1"/>
    <col min="35" max="35" width="11.75" style="84" customWidth="1" outlineLevel="1"/>
    <col min="36" max="36" width="13.3796296296296" style="86" customWidth="1" outlineLevel="1"/>
    <col min="37" max="37" width="15.3796296296296" style="86" customWidth="1" outlineLevel="1"/>
    <col min="38" max="38" width="13.1296296296296" style="84" customWidth="1" outlineLevel="1"/>
    <col min="39" max="39" width="2.75" style="91" customWidth="1"/>
    <col min="40" max="40" width="16.25" style="88" customWidth="1" outlineLevel="1"/>
    <col min="41" max="41" width="12.8796296296296" style="86" customWidth="1" outlineLevel="1"/>
    <col min="42" max="43" width="16.6296296296296" style="92" customWidth="1" outlineLevel="1"/>
    <col min="44" max="44" width="14.3796296296296" style="92" customWidth="1" outlineLevel="1"/>
    <col min="45" max="45" width="17.8796296296296" style="92" customWidth="1" outlineLevel="1"/>
    <col min="46" max="46" width="14.8796296296296" style="84" customWidth="1" outlineLevel="1"/>
    <col min="47" max="50" width="10.75" style="84" customWidth="1" outlineLevel="1"/>
    <col min="51" max="51" width="10.75" style="93" customWidth="1" outlineLevel="1"/>
    <col min="52" max="52" width="2.37962962962963" style="73" customWidth="1"/>
    <col min="53" max="53" width="10.75" style="84" customWidth="1"/>
    <col min="54" max="16384" width="10.75" style="84"/>
  </cols>
  <sheetData>
    <row r="1" s="73" customFormat="1" ht="31.15" customHeight="1" spans="1:52">
      <c r="A1" s="94" t="s">
        <v>0</v>
      </c>
      <c r="B1" s="95"/>
      <c r="C1" s="95"/>
      <c r="D1" s="95"/>
      <c r="E1" s="96"/>
      <c r="F1" s="96"/>
      <c r="G1" s="97"/>
      <c r="H1" s="98"/>
      <c r="I1" s="98"/>
      <c r="J1" s="99"/>
      <c r="K1" s="99"/>
      <c r="L1" s="99"/>
      <c r="M1" s="99"/>
      <c r="N1" s="98"/>
      <c r="O1" s="98"/>
      <c r="P1" s="89"/>
      <c r="R1" s="100" t="s">
        <v>1</v>
      </c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101"/>
      <c r="AF1" s="102"/>
      <c r="AH1" s="100" t="s">
        <v>2</v>
      </c>
      <c r="AI1" s="95"/>
      <c r="AJ1" s="95"/>
      <c r="AK1" s="95"/>
      <c r="AL1" s="101"/>
      <c r="AM1" s="102"/>
      <c r="AN1" s="103" t="s">
        <v>1694</v>
      </c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</row>
    <row r="2" s="74" customFormat="1" ht="57.6" customHeight="1" spans="1:52">
      <c r="A2" s="74" t="s">
        <v>4</v>
      </c>
      <c r="B2" s="104" t="s">
        <v>6</v>
      </c>
      <c r="C2" s="105" t="s">
        <v>7</v>
      </c>
      <c r="D2" s="105" t="s">
        <v>8</v>
      </c>
      <c r="E2" s="106" t="s">
        <v>7</v>
      </c>
      <c r="F2" s="107"/>
      <c r="G2" s="108" t="s">
        <v>1695</v>
      </c>
      <c r="H2" s="105" t="s">
        <v>10</v>
      </c>
      <c r="I2" s="106" t="s">
        <v>8</v>
      </c>
      <c r="J2" s="109" t="s">
        <v>11</v>
      </c>
      <c r="K2" s="109" t="s">
        <v>12</v>
      </c>
      <c r="L2" s="109" t="s">
        <v>13</v>
      </c>
      <c r="M2" s="109" t="s">
        <v>14</v>
      </c>
      <c r="N2" s="105" t="s">
        <v>1696</v>
      </c>
      <c r="O2" s="105" t="s">
        <v>16</v>
      </c>
      <c r="R2" s="105" t="s">
        <v>17</v>
      </c>
      <c r="S2" s="105" t="s">
        <v>18</v>
      </c>
      <c r="T2" s="108" t="s">
        <v>19</v>
      </c>
      <c r="U2" s="108" t="s">
        <v>1697</v>
      </c>
      <c r="V2" s="105" t="s">
        <v>11</v>
      </c>
      <c r="W2" s="107" t="s">
        <v>12</v>
      </c>
      <c r="X2" s="107" t="s">
        <v>13</v>
      </c>
      <c r="Y2" s="107" t="s">
        <v>24</v>
      </c>
      <c r="Z2" s="107" t="s">
        <v>25</v>
      </c>
      <c r="AA2" s="110" t="s">
        <v>26</v>
      </c>
      <c r="AB2" s="107" t="s">
        <v>27</v>
      </c>
      <c r="AC2" s="107" t="s">
        <v>28</v>
      </c>
      <c r="AD2" s="107" t="s">
        <v>29</v>
      </c>
      <c r="AE2" s="107" t="s">
        <v>30</v>
      </c>
      <c r="AH2" s="105" t="s">
        <v>11</v>
      </c>
      <c r="AI2" s="105" t="s">
        <v>12</v>
      </c>
      <c r="AJ2" s="107" t="s">
        <v>13</v>
      </c>
      <c r="AK2" s="107" t="s">
        <v>1696</v>
      </c>
      <c r="AL2" s="105" t="s">
        <v>31</v>
      </c>
      <c r="AN2" s="109" t="s">
        <v>38</v>
      </c>
      <c r="AO2" s="107" t="s">
        <v>39</v>
      </c>
      <c r="AP2" s="111" t="s">
        <v>40</v>
      </c>
      <c r="AQ2" s="111" t="s">
        <v>41</v>
      </c>
      <c r="AR2" s="111" t="s">
        <v>42</v>
      </c>
      <c r="AS2" s="111" t="s">
        <v>31</v>
      </c>
      <c r="AT2" s="105" t="s">
        <v>43</v>
      </c>
      <c r="AU2" s="105" t="s">
        <v>44</v>
      </c>
      <c r="AV2" s="105" t="s">
        <v>45</v>
      </c>
      <c r="AW2" s="105" t="s">
        <v>46</v>
      </c>
      <c r="AX2" s="105" t="s">
        <v>47</v>
      </c>
      <c r="AY2" s="74" t="s">
        <v>48</v>
      </c>
    </row>
    <row r="3" s="75" customFormat="1" ht="14.45" customHeight="1" outlineLevel="2" spans="1:52">
      <c r="A3" s="76"/>
      <c r="B3" s="112">
        <v>45215</v>
      </c>
      <c r="C3" s="76" t="s">
        <v>131</v>
      </c>
      <c r="D3" s="113" t="s">
        <v>101</v>
      </c>
      <c r="E3" s="76" t="s">
        <v>131</v>
      </c>
      <c r="F3" s="114"/>
      <c r="G3" s="115"/>
      <c r="H3" s="116" t="s">
        <v>93</v>
      </c>
      <c r="I3" s="113" t="s">
        <v>101</v>
      </c>
      <c r="J3" s="117">
        <v>81</v>
      </c>
      <c r="K3" s="117">
        <v>6950</v>
      </c>
      <c r="L3" s="117">
        <f>J3*K3</f>
        <v>562950</v>
      </c>
      <c r="M3" s="117"/>
      <c r="N3" s="115"/>
      <c r="O3" s="115"/>
      <c r="P3" s="74"/>
      <c r="Q3" s="74"/>
      <c r="R3" s="115" t="s">
        <v>88</v>
      </c>
      <c r="S3" s="115"/>
      <c r="T3" s="118"/>
      <c r="U3" s="115"/>
      <c r="V3" s="115">
        <v>81.81</v>
      </c>
      <c r="W3" s="119">
        <v>6750</v>
      </c>
      <c r="X3" s="119">
        <f>V3*W3</f>
        <v>552217.5</v>
      </c>
      <c r="Y3" s="119"/>
      <c r="Z3" s="119"/>
      <c r="AA3" s="120"/>
      <c r="AB3" s="119"/>
      <c r="AC3" s="119"/>
      <c r="AD3" s="119"/>
      <c r="AE3" s="121"/>
      <c r="AF3" s="74"/>
      <c r="AG3" s="122"/>
      <c r="AH3" s="123">
        <v>81.81</v>
      </c>
      <c r="AI3" s="124">
        <v>6950</v>
      </c>
      <c r="AJ3" s="125">
        <f>AI3*AH3</f>
        <v>568579.5</v>
      </c>
      <c r="AK3" s="119"/>
      <c r="AL3" s="126"/>
      <c r="AM3" s="74"/>
      <c r="AN3" s="123">
        <v>81.81</v>
      </c>
      <c r="AO3" s="124">
        <v>6950</v>
      </c>
      <c r="AP3" s="125">
        <f>AO3*AN3</f>
        <v>568579.5</v>
      </c>
      <c r="AQ3" s="125">
        <v>0</v>
      </c>
      <c r="AR3" s="125"/>
      <c r="AS3" s="127">
        <f t="shared" ref="AS3:AS12" si="0">AQ3-AP3</f>
        <v>-568579.5</v>
      </c>
      <c r="AT3" s="115"/>
      <c r="AU3" s="115"/>
      <c r="AV3" s="115"/>
      <c r="AW3" s="115"/>
      <c r="AZ3" s="74"/>
    </row>
    <row r="4" s="75" customFormat="1" ht="14.45" customHeight="1" outlineLevel="2" spans="1:52">
      <c r="A4" s="76"/>
      <c r="B4" s="112">
        <v>45215</v>
      </c>
      <c r="C4" s="76" t="s">
        <v>132</v>
      </c>
      <c r="D4" s="113" t="s">
        <v>101</v>
      </c>
      <c r="E4" s="76" t="s">
        <v>132</v>
      </c>
      <c r="F4" s="114"/>
      <c r="G4" s="115"/>
      <c r="H4" s="116" t="s">
        <v>93</v>
      </c>
      <c r="I4" s="113" t="s">
        <v>101</v>
      </c>
      <c r="J4" s="117">
        <v>81</v>
      </c>
      <c r="K4" s="117">
        <v>6950</v>
      </c>
      <c r="L4" s="117">
        <f>J4*K4</f>
        <v>562950</v>
      </c>
      <c r="M4" s="117"/>
      <c r="N4" s="115"/>
      <c r="O4" s="115"/>
      <c r="P4" s="74"/>
      <c r="Q4" s="74"/>
      <c r="R4" s="115" t="s">
        <v>88</v>
      </c>
      <c r="S4" s="115"/>
      <c r="T4" s="118"/>
      <c r="U4" s="115"/>
      <c r="V4" s="115">
        <v>82.298</v>
      </c>
      <c r="W4" s="119">
        <v>6750</v>
      </c>
      <c r="X4" s="119">
        <f>V4*W4</f>
        <v>555511.5</v>
      </c>
      <c r="Y4" s="119"/>
      <c r="Z4" s="119"/>
      <c r="AA4" s="120"/>
      <c r="AB4" s="119"/>
      <c r="AC4" s="119"/>
      <c r="AD4" s="119"/>
      <c r="AE4" s="121"/>
      <c r="AF4" s="74"/>
      <c r="AG4" s="122"/>
      <c r="AH4" s="123">
        <v>82.298</v>
      </c>
      <c r="AI4" s="124">
        <v>6950</v>
      </c>
      <c r="AJ4" s="125">
        <f>AI4*AH4</f>
        <v>571971.1</v>
      </c>
      <c r="AK4" s="119"/>
      <c r="AL4" s="126"/>
      <c r="AM4" s="74"/>
      <c r="AN4" s="123">
        <v>82.298</v>
      </c>
      <c r="AO4" s="124">
        <v>6950</v>
      </c>
      <c r="AP4" s="125">
        <f>AO4*AN4</f>
        <v>571971.1</v>
      </c>
      <c r="AQ4" s="125">
        <v>607500</v>
      </c>
      <c r="AR4" s="125"/>
      <c r="AS4" s="127">
        <f t="shared" si="0"/>
        <v>35528.9</v>
      </c>
      <c r="AT4" s="115"/>
      <c r="AU4" s="115"/>
      <c r="AV4" s="115"/>
      <c r="AW4" s="115"/>
      <c r="AZ4" s="74"/>
    </row>
    <row r="5" s="75" customFormat="1" ht="14.45" customHeight="1" outlineLevel="2" spans="1:52">
      <c r="A5" s="76"/>
      <c r="B5" s="112">
        <v>45215</v>
      </c>
      <c r="C5" s="76" t="s">
        <v>133</v>
      </c>
      <c r="D5" s="113" t="s">
        <v>103</v>
      </c>
      <c r="E5" s="76" t="s">
        <v>133</v>
      </c>
      <c r="F5" s="114"/>
      <c r="G5" s="115"/>
      <c r="H5" s="116" t="s">
        <v>93</v>
      </c>
      <c r="I5" s="113" t="s">
        <v>103</v>
      </c>
      <c r="J5" s="117">
        <v>81</v>
      </c>
      <c r="K5" s="117">
        <v>9375</v>
      </c>
      <c r="L5" s="117">
        <f>J5*K5</f>
        <v>759375</v>
      </c>
      <c r="M5" s="117"/>
      <c r="N5" s="115"/>
      <c r="O5" s="115"/>
      <c r="P5" s="74"/>
      <c r="Q5" s="74"/>
      <c r="R5" s="115" t="s">
        <v>88</v>
      </c>
      <c r="S5" s="115"/>
      <c r="T5" s="118"/>
      <c r="U5" s="115"/>
      <c r="V5" s="115">
        <v>81.651</v>
      </c>
      <c r="W5" s="119">
        <v>9150</v>
      </c>
      <c r="X5" s="119">
        <f>V5*W5</f>
        <v>747106.65</v>
      </c>
      <c r="Y5" s="119"/>
      <c r="Z5" s="119"/>
      <c r="AA5" s="120"/>
      <c r="AB5" s="119"/>
      <c r="AC5" s="119"/>
      <c r="AD5" s="119"/>
      <c r="AE5" s="121"/>
      <c r="AF5" s="74"/>
      <c r="AG5" s="122"/>
      <c r="AH5" s="123">
        <v>81.651</v>
      </c>
      <c r="AI5" s="124">
        <v>9375</v>
      </c>
      <c r="AJ5" s="125">
        <f>AI5*AH5</f>
        <v>765478.125</v>
      </c>
      <c r="AK5" s="119"/>
      <c r="AL5" s="126"/>
      <c r="AM5" s="74"/>
      <c r="AN5" s="123">
        <v>81.651</v>
      </c>
      <c r="AO5" s="124">
        <v>9375</v>
      </c>
      <c r="AP5" s="125">
        <f>AO5*AN5</f>
        <v>765478.125</v>
      </c>
      <c r="AQ5" s="125">
        <v>59489.84</v>
      </c>
      <c r="AR5" s="125"/>
      <c r="AS5" s="127">
        <f t="shared" si="0"/>
        <v>-705988.285</v>
      </c>
      <c r="AT5" s="115"/>
      <c r="AU5" s="115"/>
      <c r="AV5" s="115"/>
      <c r="AW5" s="115"/>
      <c r="AZ5" s="74"/>
    </row>
    <row r="6" s="75" customFormat="1" ht="14.45" customHeight="1" outlineLevel="2" spans="1:52">
      <c r="A6" s="76"/>
      <c r="B6" s="112">
        <v>45215</v>
      </c>
      <c r="C6" s="76" t="s">
        <v>134</v>
      </c>
      <c r="D6" s="113" t="s">
        <v>103</v>
      </c>
      <c r="E6" s="76" t="s">
        <v>134</v>
      </c>
      <c r="F6" s="114"/>
      <c r="G6" s="115"/>
      <c r="H6" s="116" t="s">
        <v>93</v>
      </c>
      <c r="I6" s="113" t="s">
        <v>103</v>
      </c>
      <c r="J6" s="117">
        <v>81</v>
      </c>
      <c r="K6" s="117">
        <v>9375</v>
      </c>
      <c r="L6" s="117">
        <f>J6*K6</f>
        <v>759375</v>
      </c>
      <c r="M6" s="117"/>
      <c r="N6" s="115"/>
      <c r="O6" s="115"/>
      <c r="P6" s="74"/>
      <c r="Q6" s="74"/>
      <c r="R6" s="115" t="s">
        <v>88</v>
      </c>
      <c r="S6" s="115"/>
      <c r="T6" s="118"/>
      <c r="U6" s="115"/>
      <c r="V6" s="115">
        <v>81.473</v>
      </c>
      <c r="W6" s="119">
        <v>9150</v>
      </c>
      <c r="X6" s="119">
        <f>V6*W6</f>
        <v>745477.95</v>
      </c>
      <c r="Y6" s="119"/>
      <c r="Z6" s="119"/>
      <c r="AA6" s="120"/>
      <c r="AB6" s="119"/>
      <c r="AC6" s="119"/>
      <c r="AD6" s="119"/>
      <c r="AE6" s="121"/>
      <c r="AF6" s="74"/>
      <c r="AG6" s="122"/>
      <c r="AH6" s="123">
        <v>81.473</v>
      </c>
      <c r="AI6" s="124">
        <v>9375</v>
      </c>
      <c r="AJ6" s="125">
        <f>AI6*AH6</f>
        <v>763809.375</v>
      </c>
      <c r="AK6" s="119"/>
      <c r="AL6" s="126"/>
      <c r="AM6" s="74"/>
      <c r="AN6" s="123">
        <v>81.473</v>
      </c>
      <c r="AO6" s="124">
        <v>9375</v>
      </c>
      <c r="AP6" s="125">
        <f>AO6*AN6</f>
        <v>763809.375</v>
      </c>
      <c r="AQ6" s="125">
        <v>1800000</v>
      </c>
      <c r="AR6" s="125"/>
      <c r="AS6" s="127">
        <f t="shared" si="0"/>
        <v>1036190.625</v>
      </c>
      <c r="AT6" s="115"/>
      <c r="AU6" s="115"/>
      <c r="AV6" s="115"/>
      <c r="AW6" s="115"/>
      <c r="AZ6" s="74"/>
    </row>
    <row r="7" s="75" customFormat="1" ht="14.45" customHeight="1" outlineLevel="2" spans="1:52">
      <c r="A7" s="76"/>
      <c r="B7" s="112">
        <v>45216</v>
      </c>
      <c r="C7" s="76" t="s">
        <v>99</v>
      </c>
      <c r="D7" s="113"/>
      <c r="E7" s="76" t="s">
        <v>99</v>
      </c>
      <c r="F7" s="114"/>
      <c r="G7" s="115"/>
      <c r="H7" s="116" t="s">
        <v>93</v>
      </c>
      <c r="I7" s="113"/>
      <c r="J7" s="117"/>
      <c r="K7" s="117"/>
      <c r="L7" s="117"/>
      <c r="M7" s="117"/>
      <c r="N7" s="115"/>
      <c r="O7" s="115"/>
      <c r="P7" s="74"/>
      <c r="Q7" s="74"/>
      <c r="R7" s="115"/>
      <c r="S7" s="115"/>
      <c r="T7" s="118"/>
      <c r="U7" s="115"/>
      <c r="V7" s="115"/>
      <c r="W7" s="119"/>
      <c r="X7" s="119"/>
      <c r="Y7" s="119"/>
      <c r="Z7" s="119"/>
      <c r="AA7" s="120"/>
      <c r="AB7" s="119"/>
      <c r="AC7" s="119"/>
      <c r="AD7" s="119"/>
      <c r="AE7" s="121"/>
      <c r="AF7" s="74"/>
      <c r="AG7" s="122"/>
      <c r="AH7" s="128"/>
      <c r="AI7" s="115"/>
      <c r="AJ7" s="119"/>
      <c r="AK7" s="119"/>
      <c r="AL7" s="126"/>
      <c r="AM7" s="74"/>
      <c r="AN7" s="123"/>
      <c r="AO7" s="124"/>
      <c r="AP7" s="125"/>
      <c r="AQ7" s="125">
        <v>202848.26</v>
      </c>
      <c r="AR7" s="125"/>
      <c r="AS7" s="127">
        <f t="shared" si="0"/>
        <v>202848.26</v>
      </c>
      <c r="AT7" s="115"/>
      <c r="AU7" s="115"/>
      <c r="AV7" s="115"/>
      <c r="AW7" s="115"/>
      <c r="AZ7" s="74"/>
    </row>
    <row r="8" s="76" customFormat="1" ht="14.45" customHeight="1" outlineLevel="2" spans="1:52">
      <c r="B8" s="112">
        <v>45212</v>
      </c>
      <c r="C8" s="76" t="s">
        <v>143</v>
      </c>
      <c r="D8" s="76" t="s">
        <v>1698</v>
      </c>
      <c r="E8" s="76" t="s">
        <v>143</v>
      </c>
      <c r="F8" s="114"/>
      <c r="G8" s="112"/>
      <c r="H8" s="76" t="s">
        <v>93</v>
      </c>
      <c r="I8" s="76" t="s">
        <v>1698</v>
      </c>
      <c r="J8" s="129">
        <v>933520</v>
      </c>
      <c r="K8" s="130">
        <v>0.27</v>
      </c>
      <c r="L8" s="130">
        <f>J8*K8</f>
        <v>252050.4</v>
      </c>
      <c r="M8" s="130"/>
      <c r="N8" s="131"/>
      <c r="O8" s="132"/>
      <c r="P8" s="91"/>
      <c r="Q8" s="91"/>
      <c r="R8" s="76" t="s">
        <v>88</v>
      </c>
      <c r="T8" s="133"/>
      <c r="U8" s="112"/>
      <c r="V8" s="129">
        <v>933520</v>
      </c>
      <c r="W8" s="130">
        <v>0.27</v>
      </c>
      <c r="X8" s="130">
        <f>V8*W8</f>
        <v>252050.4</v>
      </c>
      <c r="Y8" s="134"/>
      <c r="Z8" s="134"/>
      <c r="AA8" s="135"/>
      <c r="AB8" s="134"/>
      <c r="AC8" s="134"/>
      <c r="AD8" s="134"/>
      <c r="AE8" s="136"/>
      <c r="AF8" s="91"/>
      <c r="AG8" s="137"/>
      <c r="AH8" s="137">
        <v>933520</v>
      </c>
      <c r="AI8" s="138">
        <v>0.244</v>
      </c>
      <c r="AJ8" s="114">
        <f>AH8*AI8</f>
        <v>227778.88</v>
      </c>
      <c r="AK8" s="114"/>
      <c r="AL8" s="139"/>
      <c r="AM8" s="91"/>
      <c r="AN8" s="137">
        <v>933520</v>
      </c>
      <c r="AO8" s="138">
        <v>0.244</v>
      </c>
      <c r="AP8" s="114">
        <f>AN8*AO8</f>
        <v>227778.88</v>
      </c>
      <c r="AQ8" s="127">
        <v>152976.6</v>
      </c>
      <c r="AR8" s="127"/>
      <c r="AS8" s="127">
        <f t="shared" si="0"/>
        <v>-74802.28</v>
      </c>
      <c r="AV8" s="112"/>
      <c r="AY8" s="75"/>
      <c r="AZ8" s="91"/>
    </row>
    <row r="9" s="76" customFormat="1" ht="14.45" customHeight="1" outlineLevel="2" spans="1:52">
      <c r="B9" s="112"/>
      <c r="D9" s="76" t="s">
        <v>1699</v>
      </c>
      <c r="F9" s="114"/>
      <c r="G9" s="112"/>
      <c r="I9" s="76" t="s">
        <v>1699</v>
      </c>
      <c r="J9" s="129">
        <v>478800</v>
      </c>
      <c r="K9" s="130">
        <v>0.265</v>
      </c>
      <c r="L9" s="130">
        <f>J9*K9</f>
        <v>126882</v>
      </c>
      <c r="M9" s="130"/>
      <c r="N9" s="131"/>
      <c r="O9" s="132"/>
      <c r="P9" s="91"/>
      <c r="Q9" s="91"/>
      <c r="R9" s="76" t="s">
        <v>88</v>
      </c>
      <c r="T9" s="133"/>
      <c r="U9" s="112"/>
      <c r="V9" s="129">
        <v>478800</v>
      </c>
      <c r="W9" s="130">
        <v>0.265</v>
      </c>
      <c r="X9" s="130">
        <f>V9*W9</f>
        <v>126882</v>
      </c>
      <c r="Y9" s="134"/>
      <c r="Z9" s="134"/>
      <c r="AA9" s="135"/>
      <c r="AB9" s="134"/>
      <c r="AC9" s="134"/>
      <c r="AD9" s="134"/>
      <c r="AE9" s="136"/>
      <c r="AF9" s="91"/>
      <c r="AG9" s="137"/>
      <c r="AH9" s="137">
        <v>478800</v>
      </c>
      <c r="AI9" s="138">
        <v>0.24</v>
      </c>
      <c r="AJ9" s="114">
        <f>AH9*AI9</f>
        <v>114912</v>
      </c>
      <c r="AK9" s="114"/>
      <c r="AL9" s="139"/>
      <c r="AM9" s="91"/>
      <c r="AN9" s="137">
        <v>478800</v>
      </c>
      <c r="AO9" s="138">
        <v>0.24</v>
      </c>
      <c r="AP9" s="114">
        <f>AN9*AO9</f>
        <v>114912</v>
      </c>
      <c r="AQ9" s="127"/>
      <c r="AR9" s="127"/>
      <c r="AS9" s="127">
        <f t="shared" si="0"/>
        <v>-114912</v>
      </c>
      <c r="AV9" s="112"/>
      <c r="AY9" s="75"/>
      <c r="AZ9" s="91"/>
    </row>
    <row r="10" s="76" customFormat="1" ht="14.45" customHeight="1" outlineLevel="2" spans="1:52">
      <c r="B10" s="112"/>
      <c r="D10" s="76" t="s">
        <v>1700</v>
      </c>
      <c r="F10" s="114"/>
      <c r="G10" s="112"/>
      <c r="I10" s="76" t="s">
        <v>1700</v>
      </c>
      <c r="J10" s="129">
        <v>478800</v>
      </c>
      <c r="K10" s="130">
        <v>0.26</v>
      </c>
      <c r="L10" s="130">
        <f>J10*K10</f>
        <v>124488</v>
      </c>
      <c r="M10" s="130"/>
      <c r="N10" s="131"/>
      <c r="O10" s="132"/>
      <c r="P10" s="91"/>
      <c r="Q10" s="91"/>
      <c r="R10" s="76" t="s">
        <v>88</v>
      </c>
      <c r="T10" s="133"/>
      <c r="U10" s="112"/>
      <c r="V10" s="129">
        <v>478800</v>
      </c>
      <c r="W10" s="130">
        <v>0.26</v>
      </c>
      <c r="X10" s="130">
        <f>V10*W10</f>
        <v>124488</v>
      </c>
      <c r="Y10" s="134"/>
      <c r="Z10" s="134"/>
      <c r="AA10" s="135"/>
      <c r="AB10" s="134"/>
      <c r="AC10" s="134"/>
      <c r="AD10" s="134"/>
      <c r="AE10" s="136"/>
      <c r="AF10" s="91"/>
      <c r="AG10" s="137"/>
      <c r="AH10" s="137">
        <v>478800</v>
      </c>
      <c r="AI10" s="138">
        <v>0.235</v>
      </c>
      <c r="AJ10" s="114">
        <f>AH10*AI10</f>
        <v>112518</v>
      </c>
      <c r="AK10" s="114"/>
      <c r="AL10" s="139"/>
      <c r="AM10" s="91"/>
      <c r="AN10" s="137">
        <v>478800</v>
      </c>
      <c r="AO10" s="138">
        <v>0.235</v>
      </c>
      <c r="AP10" s="114">
        <f>AN10*AO10</f>
        <v>112518</v>
      </c>
      <c r="AQ10" s="127"/>
      <c r="AR10" s="127"/>
      <c r="AS10" s="127">
        <f t="shared" si="0"/>
        <v>-112518</v>
      </c>
      <c r="AV10" s="112"/>
      <c r="AY10" s="75"/>
      <c r="AZ10" s="91"/>
    </row>
    <row r="11" s="76" customFormat="1" ht="14.45" customHeight="1" outlineLevel="2" spans="1:52">
      <c r="B11" s="112">
        <v>45440</v>
      </c>
      <c r="C11" s="76" t="s">
        <v>194</v>
      </c>
      <c r="D11" s="113" t="s">
        <v>141</v>
      </c>
      <c r="E11" s="76" t="s">
        <v>194</v>
      </c>
      <c r="F11" s="114"/>
      <c r="H11" s="79" t="s">
        <v>93</v>
      </c>
      <c r="I11" s="113" t="s">
        <v>141</v>
      </c>
      <c r="J11" s="129">
        <v>1956050</v>
      </c>
      <c r="K11" s="129">
        <v>0.01832</v>
      </c>
      <c r="L11" s="129">
        <f>J11*K11</f>
        <v>35834.836</v>
      </c>
      <c r="M11" s="129"/>
      <c r="P11" s="91"/>
      <c r="Q11" s="91"/>
      <c r="R11" s="76" t="s">
        <v>88</v>
      </c>
      <c r="T11" s="133"/>
      <c r="V11" s="76">
        <v>1956050</v>
      </c>
      <c r="W11" s="114">
        <v>0.137</v>
      </c>
      <c r="X11" s="114">
        <f>V11*W11</f>
        <v>267978.85</v>
      </c>
      <c r="Y11" s="114"/>
      <c r="Z11" s="114"/>
      <c r="AA11" s="140"/>
      <c r="AB11" s="114"/>
      <c r="AC11" s="114"/>
      <c r="AD11" s="114"/>
      <c r="AE11" s="141"/>
      <c r="AF11" s="91"/>
      <c r="AG11" s="137"/>
      <c r="AH11" s="142">
        <v>1956050</v>
      </c>
      <c r="AI11" s="143">
        <v>0.01832</v>
      </c>
      <c r="AJ11" s="127">
        <f>AH11*AI11</f>
        <v>35834.836</v>
      </c>
      <c r="AK11" s="114"/>
      <c r="AL11" s="144"/>
      <c r="AM11" s="91"/>
      <c r="AN11" s="142">
        <v>1956050</v>
      </c>
      <c r="AO11" s="143">
        <v>0.01832</v>
      </c>
      <c r="AP11" s="127">
        <f>AN11*AO11</f>
        <v>35834.836</v>
      </c>
      <c r="AQ11" s="127">
        <v>7114.8</v>
      </c>
      <c r="AR11" s="127"/>
      <c r="AS11" s="127">
        <f t="shared" si="0"/>
        <v>-28720.036</v>
      </c>
      <c r="AY11" s="75"/>
      <c r="AZ11" s="91"/>
    </row>
    <row r="12" s="76" customFormat="1" ht="14.45" customHeight="1" outlineLevel="2" spans="1:52">
      <c r="B12" s="112"/>
      <c r="F12" s="114"/>
      <c r="H12" s="79" t="s">
        <v>93</v>
      </c>
      <c r="J12" s="129"/>
      <c r="K12" s="129"/>
      <c r="L12" s="129"/>
      <c r="M12" s="129"/>
      <c r="P12" s="91"/>
      <c r="Q12" s="91"/>
      <c r="T12" s="133"/>
      <c r="W12" s="114"/>
      <c r="X12" s="114"/>
      <c r="Y12" s="114"/>
      <c r="Z12" s="114"/>
      <c r="AA12" s="140"/>
      <c r="AB12" s="114"/>
      <c r="AC12" s="114"/>
      <c r="AD12" s="114"/>
      <c r="AE12" s="141"/>
      <c r="AF12" s="91"/>
      <c r="AG12" s="137"/>
      <c r="AH12" s="137"/>
      <c r="AJ12" s="114"/>
      <c r="AK12" s="114"/>
      <c r="AL12" s="144"/>
      <c r="AM12" s="91"/>
      <c r="AN12" s="142"/>
      <c r="AO12" s="114"/>
      <c r="AP12" s="127"/>
      <c r="AQ12" s="127">
        <v>28559.58</v>
      </c>
      <c r="AR12" s="127"/>
      <c r="AS12" s="127">
        <f t="shared" si="0"/>
        <v>28559.58</v>
      </c>
      <c r="AY12" s="75"/>
      <c r="AZ12" s="91"/>
    </row>
    <row r="13" s="76" customFormat="1" ht="14.45" customHeight="1" outlineLevel="2" spans="1:52">
      <c r="B13" s="112">
        <v>45544</v>
      </c>
      <c r="C13" s="76" t="s">
        <v>224</v>
      </c>
      <c r="D13" s="76" t="s">
        <v>115</v>
      </c>
      <c r="E13" s="76" t="s">
        <v>224</v>
      </c>
      <c r="F13" s="114"/>
      <c r="G13" s="145"/>
      <c r="H13" s="76" t="s">
        <v>93</v>
      </c>
      <c r="I13" s="76" t="s">
        <v>115</v>
      </c>
      <c r="J13" s="146">
        <v>54</v>
      </c>
      <c r="K13" s="146">
        <v>6280</v>
      </c>
      <c r="L13" s="147">
        <f>J13*K13</f>
        <v>339120</v>
      </c>
      <c r="M13" s="147"/>
      <c r="N13" s="148">
        <v>99000</v>
      </c>
      <c r="O13" s="76">
        <f>L13-N13</f>
        <v>240120</v>
      </c>
      <c r="P13" s="91"/>
      <c r="Q13" s="91"/>
      <c r="R13" s="76" t="s">
        <v>88</v>
      </c>
      <c r="S13" s="76" t="s">
        <v>225</v>
      </c>
      <c r="T13" s="133">
        <v>45553</v>
      </c>
      <c r="U13" s="112">
        <f>T13+60</f>
        <v>45613</v>
      </c>
      <c r="V13" s="76">
        <v>50</v>
      </c>
      <c r="W13" s="114">
        <v>6100</v>
      </c>
      <c r="X13" s="114">
        <f>V13*W13</f>
        <v>305000</v>
      </c>
      <c r="Y13" s="114"/>
      <c r="Z13" s="114"/>
      <c r="AA13" s="140"/>
      <c r="AB13" s="114"/>
      <c r="AC13" s="114"/>
      <c r="AD13" s="114"/>
      <c r="AE13" s="141"/>
      <c r="AF13" s="91"/>
      <c r="AG13" s="137"/>
      <c r="AH13" s="137"/>
      <c r="AJ13" s="114"/>
      <c r="AK13" s="114"/>
      <c r="AL13" s="144"/>
      <c r="AM13" s="91"/>
      <c r="AN13" s="142"/>
      <c r="AO13" s="114"/>
      <c r="AP13" s="127"/>
      <c r="AQ13" s="127">
        <v>99000</v>
      </c>
      <c r="AR13" s="127"/>
      <c r="AS13" s="127">
        <f>AR13+AQ13-AP13</f>
        <v>99000</v>
      </c>
      <c r="AY13" s="75"/>
      <c r="AZ13" s="91"/>
    </row>
    <row r="14" s="76" customFormat="1" ht="14.45" customHeight="1" outlineLevel="2" spans="1:52">
      <c r="B14" s="112"/>
      <c r="C14" s="76" t="s">
        <v>226</v>
      </c>
      <c r="E14" s="76" t="s">
        <v>226</v>
      </c>
      <c r="F14" s="114"/>
      <c r="G14" s="145"/>
      <c r="H14" s="76" t="s">
        <v>93</v>
      </c>
      <c r="J14" s="129"/>
      <c r="K14" s="146"/>
      <c r="L14" s="147"/>
      <c r="M14" s="147"/>
      <c r="N14" s="148"/>
      <c r="P14" s="91"/>
      <c r="Q14" s="91"/>
      <c r="T14" s="133"/>
      <c r="W14" s="114"/>
      <c r="X14" s="114"/>
      <c r="Y14" s="114"/>
      <c r="Z14" s="114"/>
      <c r="AA14" s="140"/>
      <c r="AB14" s="114"/>
      <c r="AC14" s="114"/>
      <c r="AD14" s="114"/>
      <c r="AE14" s="141"/>
      <c r="AF14" s="91"/>
      <c r="AG14" s="137"/>
      <c r="AH14" s="142">
        <v>41.339</v>
      </c>
      <c r="AI14" s="114">
        <v>6350</v>
      </c>
      <c r="AJ14" s="127">
        <f>AH14*AI14</f>
        <v>262502.65</v>
      </c>
      <c r="AK14" s="114"/>
      <c r="AL14" s="144"/>
      <c r="AM14" s="91"/>
      <c r="AN14" s="142">
        <v>41.339</v>
      </c>
      <c r="AO14" s="114">
        <v>6350</v>
      </c>
      <c r="AP14" s="127">
        <f>AN14*AO14</f>
        <v>262502.65</v>
      </c>
      <c r="AQ14" s="127"/>
      <c r="AR14" s="127"/>
      <c r="AS14" s="127">
        <f>AR14+AQ14-AP14</f>
        <v>-262502.65</v>
      </c>
      <c r="AY14" s="149"/>
      <c r="AZ14" s="91"/>
    </row>
    <row r="15" s="76" customFormat="1" ht="14.45" customHeight="1" outlineLevel="2" spans="1:52">
      <c r="B15" s="112">
        <v>45546</v>
      </c>
      <c r="C15" s="76" t="s">
        <v>231</v>
      </c>
      <c r="D15" s="76" t="s">
        <v>1701</v>
      </c>
      <c r="E15" s="76" t="s">
        <v>231</v>
      </c>
      <c r="F15" s="114"/>
      <c r="G15" s="112">
        <f>B15+60</f>
        <v>45606</v>
      </c>
      <c r="H15" s="76" t="s">
        <v>93</v>
      </c>
      <c r="I15" s="76" t="s">
        <v>1701</v>
      </c>
      <c r="J15" s="129">
        <v>270</v>
      </c>
      <c r="K15" s="131">
        <v>6160</v>
      </c>
      <c r="L15" s="131">
        <f>J15*K15</f>
        <v>1663200</v>
      </c>
      <c r="M15" s="131"/>
      <c r="N15" s="131">
        <v>608400</v>
      </c>
      <c r="O15" s="132">
        <f>L15-N15</f>
        <v>1054800</v>
      </c>
      <c r="P15" s="91"/>
      <c r="Q15" s="91"/>
      <c r="R15" s="76" t="s">
        <v>56</v>
      </c>
      <c r="S15" s="76" t="s">
        <v>1702</v>
      </c>
      <c r="T15" s="133">
        <v>45587</v>
      </c>
      <c r="U15" s="112">
        <f>T15+60</f>
        <v>45647</v>
      </c>
      <c r="V15" s="76">
        <v>312.365</v>
      </c>
      <c r="W15" s="134">
        <v>3660</v>
      </c>
      <c r="X15" s="114">
        <f>V15*W15</f>
        <v>1143255.9</v>
      </c>
      <c r="Y15" s="134">
        <v>1143255.9</v>
      </c>
      <c r="Z15" s="134">
        <f>X15-Y15</f>
        <v>0</v>
      </c>
      <c r="AA15" s="135"/>
      <c r="AB15" s="134"/>
      <c r="AC15" s="134"/>
      <c r="AD15" s="134"/>
      <c r="AE15" s="136"/>
      <c r="AF15" s="91"/>
      <c r="AG15" s="137"/>
      <c r="AH15" s="137">
        <v>264.507</v>
      </c>
      <c r="AI15" s="138">
        <v>6160</v>
      </c>
      <c r="AJ15" s="114">
        <f>AH15*AI15</f>
        <v>1629363.12</v>
      </c>
      <c r="AK15" s="114"/>
      <c r="AL15" s="139"/>
      <c r="AM15" s="91"/>
      <c r="AN15" s="137">
        <f>AH15</f>
        <v>264.507</v>
      </c>
      <c r="AO15" s="114">
        <v>6160</v>
      </c>
      <c r="AP15" s="114">
        <f>AN15*AO15</f>
        <v>1629363.12</v>
      </c>
      <c r="AQ15" s="114">
        <f>N15</f>
        <v>608400</v>
      </c>
      <c r="AR15" s="114">
        <v>1080000</v>
      </c>
      <c r="AS15" s="150">
        <f>AR15+AQ15-AP15</f>
        <v>59036.8799999999</v>
      </c>
      <c r="AT15" s="76" t="s">
        <v>233</v>
      </c>
      <c r="AU15" s="76" t="s">
        <v>234</v>
      </c>
      <c r="AV15" s="112">
        <v>45635</v>
      </c>
      <c r="AW15" s="76">
        <v>2800</v>
      </c>
      <c r="AX15" s="76">
        <f>AH15-AN15</f>
        <v>0</v>
      </c>
      <c r="AY15" s="151" t="s">
        <v>60</v>
      </c>
      <c r="AZ15" s="91"/>
    </row>
    <row r="16" s="76" customFormat="1" ht="14.45" customHeight="1" outlineLevel="2" spans="1:52">
      <c r="B16" s="112"/>
      <c r="F16" s="114"/>
      <c r="G16" s="112"/>
      <c r="J16" s="129"/>
      <c r="K16" s="131"/>
      <c r="L16" s="131"/>
      <c r="M16" s="131"/>
      <c r="N16" s="131"/>
      <c r="O16" s="132"/>
      <c r="P16" s="91"/>
      <c r="Q16" s="91"/>
      <c r="S16" s="76" t="s">
        <v>61</v>
      </c>
      <c r="T16" s="133"/>
      <c r="U16" s="112"/>
      <c r="W16" s="134"/>
      <c r="X16" s="114"/>
      <c r="Y16" s="134"/>
      <c r="Z16" s="134"/>
      <c r="AA16" s="140">
        <v>312.365</v>
      </c>
      <c r="AB16" s="134">
        <v>30</v>
      </c>
      <c r="AC16" s="114">
        <f>AA16*AB16</f>
        <v>9370.95</v>
      </c>
      <c r="AD16" s="134">
        <v>0</v>
      </c>
      <c r="AE16" s="136">
        <f>AC16-AD16</f>
        <v>9370.95</v>
      </c>
      <c r="AF16" s="91"/>
      <c r="AG16" s="137"/>
      <c r="AH16" s="137"/>
      <c r="AI16" s="138"/>
      <c r="AJ16" s="114"/>
      <c r="AK16" s="114"/>
      <c r="AL16" s="139"/>
      <c r="AM16" s="91"/>
      <c r="AN16" s="137"/>
      <c r="AO16" s="114"/>
      <c r="AP16" s="114"/>
      <c r="AQ16" s="114"/>
      <c r="AR16" s="114"/>
      <c r="AS16" s="150"/>
      <c r="AY16" s="151" t="s">
        <v>60</v>
      </c>
      <c r="AZ16" s="91"/>
    </row>
    <row r="17" s="76" customFormat="1" ht="14.45" customHeight="1" outlineLevel="2" spans="2:52">
      <c r="B17" s="112"/>
      <c r="F17" s="114"/>
      <c r="G17" s="112"/>
      <c r="J17" s="129"/>
      <c r="K17" s="131"/>
      <c r="L17" s="131"/>
      <c r="M17" s="131"/>
      <c r="N17" s="131"/>
      <c r="O17" s="132"/>
      <c r="P17" s="91"/>
      <c r="Q17" s="91"/>
      <c r="S17" s="76" t="s">
        <v>62</v>
      </c>
      <c r="T17" s="133"/>
      <c r="U17" s="112"/>
      <c r="V17" s="76">
        <v>35.258</v>
      </c>
      <c r="W17" s="134">
        <v>-3200</v>
      </c>
      <c r="X17" s="114">
        <f>V17*W17</f>
        <v>-112825.6</v>
      </c>
      <c r="Y17" s="134">
        <f>X17</f>
        <v>-112825.6</v>
      </c>
      <c r="Z17" s="114">
        <f>Y17</f>
        <v>-112825.6</v>
      </c>
      <c r="AA17" s="140">
        <v>0.636595750436792</v>
      </c>
      <c r="AB17" s="134">
        <v>-2300</v>
      </c>
      <c r="AC17" s="114">
        <f>AA17*AB17</f>
        <v>-1464.17022600462</v>
      </c>
      <c r="AD17" s="134"/>
      <c r="AE17" s="136"/>
      <c r="AF17" s="91"/>
      <c r="AG17" s="137"/>
      <c r="AH17" s="137"/>
      <c r="AI17" s="138"/>
      <c r="AJ17" s="114"/>
      <c r="AK17" s="114"/>
      <c r="AL17" s="139"/>
      <c r="AM17" s="91"/>
      <c r="AN17" s="137"/>
      <c r="AO17" s="114"/>
      <c r="AP17" s="114"/>
      <c r="AQ17" s="114"/>
      <c r="AR17" s="114"/>
      <c r="AY17" s="151" t="s">
        <v>60</v>
      </c>
      <c r="AZ17" s="91"/>
    </row>
    <row r="18" s="76" customFormat="1" ht="14.45" customHeight="1" outlineLevel="2" spans="2:52">
      <c r="B18" s="112"/>
      <c r="F18" s="114"/>
      <c r="G18" s="112"/>
      <c r="J18" s="129"/>
      <c r="K18" s="131"/>
      <c r="L18" s="131"/>
      <c r="M18" s="131"/>
      <c r="N18" s="131"/>
      <c r="O18" s="132"/>
      <c r="P18" s="91"/>
      <c r="Q18" s="91"/>
      <c r="S18" s="76" t="s">
        <v>63</v>
      </c>
      <c r="T18" s="133"/>
      <c r="U18" s="112"/>
      <c r="W18" s="134"/>
      <c r="X18" s="114"/>
      <c r="Y18" s="134"/>
      <c r="Z18" s="114"/>
      <c r="AA18" s="140">
        <v>275.84</v>
      </c>
      <c r="AB18" s="134">
        <v>20</v>
      </c>
      <c r="AC18" s="114">
        <f>AA18*AB18</f>
        <v>5516.8</v>
      </c>
      <c r="AD18" s="134"/>
      <c r="AE18" s="136"/>
      <c r="AF18" s="91"/>
      <c r="AG18" s="137"/>
      <c r="AH18" s="137"/>
      <c r="AI18" s="138"/>
      <c r="AJ18" s="114"/>
      <c r="AK18" s="114"/>
      <c r="AL18" s="139"/>
      <c r="AM18" s="91"/>
      <c r="AN18" s="137"/>
      <c r="AO18" s="114"/>
      <c r="AP18" s="114"/>
      <c r="AQ18" s="114"/>
      <c r="AR18" s="114"/>
      <c r="AY18" s="151" t="s">
        <v>60</v>
      </c>
      <c r="AZ18" s="91"/>
    </row>
    <row r="19" s="76" customFormat="1" ht="14.45" customHeight="1" outlineLevel="2" spans="2:52">
      <c r="B19" s="112"/>
      <c r="F19" s="114"/>
      <c r="G19" s="112"/>
      <c r="J19" s="129"/>
      <c r="K19" s="131"/>
      <c r="L19" s="131"/>
      <c r="M19" s="131"/>
      <c r="N19" s="131"/>
      <c r="O19" s="132"/>
      <c r="P19" s="91"/>
      <c r="Q19" s="91"/>
      <c r="R19" s="76" t="s">
        <v>64</v>
      </c>
      <c r="S19" s="76" t="s">
        <v>1703</v>
      </c>
      <c r="T19" s="133">
        <v>45610</v>
      </c>
      <c r="U19" s="112">
        <f>T19+21</f>
        <v>45631</v>
      </c>
      <c r="V19" s="76">
        <v>263.883</v>
      </c>
      <c r="W19" s="134">
        <v>810</v>
      </c>
      <c r="X19" s="114">
        <f>V19*W19</f>
        <v>213745.23</v>
      </c>
      <c r="Y19" s="134">
        <v>213745.23</v>
      </c>
      <c r="Z19" s="134">
        <f>X19-Y19</f>
        <v>0</v>
      </c>
      <c r="AA19" s="140"/>
      <c r="AB19" s="134"/>
      <c r="AC19" s="114"/>
      <c r="AD19" s="134"/>
      <c r="AE19" s="136"/>
      <c r="AF19" s="91"/>
      <c r="AG19" s="137"/>
      <c r="AH19" s="137"/>
      <c r="AI19" s="138"/>
      <c r="AJ19" s="114"/>
      <c r="AK19" s="114"/>
      <c r="AL19" s="139"/>
      <c r="AM19" s="91"/>
      <c r="AN19" s="137"/>
      <c r="AO19" s="114"/>
      <c r="AP19" s="114"/>
      <c r="AQ19" s="114"/>
      <c r="AR19" s="114"/>
      <c r="AY19" s="151" t="s">
        <v>60</v>
      </c>
      <c r="AZ19" s="91"/>
    </row>
    <row r="20" s="76" customFormat="1" ht="14.45" customHeight="1" outlineLevel="2" spans="2:52">
      <c r="B20" s="112"/>
      <c r="F20" s="114"/>
      <c r="G20" s="112"/>
      <c r="J20" s="129"/>
      <c r="K20" s="131"/>
      <c r="L20" s="131"/>
      <c r="M20" s="131"/>
      <c r="N20" s="131"/>
      <c r="O20" s="132"/>
      <c r="P20" s="91"/>
      <c r="Q20" s="91"/>
      <c r="S20" s="76" t="s">
        <v>63</v>
      </c>
      <c r="T20" s="133"/>
      <c r="U20" s="112"/>
      <c r="V20" s="76">
        <v>263.883</v>
      </c>
      <c r="W20" s="134">
        <v>30</v>
      </c>
      <c r="X20" s="114">
        <f>V20*W20</f>
        <v>7916.49</v>
      </c>
      <c r="Y20" s="134"/>
      <c r="Z20" s="134">
        <f>X20-Y20</f>
        <v>7916.49</v>
      </c>
      <c r="AA20" s="140"/>
      <c r="AB20" s="134"/>
      <c r="AC20" s="114"/>
      <c r="AD20" s="134"/>
      <c r="AE20" s="136"/>
      <c r="AF20" s="91"/>
      <c r="AG20" s="137"/>
      <c r="AH20" s="137"/>
      <c r="AI20" s="138"/>
      <c r="AJ20" s="114"/>
      <c r="AK20" s="114"/>
      <c r="AL20" s="139"/>
      <c r="AM20" s="91"/>
      <c r="AN20" s="137"/>
      <c r="AO20" s="114"/>
      <c r="AP20" s="114"/>
      <c r="AQ20" s="114"/>
      <c r="AR20" s="114"/>
      <c r="AY20" s="151" t="s">
        <v>60</v>
      </c>
      <c r="AZ20" s="91"/>
    </row>
    <row r="21" s="76" customFormat="1" ht="14.45" customHeight="1" outlineLevel="2" spans="2:52">
      <c r="B21" s="112"/>
      <c r="F21" s="114"/>
      <c r="G21" s="112"/>
      <c r="J21" s="129"/>
      <c r="K21" s="131"/>
      <c r="L21" s="131"/>
      <c r="M21" s="131"/>
      <c r="N21" s="131"/>
      <c r="O21" s="132"/>
      <c r="P21" s="91"/>
      <c r="Q21" s="91"/>
      <c r="R21" s="76" t="s">
        <v>66</v>
      </c>
      <c r="S21" s="76" t="s">
        <v>67</v>
      </c>
      <c r="T21" s="133">
        <v>45627</v>
      </c>
      <c r="U21" s="112">
        <v>45627</v>
      </c>
      <c r="V21" s="76">
        <v>264.507</v>
      </c>
      <c r="W21" s="134">
        <v>1260</v>
      </c>
      <c r="X21" s="114">
        <f>V21*W21</f>
        <v>333278.82</v>
      </c>
      <c r="Y21" s="114">
        <v>333278.82</v>
      </c>
      <c r="Z21" s="134">
        <f>X21-Y21</f>
        <v>0</v>
      </c>
      <c r="AA21" s="140"/>
      <c r="AB21" s="134"/>
      <c r="AC21" s="114"/>
      <c r="AD21" s="134"/>
      <c r="AE21" s="136"/>
      <c r="AF21" s="91"/>
      <c r="AG21" s="137"/>
      <c r="AH21" s="137"/>
      <c r="AI21" s="138"/>
      <c r="AJ21" s="114"/>
      <c r="AK21" s="114"/>
      <c r="AL21" s="139"/>
      <c r="AM21" s="91"/>
      <c r="AN21" s="137"/>
      <c r="AO21" s="114"/>
      <c r="AP21" s="114"/>
      <c r="AQ21" s="114"/>
      <c r="AR21" s="114"/>
      <c r="AY21" s="151" t="s">
        <v>60</v>
      </c>
      <c r="AZ21" s="91"/>
    </row>
    <row r="22" s="76" customFormat="1" ht="14.45" customHeight="1" outlineLevel="2" spans="2:52">
      <c r="B22" s="112"/>
      <c r="F22" s="114"/>
      <c r="J22" s="129"/>
      <c r="K22" s="129"/>
      <c r="L22" s="129"/>
      <c r="M22" s="129"/>
      <c r="P22" s="91"/>
      <c r="Q22" s="91"/>
      <c r="T22" s="133"/>
      <c r="W22" s="114"/>
      <c r="X22" s="114"/>
      <c r="Y22" s="114"/>
      <c r="Z22" s="114"/>
      <c r="AA22" s="140"/>
      <c r="AB22" s="114"/>
      <c r="AC22" s="114"/>
      <c r="AD22" s="114"/>
      <c r="AE22" s="141"/>
      <c r="AF22" s="91"/>
      <c r="AG22" s="137"/>
      <c r="AH22" s="137"/>
      <c r="AJ22" s="114"/>
      <c r="AK22" s="114"/>
      <c r="AL22" s="144"/>
      <c r="AM22" s="91"/>
      <c r="AN22" s="142"/>
      <c r="AO22" s="114"/>
      <c r="AP22" s="127"/>
      <c r="AQ22" s="127"/>
      <c r="AR22" s="127"/>
      <c r="AS22" s="127"/>
      <c r="AY22" s="151" t="s">
        <v>60</v>
      </c>
      <c r="AZ22" s="91"/>
    </row>
    <row r="23" s="76" customFormat="1" ht="14.45" customHeight="1" outlineLevel="2" spans="2:52">
      <c r="B23" s="112">
        <v>45560</v>
      </c>
      <c r="C23" s="76" t="s">
        <v>239</v>
      </c>
      <c r="D23" s="76" t="s">
        <v>240</v>
      </c>
      <c r="E23" s="76" t="s">
        <v>239</v>
      </c>
      <c r="F23" s="114"/>
      <c r="G23" s="112">
        <f>B23+60</f>
        <v>45620</v>
      </c>
      <c r="H23" s="76" t="s">
        <v>93</v>
      </c>
      <c r="I23" s="76" t="s">
        <v>240</v>
      </c>
      <c r="J23" s="129">
        <v>48</v>
      </c>
      <c r="K23" s="131">
        <v>6490</v>
      </c>
      <c r="L23" s="131">
        <f>J23*K23</f>
        <v>311520</v>
      </c>
      <c r="M23" s="131"/>
      <c r="N23" s="131">
        <f>159057/2+388000/2</f>
        <v>273528.5</v>
      </c>
      <c r="O23" s="132">
        <f>L23-N23</f>
        <v>37991.5</v>
      </c>
      <c r="P23" s="91"/>
      <c r="Q23" s="91"/>
      <c r="R23" s="76" t="s">
        <v>56</v>
      </c>
      <c r="S23" s="76" t="s">
        <v>1702</v>
      </c>
      <c r="T23" s="133">
        <v>45589</v>
      </c>
      <c r="U23" s="112">
        <f>T23+60</f>
        <v>45649</v>
      </c>
      <c r="V23" s="76">
        <v>49.09</v>
      </c>
      <c r="W23" s="134">
        <v>3660</v>
      </c>
      <c r="X23" s="114">
        <f>V23*W23</f>
        <v>179669.4</v>
      </c>
      <c r="Y23" s="134">
        <f>X23</f>
        <v>179669.4</v>
      </c>
      <c r="Z23" s="134">
        <f>X23-Y23</f>
        <v>0</v>
      </c>
      <c r="AA23" s="135"/>
      <c r="AB23" s="134"/>
      <c r="AC23" s="134"/>
      <c r="AD23" s="134"/>
      <c r="AE23" s="136"/>
      <c r="AF23" s="91"/>
      <c r="AG23" s="137"/>
      <c r="AH23" s="137">
        <v>42.337</v>
      </c>
      <c r="AI23" s="134">
        <v>5892</v>
      </c>
      <c r="AJ23" s="114">
        <f>AI23*AH23</f>
        <v>249449.604</v>
      </c>
      <c r="AK23" s="114">
        <f>N23</f>
        <v>273528.5</v>
      </c>
      <c r="AL23" s="141">
        <f>AJ23-AK23</f>
        <v>-24078.896</v>
      </c>
      <c r="AM23" s="91"/>
      <c r="AN23" s="137">
        <v>42.503</v>
      </c>
      <c r="AO23" s="134">
        <v>5892</v>
      </c>
      <c r="AP23" s="114">
        <f>AO23*AN23</f>
        <v>250427.676</v>
      </c>
      <c r="AQ23" s="152"/>
      <c r="AR23" s="152">
        <v>388000</v>
      </c>
      <c r="AS23" s="127">
        <f>AQ23+AR23-AP23</f>
        <v>137572.324</v>
      </c>
      <c r="AY23" s="75"/>
      <c r="AZ23" s="91"/>
    </row>
    <row r="24" s="76" customFormat="1" ht="14.45" customHeight="1" outlineLevel="2" spans="2:52">
      <c r="B24" s="112"/>
      <c r="F24" s="114"/>
      <c r="G24" s="112"/>
      <c r="J24" s="129"/>
      <c r="K24" s="131"/>
      <c r="L24" s="131"/>
      <c r="M24" s="131"/>
      <c r="N24" s="131"/>
      <c r="O24" s="132"/>
      <c r="P24" s="91"/>
      <c r="Q24" s="91"/>
      <c r="S24" s="76" t="s">
        <v>61</v>
      </c>
      <c r="T24" s="133"/>
      <c r="U24" s="112"/>
      <c r="W24" s="134"/>
      <c r="X24" s="114"/>
      <c r="Y24" s="134"/>
      <c r="Z24" s="134"/>
      <c r="AA24" s="135">
        <v>49.09</v>
      </c>
      <c r="AB24" s="134">
        <v>30</v>
      </c>
      <c r="AC24" s="114">
        <f>AA24*AB24</f>
        <v>1472.7</v>
      </c>
      <c r="AD24" s="134">
        <v>0</v>
      </c>
      <c r="AE24" s="136">
        <f>AC24-AD24</f>
        <v>1472.7</v>
      </c>
      <c r="AF24" s="91"/>
      <c r="AG24" s="137"/>
      <c r="AH24" s="137"/>
      <c r="AI24" s="134"/>
      <c r="AJ24" s="114"/>
      <c r="AK24" s="114"/>
      <c r="AL24" s="141"/>
      <c r="AM24" s="91"/>
      <c r="AN24" s="137"/>
      <c r="AO24" s="134"/>
      <c r="AP24" s="114"/>
      <c r="AQ24" s="114"/>
      <c r="AR24" s="127"/>
      <c r="AS24" s="127"/>
      <c r="AY24" s="75"/>
      <c r="AZ24" s="91"/>
    </row>
    <row r="25" s="76" customFormat="1" ht="14.45" customHeight="1" outlineLevel="2" spans="2:52">
      <c r="B25" s="112"/>
      <c r="F25" s="114"/>
      <c r="G25" s="112"/>
      <c r="J25" s="129"/>
      <c r="K25" s="131"/>
      <c r="L25" s="131"/>
      <c r="M25" s="131"/>
      <c r="N25" s="131"/>
      <c r="O25" s="132"/>
      <c r="P25" s="91"/>
      <c r="Q25" s="91"/>
      <c r="S25" s="76" t="s">
        <v>62</v>
      </c>
      <c r="T25" s="133"/>
      <c r="U25" s="112"/>
      <c r="V25" s="76">
        <v>4.68</v>
      </c>
      <c r="W25" s="134">
        <v>-3200</v>
      </c>
      <c r="X25" s="114">
        <f>V25*W25</f>
        <v>-14976</v>
      </c>
      <c r="Y25" s="134">
        <f>X25</f>
        <v>-14976</v>
      </c>
      <c r="Z25" s="114">
        <f>Y25</f>
        <v>-14976</v>
      </c>
      <c r="AA25" s="135">
        <v>0.100044772586372</v>
      </c>
      <c r="AB25" s="134">
        <v>-2300</v>
      </c>
      <c r="AC25" s="114">
        <f>AA25*AB25</f>
        <v>-230.102976948656</v>
      </c>
      <c r="AD25" s="134"/>
      <c r="AE25" s="136"/>
      <c r="AF25" s="91"/>
      <c r="AG25" s="137"/>
      <c r="AH25" s="137"/>
      <c r="AI25" s="134"/>
      <c r="AJ25" s="114"/>
      <c r="AK25" s="114"/>
      <c r="AL25" s="141"/>
      <c r="AM25" s="91"/>
      <c r="AN25" s="137"/>
      <c r="AO25" s="134"/>
      <c r="AP25" s="114"/>
      <c r="AQ25" s="114"/>
      <c r="AR25" s="127"/>
      <c r="AS25" s="127"/>
      <c r="AY25" s="75"/>
      <c r="AZ25" s="91"/>
    </row>
    <row r="26" s="76" customFormat="1" ht="14.45" customHeight="1" outlineLevel="2" spans="2:52">
      <c r="B26" s="112"/>
      <c r="F26" s="114"/>
      <c r="G26" s="112"/>
      <c r="J26" s="129"/>
      <c r="K26" s="131"/>
      <c r="L26" s="131"/>
      <c r="M26" s="131"/>
      <c r="N26" s="131"/>
      <c r="O26" s="132"/>
      <c r="P26" s="91"/>
      <c r="Q26" s="91"/>
      <c r="S26" s="76" t="s">
        <v>63</v>
      </c>
      <c r="T26" s="133"/>
      <c r="U26" s="112"/>
      <c r="W26" s="134"/>
      <c r="X26" s="114"/>
      <c r="Y26" s="134"/>
      <c r="Z26" s="134"/>
      <c r="AA26" s="135">
        <v>44.68</v>
      </c>
      <c r="AB26" s="134">
        <v>20</v>
      </c>
      <c r="AC26" s="114">
        <f>AA26*AB26</f>
        <v>893.6</v>
      </c>
      <c r="AD26" s="134"/>
      <c r="AE26" s="136"/>
      <c r="AF26" s="91"/>
      <c r="AG26" s="137"/>
      <c r="AH26" s="137"/>
      <c r="AI26" s="134"/>
      <c r="AJ26" s="114"/>
      <c r="AK26" s="114"/>
      <c r="AL26" s="141"/>
      <c r="AM26" s="91"/>
      <c r="AN26" s="137"/>
      <c r="AO26" s="134"/>
      <c r="AP26" s="114"/>
      <c r="AQ26" s="114"/>
      <c r="AR26" s="127"/>
      <c r="AS26" s="127"/>
      <c r="AY26" s="75"/>
      <c r="AZ26" s="91"/>
    </row>
    <row r="27" s="76" customFormat="1" ht="14.45" customHeight="1" outlineLevel="2" spans="2:52">
      <c r="B27" s="112"/>
      <c r="F27" s="114"/>
      <c r="G27" s="112"/>
      <c r="J27" s="129"/>
      <c r="K27" s="131"/>
      <c r="L27" s="131"/>
      <c r="M27" s="131"/>
      <c r="N27" s="131"/>
      <c r="O27" s="132"/>
      <c r="P27" s="91"/>
      <c r="Q27" s="91"/>
      <c r="R27" s="76" t="s">
        <v>64</v>
      </c>
      <c r="S27" s="76" t="s">
        <v>1703</v>
      </c>
      <c r="T27" s="133">
        <v>45610</v>
      </c>
      <c r="U27" s="112">
        <f>T27+21</f>
        <v>45631</v>
      </c>
      <c r="V27" s="76">
        <v>42.214</v>
      </c>
      <c r="W27" s="134">
        <v>650</v>
      </c>
      <c r="X27" s="114">
        <f>V27*W27</f>
        <v>27439.1</v>
      </c>
      <c r="Y27" s="134"/>
      <c r="Z27" s="134">
        <f>X27-Y27</f>
        <v>27439.1</v>
      </c>
      <c r="AA27" s="135"/>
      <c r="AB27" s="134"/>
      <c r="AC27" s="114"/>
      <c r="AD27" s="134"/>
      <c r="AE27" s="136"/>
      <c r="AF27" s="91"/>
      <c r="AG27" s="137"/>
      <c r="AH27" s="137"/>
      <c r="AI27" s="134"/>
      <c r="AJ27" s="114"/>
      <c r="AK27" s="114"/>
      <c r="AL27" s="141"/>
      <c r="AM27" s="91"/>
      <c r="AN27" s="137"/>
      <c r="AO27" s="134"/>
      <c r="AP27" s="114"/>
      <c r="AQ27" s="114"/>
      <c r="AR27" s="127"/>
      <c r="AS27" s="127"/>
      <c r="AY27" s="75"/>
      <c r="AZ27" s="91"/>
    </row>
    <row r="28" s="76" customFormat="1" ht="14.45" customHeight="1" outlineLevel="2" spans="2:52">
      <c r="B28" s="112"/>
      <c r="F28" s="114"/>
      <c r="G28" s="112"/>
      <c r="J28" s="129"/>
      <c r="K28" s="131"/>
      <c r="L28" s="131"/>
      <c r="M28" s="131"/>
      <c r="N28" s="131"/>
      <c r="O28" s="132"/>
      <c r="P28" s="91"/>
      <c r="Q28" s="91"/>
      <c r="S28" s="76" t="s">
        <v>63</v>
      </c>
      <c r="T28" s="133"/>
      <c r="U28" s="112"/>
      <c r="V28" s="76">
        <v>42.214</v>
      </c>
      <c r="W28" s="134">
        <v>30</v>
      </c>
      <c r="X28" s="114">
        <f>V28*W28</f>
        <v>1266.42</v>
      </c>
      <c r="Y28" s="134"/>
      <c r="Z28" s="134">
        <f>X28-Y28</f>
        <v>1266.42</v>
      </c>
      <c r="AA28" s="135"/>
      <c r="AB28" s="134"/>
      <c r="AC28" s="114"/>
      <c r="AD28" s="134"/>
      <c r="AE28" s="136"/>
      <c r="AF28" s="91"/>
      <c r="AG28" s="137"/>
      <c r="AH28" s="137"/>
      <c r="AI28" s="134"/>
      <c r="AJ28" s="114"/>
      <c r="AK28" s="114"/>
      <c r="AL28" s="141"/>
      <c r="AM28" s="91"/>
      <c r="AN28" s="137"/>
      <c r="AO28" s="134"/>
      <c r="AP28" s="114"/>
      <c r="AQ28" s="114"/>
      <c r="AR28" s="127"/>
      <c r="AS28" s="127"/>
      <c r="AY28" s="75"/>
      <c r="AZ28" s="91"/>
    </row>
    <row r="29" s="76" customFormat="1" ht="14.45" customHeight="1" outlineLevel="2" spans="2:52">
      <c r="B29" s="112"/>
      <c r="F29" s="114"/>
      <c r="G29" s="112"/>
      <c r="J29" s="129"/>
      <c r="K29" s="131"/>
      <c r="L29" s="131"/>
      <c r="M29" s="131"/>
      <c r="N29" s="131"/>
      <c r="O29" s="132"/>
      <c r="P29" s="91"/>
      <c r="Q29" s="91"/>
      <c r="R29" s="76" t="s">
        <v>66</v>
      </c>
      <c r="S29" s="76" t="s">
        <v>67</v>
      </c>
      <c r="T29" s="133">
        <v>45627</v>
      </c>
      <c r="U29" s="112">
        <v>45627</v>
      </c>
      <c r="V29" s="76">
        <v>42.337</v>
      </c>
      <c r="W29" s="134">
        <v>1035</v>
      </c>
      <c r="X29" s="114">
        <f>V29*W29</f>
        <v>43818.795</v>
      </c>
      <c r="Y29" s="114"/>
      <c r="Z29" s="134">
        <f>X29-Y29</f>
        <v>43818.795</v>
      </c>
      <c r="AA29" s="135"/>
      <c r="AB29" s="134"/>
      <c r="AC29" s="114"/>
      <c r="AD29" s="134"/>
      <c r="AE29" s="136"/>
      <c r="AF29" s="91"/>
      <c r="AG29" s="137"/>
      <c r="AH29" s="137"/>
      <c r="AI29" s="134"/>
      <c r="AJ29" s="114"/>
      <c r="AK29" s="114"/>
      <c r="AL29" s="141"/>
      <c r="AM29" s="91"/>
      <c r="AN29" s="137"/>
      <c r="AO29" s="134"/>
      <c r="AP29" s="114"/>
      <c r="AQ29" s="114"/>
      <c r="AR29" s="127"/>
      <c r="AS29" s="127"/>
      <c r="AY29" s="75"/>
      <c r="AZ29" s="91"/>
    </row>
    <row r="30" s="76" customFormat="1" ht="14.45" customHeight="1" outlineLevel="2" spans="2:52">
      <c r="B30" s="112">
        <v>45560</v>
      </c>
      <c r="C30" s="76" t="s">
        <v>239</v>
      </c>
      <c r="D30" s="76" t="s">
        <v>241</v>
      </c>
      <c r="E30" s="76" t="s">
        <v>239</v>
      </c>
      <c r="F30" s="114"/>
      <c r="G30" s="112">
        <f>B30+60</f>
        <v>45620</v>
      </c>
      <c r="H30" s="76" t="s">
        <v>93</v>
      </c>
      <c r="I30" s="76" t="s">
        <v>241</v>
      </c>
      <c r="J30" s="129">
        <v>48</v>
      </c>
      <c r="K30" s="131">
        <v>6980</v>
      </c>
      <c r="L30" s="131">
        <f>J30*K30</f>
        <v>335040</v>
      </c>
      <c r="M30" s="131"/>
      <c r="N30" s="131">
        <f>159057/2+388000/2</f>
        <v>273528.5</v>
      </c>
      <c r="O30" s="132">
        <f>L30-N30</f>
        <v>61511.5</v>
      </c>
      <c r="P30" s="91"/>
      <c r="Q30" s="91"/>
      <c r="R30" s="76" t="s">
        <v>56</v>
      </c>
      <c r="S30" s="76" t="s">
        <v>1702</v>
      </c>
      <c r="T30" s="133">
        <v>45589</v>
      </c>
      <c r="U30" s="112">
        <f>T30+60</f>
        <v>45649</v>
      </c>
      <c r="V30" s="76">
        <v>49.235</v>
      </c>
      <c r="W30" s="134">
        <v>3660</v>
      </c>
      <c r="X30" s="114">
        <f>V30*W30</f>
        <v>180200.1</v>
      </c>
      <c r="Y30" s="134">
        <f>X30</f>
        <v>180200.1</v>
      </c>
      <c r="Z30" s="134">
        <f>X30-Y30</f>
        <v>0</v>
      </c>
      <c r="AA30" s="135"/>
      <c r="AB30" s="134"/>
      <c r="AC30" s="134"/>
      <c r="AD30" s="134"/>
      <c r="AE30" s="136"/>
      <c r="AF30" s="91"/>
      <c r="AG30" s="137"/>
      <c r="AH30" s="137">
        <v>44.592</v>
      </c>
      <c r="AI30" s="134">
        <v>6282</v>
      </c>
      <c r="AJ30" s="114">
        <f>AI30*AH30</f>
        <v>280126.944</v>
      </c>
      <c r="AK30" s="114">
        <f>N30</f>
        <v>273528.5</v>
      </c>
      <c r="AL30" s="141">
        <f>AJ30-AK30</f>
        <v>6598.44400000002</v>
      </c>
      <c r="AM30" s="91"/>
      <c r="AN30" s="137">
        <v>45.198</v>
      </c>
      <c r="AO30" s="134">
        <v>6282</v>
      </c>
      <c r="AP30" s="114">
        <f>AO30*AN30</f>
        <v>283933.836</v>
      </c>
      <c r="AQ30" s="114"/>
      <c r="AR30" s="127">
        <v>159057</v>
      </c>
      <c r="AS30" s="127">
        <f>AQ30+AR30-AP30</f>
        <v>-124876.836</v>
      </c>
      <c r="AY30" s="75"/>
      <c r="AZ30" s="91"/>
    </row>
    <row r="31" s="76" customFormat="1" ht="14.45" customHeight="1" outlineLevel="2" spans="2:52">
      <c r="B31" s="112"/>
      <c r="F31" s="114"/>
      <c r="G31" s="112"/>
      <c r="J31" s="129"/>
      <c r="K31" s="131"/>
      <c r="L31" s="131"/>
      <c r="M31" s="131"/>
      <c r="N31" s="131"/>
      <c r="O31" s="132"/>
      <c r="P31" s="91"/>
      <c r="Q31" s="91"/>
      <c r="S31" s="76" t="s">
        <v>61</v>
      </c>
      <c r="T31" s="133"/>
      <c r="W31" s="114"/>
      <c r="X31" s="114"/>
      <c r="Y31" s="114"/>
      <c r="Z31" s="114"/>
      <c r="AA31" s="135">
        <v>49.235</v>
      </c>
      <c r="AB31" s="134">
        <v>30</v>
      </c>
      <c r="AC31" s="114">
        <f>AA31*AB31</f>
        <v>1477.05</v>
      </c>
      <c r="AD31" s="134">
        <v>0</v>
      </c>
      <c r="AE31" s="136">
        <f>AC31-AD31</f>
        <v>1477.05</v>
      </c>
      <c r="AF31" s="91"/>
      <c r="AG31" s="137"/>
      <c r="AH31" s="137"/>
      <c r="AJ31" s="114"/>
      <c r="AK31" s="114"/>
      <c r="AL31" s="144"/>
      <c r="AM31" s="91"/>
      <c r="AN31" s="142"/>
      <c r="AO31" s="114"/>
      <c r="AP31" s="127"/>
      <c r="AQ31" s="127"/>
      <c r="AR31" s="127"/>
      <c r="AS31" s="127"/>
      <c r="AY31" s="75"/>
      <c r="AZ31" s="91"/>
    </row>
    <row r="32" s="76" customFormat="1" ht="14.45" customHeight="1" outlineLevel="2" spans="2:52">
      <c r="B32" s="112"/>
      <c r="F32" s="114"/>
      <c r="G32" s="112"/>
      <c r="J32" s="129"/>
      <c r="K32" s="131"/>
      <c r="L32" s="131"/>
      <c r="M32" s="131"/>
      <c r="N32" s="131"/>
      <c r="O32" s="132"/>
      <c r="P32" s="91"/>
      <c r="Q32" s="91"/>
      <c r="S32" s="76" t="s">
        <v>62</v>
      </c>
      <c r="T32" s="133"/>
      <c r="V32" s="76">
        <v>1.432</v>
      </c>
      <c r="W32" s="134">
        <v>-3200</v>
      </c>
      <c r="X32" s="114">
        <f>V32*W32</f>
        <v>-4582.4</v>
      </c>
      <c r="Y32" s="134">
        <f>X32</f>
        <v>-4582.4</v>
      </c>
      <c r="Z32" s="114">
        <f>Y32</f>
        <v>-4582.4</v>
      </c>
      <c r="AA32" s="135">
        <v>0.100340280674069</v>
      </c>
      <c r="AB32" s="134">
        <v>-2300</v>
      </c>
      <c r="AC32" s="114">
        <f>AA32*AB32</f>
        <v>-230.782645550359</v>
      </c>
      <c r="AD32" s="134"/>
      <c r="AE32" s="136"/>
      <c r="AF32" s="91"/>
      <c r="AG32" s="137"/>
      <c r="AH32" s="137"/>
      <c r="AJ32" s="114"/>
      <c r="AK32" s="114"/>
      <c r="AL32" s="144"/>
      <c r="AM32" s="91"/>
      <c r="AN32" s="142"/>
      <c r="AO32" s="114"/>
      <c r="AP32" s="127"/>
      <c r="AQ32" s="127"/>
      <c r="AR32" s="127"/>
      <c r="AS32" s="127"/>
      <c r="AY32" s="75"/>
      <c r="AZ32" s="91"/>
    </row>
    <row r="33" s="76" customFormat="1" ht="14.45" customHeight="1" outlineLevel="2" spans="2:52">
      <c r="B33" s="112"/>
      <c r="F33" s="114"/>
      <c r="G33" s="112"/>
      <c r="J33" s="129"/>
      <c r="K33" s="131"/>
      <c r="L33" s="131"/>
      <c r="M33" s="131"/>
      <c r="N33" s="131"/>
      <c r="O33" s="132"/>
      <c r="P33" s="91"/>
      <c r="Q33" s="91"/>
      <c r="S33" s="76" t="s">
        <v>63</v>
      </c>
      <c r="T33" s="133"/>
      <c r="W33" s="134"/>
      <c r="X33" s="114"/>
      <c r="Y33" s="134"/>
      <c r="Z33" s="114"/>
      <c r="AA33" s="135">
        <v>47.905</v>
      </c>
      <c r="AB33" s="134">
        <v>20</v>
      </c>
      <c r="AC33" s="114">
        <f>AA33*AB33</f>
        <v>958.1</v>
      </c>
      <c r="AD33" s="134"/>
      <c r="AE33" s="136"/>
      <c r="AF33" s="91"/>
      <c r="AG33" s="137"/>
      <c r="AH33" s="137"/>
      <c r="AJ33" s="114"/>
      <c r="AK33" s="114"/>
      <c r="AL33" s="144"/>
      <c r="AM33" s="91"/>
      <c r="AN33" s="142"/>
      <c r="AO33" s="114"/>
      <c r="AP33" s="127"/>
      <c r="AQ33" s="127"/>
      <c r="AR33" s="127"/>
      <c r="AS33" s="127"/>
      <c r="AY33" s="75"/>
      <c r="AZ33" s="91"/>
    </row>
    <row r="34" s="76" customFormat="1" ht="14.45" customHeight="1" outlineLevel="2" spans="2:52">
      <c r="B34" s="112"/>
      <c r="F34" s="114"/>
      <c r="G34" s="112"/>
      <c r="J34" s="129"/>
      <c r="K34" s="131"/>
      <c r="L34" s="131"/>
      <c r="M34" s="131"/>
      <c r="N34" s="131"/>
      <c r="O34" s="132"/>
      <c r="P34" s="91"/>
      <c r="Q34" s="91"/>
      <c r="R34" s="76" t="s">
        <v>64</v>
      </c>
      <c r="S34" s="76" t="s">
        <v>1703</v>
      </c>
      <c r="T34" s="133">
        <v>45610</v>
      </c>
      <c r="U34" s="112">
        <f>T34+21</f>
        <v>45631</v>
      </c>
      <c r="V34" s="76">
        <v>44.821</v>
      </c>
      <c r="W34" s="134">
        <v>810</v>
      </c>
      <c r="X34" s="114">
        <f t="shared" ref="X34:X45" si="1">V34*W34</f>
        <v>36305.01</v>
      </c>
      <c r="Y34" s="134"/>
      <c r="Z34" s="134">
        <f>X34-Y34</f>
        <v>36305.01</v>
      </c>
      <c r="AA34" s="135"/>
      <c r="AB34" s="134"/>
      <c r="AC34" s="114"/>
      <c r="AD34" s="134"/>
      <c r="AE34" s="136"/>
      <c r="AF34" s="91"/>
      <c r="AG34" s="137"/>
      <c r="AH34" s="137"/>
      <c r="AJ34" s="114"/>
      <c r="AK34" s="114"/>
      <c r="AL34" s="144"/>
      <c r="AM34" s="91"/>
      <c r="AN34" s="142"/>
      <c r="AO34" s="114"/>
      <c r="AP34" s="127"/>
      <c r="AQ34" s="127"/>
      <c r="AR34" s="127"/>
      <c r="AS34" s="127"/>
      <c r="AY34" s="75"/>
      <c r="AZ34" s="91"/>
    </row>
    <row r="35" s="76" customFormat="1" ht="14.45" customHeight="1" outlineLevel="2" spans="2:52">
      <c r="B35" s="112"/>
      <c r="F35" s="114"/>
      <c r="G35" s="112"/>
      <c r="J35" s="129"/>
      <c r="K35" s="131"/>
      <c r="L35" s="131"/>
      <c r="M35" s="131"/>
      <c r="N35" s="131"/>
      <c r="O35" s="132"/>
      <c r="P35" s="91"/>
      <c r="Q35" s="91"/>
      <c r="S35" s="76" t="s">
        <v>63</v>
      </c>
      <c r="T35" s="133"/>
      <c r="U35" s="112"/>
      <c r="V35" s="76">
        <v>44.821</v>
      </c>
      <c r="W35" s="134">
        <v>30</v>
      </c>
      <c r="X35" s="114">
        <f t="shared" si="1"/>
        <v>1344.63</v>
      </c>
      <c r="Y35" s="134"/>
      <c r="Z35" s="134">
        <f>X35-Y35</f>
        <v>1344.63</v>
      </c>
      <c r="AA35" s="135"/>
      <c r="AB35" s="134"/>
      <c r="AC35" s="114"/>
      <c r="AD35" s="134"/>
      <c r="AE35" s="136"/>
      <c r="AF35" s="91"/>
      <c r="AG35" s="137"/>
      <c r="AH35" s="137"/>
      <c r="AJ35" s="114"/>
      <c r="AK35" s="114"/>
      <c r="AL35" s="144"/>
      <c r="AM35" s="91"/>
      <c r="AN35" s="142"/>
      <c r="AO35" s="114"/>
      <c r="AP35" s="127"/>
      <c r="AQ35" s="127"/>
      <c r="AR35" s="127"/>
      <c r="AS35" s="127"/>
      <c r="AY35" s="75"/>
      <c r="AZ35" s="91"/>
    </row>
    <row r="36" s="76" customFormat="1" ht="14.45" customHeight="1" outlineLevel="2" spans="2:52">
      <c r="B36" s="112"/>
      <c r="F36" s="114"/>
      <c r="G36" s="112"/>
      <c r="J36" s="129"/>
      <c r="K36" s="131"/>
      <c r="L36" s="131"/>
      <c r="M36" s="131"/>
      <c r="N36" s="131">
        <f>SUM(N23:N35)</f>
        <v>547057</v>
      </c>
      <c r="O36" s="131">
        <f>SUM(O23:O35)</f>
        <v>99503</v>
      </c>
      <c r="P36" s="91"/>
      <c r="Q36" s="91"/>
      <c r="R36" s="76" t="s">
        <v>66</v>
      </c>
      <c r="S36" s="76" t="s">
        <v>67</v>
      </c>
      <c r="T36" s="133"/>
      <c r="U36" s="112"/>
      <c r="V36" s="76">
        <v>44.592</v>
      </c>
      <c r="W36" s="134">
        <v>1270</v>
      </c>
      <c r="X36" s="114">
        <f t="shared" si="1"/>
        <v>56631.84</v>
      </c>
      <c r="Y36" s="114"/>
      <c r="Z36" s="134">
        <f>X36-Y36</f>
        <v>56631.84</v>
      </c>
      <c r="AA36" s="135"/>
      <c r="AB36" s="134"/>
      <c r="AC36" s="114"/>
      <c r="AD36" s="134"/>
      <c r="AE36" s="136"/>
      <c r="AF36" s="91"/>
      <c r="AG36" s="137"/>
      <c r="AH36" s="137">
        <f>SUM(AH23:AH35)</f>
        <v>86.929</v>
      </c>
      <c r="AJ36" s="114">
        <f>SUM(AJ23:AJ35)</f>
        <v>529576.548</v>
      </c>
      <c r="AK36" s="114"/>
      <c r="AL36" s="153"/>
      <c r="AM36" s="91"/>
      <c r="AN36" s="142"/>
      <c r="AO36" s="114"/>
      <c r="AP36" s="127"/>
      <c r="AQ36" s="127"/>
      <c r="AR36" s="127"/>
      <c r="AS36" s="127"/>
      <c r="AY36" s="75"/>
      <c r="AZ36" s="91"/>
    </row>
    <row r="37" s="77" customFormat="1" ht="14.45" customHeight="1" outlineLevel="2" spans="2:52">
      <c r="B37" s="154">
        <v>45587</v>
      </c>
      <c r="C37" s="77" t="s">
        <v>252</v>
      </c>
      <c r="D37" s="77" t="s">
        <v>103</v>
      </c>
      <c r="E37" s="77" t="s">
        <v>253</v>
      </c>
      <c r="F37" s="155"/>
      <c r="G37" s="156">
        <f>B37+60</f>
        <v>45647</v>
      </c>
      <c r="H37" s="77" t="s">
        <v>93</v>
      </c>
      <c r="I37" s="77" t="s">
        <v>103</v>
      </c>
      <c r="J37" s="157">
        <v>150</v>
      </c>
      <c r="K37" s="158">
        <v>9350</v>
      </c>
      <c r="L37" s="158">
        <f>J37*K37</f>
        <v>1402500</v>
      </c>
      <c r="M37" s="158"/>
      <c r="N37" s="158">
        <v>300000</v>
      </c>
      <c r="O37" s="159">
        <f>L37-N37</f>
        <v>1102500</v>
      </c>
      <c r="P37" s="160"/>
      <c r="Q37" s="160"/>
      <c r="R37" s="77" t="s">
        <v>88</v>
      </c>
      <c r="S37" s="77" t="s">
        <v>228</v>
      </c>
      <c r="T37" s="161">
        <v>45587</v>
      </c>
      <c r="U37" s="154">
        <f>T37+60</f>
        <v>45647</v>
      </c>
      <c r="V37" s="157">
        <v>150</v>
      </c>
      <c r="W37" s="162">
        <v>9350</v>
      </c>
      <c r="X37" s="155">
        <f t="shared" si="1"/>
        <v>1402500</v>
      </c>
      <c r="Y37" s="155"/>
      <c r="Z37" s="155"/>
      <c r="AA37" s="163"/>
      <c r="AB37" s="155"/>
      <c r="AC37" s="155"/>
      <c r="AD37" s="155"/>
      <c r="AE37" s="164"/>
      <c r="AF37" s="91"/>
      <c r="AG37" s="165"/>
      <c r="AH37" s="165"/>
      <c r="AI37" s="158"/>
      <c r="AJ37" s="155"/>
      <c r="AK37" s="155"/>
      <c r="AL37" s="166"/>
      <c r="AM37" s="91"/>
      <c r="AN37" s="167"/>
      <c r="AO37" s="155"/>
      <c r="AP37" s="168"/>
      <c r="AQ37" s="168">
        <v>566000</v>
      </c>
      <c r="AR37" s="168"/>
      <c r="AS37" s="168">
        <f t="shared" ref="AS37:AS45" si="2">AQ37-AP37</f>
        <v>566000</v>
      </c>
      <c r="AY37" s="169"/>
      <c r="AZ37" s="160"/>
    </row>
    <row r="38" s="76" customFormat="1" ht="14.45" customHeight="1" outlineLevel="2" collapsed="1" spans="2:52">
      <c r="B38" s="112">
        <v>45674</v>
      </c>
      <c r="C38" s="76" t="s">
        <v>254</v>
      </c>
      <c r="D38" s="76" t="s">
        <v>103</v>
      </c>
      <c r="E38" s="76" t="s">
        <v>255</v>
      </c>
      <c r="F38" s="114"/>
      <c r="H38" s="76" t="s">
        <v>93</v>
      </c>
      <c r="I38" s="76" t="s">
        <v>103</v>
      </c>
      <c r="J38" s="129"/>
      <c r="K38" s="129"/>
      <c r="L38" s="129"/>
      <c r="M38" s="129"/>
      <c r="P38" s="91"/>
      <c r="Q38" s="91"/>
      <c r="R38" s="76" t="s">
        <v>88</v>
      </c>
      <c r="T38" s="133"/>
      <c r="V38" s="129">
        <v>54.57</v>
      </c>
      <c r="W38" s="114">
        <v>6600</v>
      </c>
      <c r="X38" s="131">
        <f t="shared" si="1"/>
        <v>360162</v>
      </c>
      <c r="Y38" s="114"/>
      <c r="Z38" s="114"/>
      <c r="AA38" s="140"/>
      <c r="AB38" s="114"/>
      <c r="AC38" s="114"/>
      <c r="AD38" s="114"/>
      <c r="AE38" s="141"/>
      <c r="AF38" s="91"/>
      <c r="AG38" s="137"/>
      <c r="AH38" s="142">
        <v>54.57</v>
      </c>
      <c r="AI38" s="114">
        <v>6850</v>
      </c>
      <c r="AJ38" s="131">
        <f t="shared" ref="AJ38:AJ43" si="3">AH38*AI38</f>
        <v>373804.5</v>
      </c>
      <c r="AK38" s="114">
        <f t="shared" ref="AK38:AK43" si="4">566000/336.253*AH38</f>
        <v>91855.2994322727</v>
      </c>
      <c r="AL38" s="170">
        <f t="shared" ref="AL38:AL43" si="5">AK38-AJ38</f>
        <v>-281949.200567727</v>
      </c>
      <c r="AM38" s="91"/>
      <c r="AN38" s="142">
        <v>54.57</v>
      </c>
      <c r="AO38" s="114">
        <v>6850</v>
      </c>
      <c r="AP38" s="171">
        <f t="shared" ref="AP38:AP43" si="6">AN38*AO38</f>
        <v>373804.5</v>
      </c>
      <c r="AQ38" s="127"/>
      <c r="AR38" s="127"/>
      <c r="AS38" s="127">
        <f t="shared" si="2"/>
        <v>-373804.5</v>
      </c>
      <c r="AY38" s="149"/>
      <c r="AZ38" s="91"/>
    </row>
    <row r="39" s="76" customFormat="1" ht="14.45" customHeight="1" outlineLevel="2" spans="2:52">
      <c r="B39" s="112">
        <v>45677</v>
      </c>
      <c r="C39" s="76" t="s">
        <v>256</v>
      </c>
      <c r="D39" s="76" t="s">
        <v>101</v>
      </c>
      <c r="E39" s="76" t="s">
        <v>257</v>
      </c>
      <c r="F39" s="114"/>
      <c r="H39" s="76" t="s">
        <v>93</v>
      </c>
      <c r="I39" s="76" t="s">
        <v>101</v>
      </c>
      <c r="J39" s="129"/>
      <c r="K39" s="129"/>
      <c r="L39" s="129"/>
      <c r="M39" s="129"/>
      <c r="P39" s="91"/>
      <c r="Q39" s="91"/>
      <c r="R39" s="76" t="s">
        <v>88</v>
      </c>
      <c r="T39" s="133"/>
      <c r="V39" s="129">
        <v>19.695</v>
      </c>
      <c r="W39" s="114">
        <v>6600</v>
      </c>
      <c r="X39" s="131">
        <f t="shared" si="1"/>
        <v>129987</v>
      </c>
      <c r="Y39" s="114"/>
      <c r="Z39" s="114"/>
      <c r="AA39" s="140"/>
      <c r="AB39" s="114"/>
      <c r="AC39" s="114"/>
      <c r="AD39" s="114"/>
      <c r="AE39" s="141"/>
      <c r="AF39" s="91"/>
      <c r="AG39" s="137"/>
      <c r="AH39" s="142">
        <v>19.695</v>
      </c>
      <c r="AI39" s="114">
        <v>6850</v>
      </c>
      <c r="AJ39" s="131">
        <f t="shared" si="3"/>
        <v>134910.75</v>
      </c>
      <c r="AK39" s="114">
        <f t="shared" si="4"/>
        <v>33151.7339622249</v>
      </c>
      <c r="AL39" s="170">
        <f t="shared" si="5"/>
        <v>-101759.016037775</v>
      </c>
      <c r="AM39" s="91"/>
      <c r="AN39" s="142">
        <v>19.695</v>
      </c>
      <c r="AO39" s="114">
        <v>6850</v>
      </c>
      <c r="AP39" s="171">
        <f t="shared" si="6"/>
        <v>134910.75</v>
      </c>
      <c r="AQ39" s="127"/>
      <c r="AR39" s="127"/>
      <c r="AS39" s="127">
        <f t="shared" si="2"/>
        <v>-134910.75</v>
      </c>
      <c r="AY39" s="149"/>
      <c r="AZ39" s="91"/>
    </row>
    <row r="40" s="76" customFormat="1" ht="14.45" customHeight="1" outlineLevel="2" spans="2:52">
      <c r="B40" s="112">
        <v>45677</v>
      </c>
      <c r="C40" s="76" t="s">
        <v>256</v>
      </c>
      <c r="D40" s="76" t="s">
        <v>103</v>
      </c>
      <c r="F40" s="114"/>
      <c r="H40" s="76" t="s">
        <v>93</v>
      </c>
      <c r="J40" s="129"/>
      <c r="K40" s="129"/>
      <c r="L40" s="129"/>
      <c r="M40" s="129"/>
      <c r="P40" s="91"/>
      <c r="Q40" s="91"/>
      <c r="R40" s="76" t="s">
        <v>88</v>
      </c>
      <c r="T40" s="133"/>
      <c r="V40" s="129">
        <v>8.025</v>
      </c>
      <c r="W40" s="114">
        <v>6600</v>
      </c>
      <c r="X40" s="131">
        <f t="shared" si="1"/>
        <v>52965</v>
      </c>
      <c r="Y40" s="114"/>
      <c r="Z40" s="114"/>
      <c r="AA40" s="140"/>
      <c r="AB40" s="114"/>
      <c r="AC40" s="114"/>
      <c r="AD40" s="114"/>
      <c r="AE40" s="141"/>
      <c r="AF40" s="91"/>
      <c r="AG40" s="137"/>
      <c r="AH40" s="142">
        <v>8.025</v>
      </c>
      <c r="AI40" s="114">
        <v>6850</v>
      </c>
      <c r="AJ40" s="131">
        <f t="shared" si="3"/>
        <v>54971.25</v>
      </c>
      <c r="AK40" s="114">
        <f t="shared" si="4"/>
        <v>13508.1322694519</v>
      </c>
      <c r="AL40" s="170">
        <f t="shared" si="5"/>
        <v>-41463.1177305481</v>
      </c>
      <c r="AM40" s="91"/>
      <c r="AN40" s="142">
        <v>8.025</v>
      </c>
      <c r="AO40" s="114">
        <v>6850</v>
      </c>
      <c r="AP40" s="171">
        <f t="shared" si="6"/>
        <v>54971.25</v>
      </c>
      <c r="AQ40" s="127"/>
      <c r="AR40" s="127"/>
      <c r="AS40" s="127">
        <f t="shared" si="2"/>
        <v>-54971.25</v>
      </c>
      <c r="AY40" s="149"/>
      <c r="AZ40" s="91"/>
    </row>
    <row r="41" s="76" customFormat="1" ht="14.45" customHeight="1" outlineLevel="2" spans="2:52">
      <c r="B41" s="112">
        <v>45677</v>
      </c>
      <c r="C41" s="76" t="s">
        <v>258</v>
      </c>
      <c r="D41" s="76" t="s">
        <v>101</v>
      </c>
      <c r="E41" s="76" t="s">
        <v>259</v>
      </c>
      <c r="F41" s="114"/>
      <c r="H41" s="76" t="s">
        <v>93</v>
      </c>
      <c r="I41" s="76" t="s">
        <v>101</v>
      </c>
      <c r="J41" s="129"/>
      <c r="K41" s="129"/>
      <c r="L41" s="129"/>
      <c r="M41" s="129"/>
      <c r="P41" s="91"/>
      <c r="Q41" s="91"/>
      <c r="R41" s="76" t="s">
        <v>88</v>
      </c>
      <c r="T41" s="133"/>
      <c r="V41" s="129">
        <v>9.09</v>
      </c>
      <c r="W41" s="114">
        <v>6600</v>
      </c>
      <c r="X41" s="131">
        <f t="shared" si="1"/>
        <v>59994</v>
      </c>
      <c r="Y41" s="114"/>
      <c r="Z41" s="114"/>
      <c r="AA41" s="140"/>
      <c r="AB41" s="114"/>
      <c r="AC41" s="114"/>
      <c r="AD41" s="114"/>
      <c r="AE41" s="141"/>
      <c r="AF41" s="91"/>
      <c r="AG41" s="137"/>
      <c r="AH41" s="142">
        <v>9.09</v>
      </c>
      <c r="AI41" s="114">
        <v>6850</v>
      </c>
      <c r="AJ41" s="131">
        <f t="shared" si="3"/>
        <v>62266.5</v>
      </c>
      <c r="AK41" s="114">
        <f t="shared" si="4"/>
        <v>15300.8002902576</v>
      </c>
      <c r="AL41" s="170">
        <f t="shared" si="5"/>
        <v>-46965.6997097424</v>
      </c>
      <c r="AM41" s="91"/>
      <c r="AN41" s="142">
        <v>9.09</v>
      </c>
      <c r="AO41" s="114">
        <v>6850</v>
      </c>
      <c r="AP41" s="171">
        <f t="shared" si="6"/>
        <v>62266.5</v>
      </c>
      <c r="AQ41" s="127"/>
      <c r="AR41" s="127"/>
      <c r="AS41" s="127">
        <f t="shared" si="2"/>
        <v>-62266.5</v>
      </c>
      <c r="AY41" s="149"/>
      <c r="AZ41" s="91"/>
    </row>
    <row r="42" s="76" customFormat="1" ht="14.45" customHeight="1" outlineLevel="2" spans="2:52">
      <c r="B42" s="112">
        <v>45677</v>
      </c>
      <c r="C42" s="76" t="s">
        <v>258</v>
      </c>
      <c r="D42" s="76" t="s">
        <v>103</v>
      </c>
      <c r="E42" s="76" t="s">
        <v>259</v>
      </c>
      <c r="F42" s="114"/>
      <c r="H42" s="76" t="s">
        <v>93</v>
      </c>
      <c r="I42" s="76" t="s">
        <v>103</v>
      </c>
      <c r="J42" s="129"/>
      <c r="K42" s="129"/>
      <c r="L42" s="129"/>
      <c r="M42" s="129"/>
      <c r="P42" s="91"/>
      <c r="Q42" s="91"/>
      <c r="R42" s="76" t="s">
        <v>88</v>
      </c>
      <c r="T42" s="133"/>
      <c r="V42" s="129">
        <v>10.684</v>
      </c>
      <c r="W42" s="114">
        <v>6600</v>
      </c>
      <c r="X42" s="131">
        <f t="shared" si="1"/>
        <v>70514.4</v>
      </c>
      <c r="Y42" s="114"/>
      <c r="Z42" s="114"/>
      <c r="AA42" s="140"/>
      <c r="AB42" s="114"/>
      <c r="AC42" s="114"/>
      <c r="AD42" s="114"/>
      <c r="AE42" s="141"/>
      <c r="AF42" s="91"/>
      <c r="AG42" s="137"/>
      <c r="AH42" s="142">
        <v>10.684</v>
      </c>
      <c r="AI42" s="114">
        <v>6850</v>
      </c>
      <c r="AJ42" s="131">
        <f t="shared" si="3"/>
        <v>73185.4</v>
      </c>
      <c r="AK42" s="114">
        <f t="shared" si="4"/>
        <v>17983.9109242148</v>
      </c>
      <c r="AL42" s="170">
        <f t="shared" si="5"/>
        <v>-55201.4890757852</v>
      </c>
      <c r="AM42" s="91"/>
      <c r="AN42" s="142">
        <v>10.684</v>
      </c>
      <c r="AO42" s="114">
        <v>6850</v>
      </c>
      <c r="AP42" s="171">
        <f t="shared" si="6"/>
        <v>73185.4</v>
      </c>
      <c r="AQ42" s="127"/>
      <c r="AR42" s="127"/>
      <c r="AS42" s="127">
        <f t="shared" si="2"/>
        <v>-73185.4</v>
      </c>
      <c r="AY42" s="149"/>
      <c r="AZ42" s="91"/>
    </row>
    <row r="43" s="78" customFormat="1" ht="14.45" customHeight="1" outlineLevel="2" spans="2:52">
      <c r="B43" s="172">
        <v>45677</v>
      </c>
      <c r="C43" s="78" t="s">
        <v>260</v>
      </c>
      <c r="D43" s="78" t="s">
        <v>103</v>
      </c>
      <c r="E43" s="78" t="s">
        <v>261</v>
      </c>
      <c r="F43" s="173"/>
      <c r="H43" s="78" t="s">
        <v>93</v>
      </c>
      <c r="I43" s="78" t="s">
        <v>103</v>
      </c>
      <c r="J43" s="174"/>
      <c r="K43" s="174"/>
      <c r="L43" s="174"/>
      <c r="M43" s="174"/>
      <c r="P43" s="175"/>
      <c r="Q43" s="175"/>
      <c r="R43" s="78" t="s">
        <v>88</v>
      </c>
      <c r="T43" s="176"/>
      <c r="V43" s="174">
        <v>54.57</v>
      </c>
      <c r="W43" s="173">
        <v>6600</v>
      </c>
      <c r="X43" s="177">
        <f t="shared" si="1"/>
        <v>360162</v>
      </c>
      <c r="Y43" s="173"/>
      <c r="Z43" s="173"/>
      <c r="AA43" s="178"/>
      <c r="AB43" s="173"/>
      <c r="AC43" s="173"/>
      <c r="AD43" s="173"/>
      <c r="AE43" s="179"/>
      <c r="AF43" s="91"/>
      <c r="AG43" s="180"/>
      <c r="AH43" s="181">
        <v>54.57</v>
      </c>
      <c r="AI43" s="173">
        <v>6850</v>
      </c>
      <c r="AJ43" s="177">
        <f t="shared" si="3"/>
        <v>373804.5</v>
      </c>
      <c r="AK43" s="173">
        <f t="shared" si="4"/>
        <v>91855.2994322727</v>
      </c>
      <c r="AL43" s="182">
        <f t="shared" si="5"/>
        <v>-281949.200567727</v>
      </c>
      <c r="AM43" s="91"/>
      <c r="AN43" s="181">
        <v>54.57</v>
      </c>
      <c r="AO43" s="173">
        <v>6850</v>
      </c>
      <c r="AP43" s="183">
        <f t="shared" si="6"/>
        <v>373804.5</v>
      </c>
      <c r="AQ43" s="184"/>
      <c r="AR43" s="184"/>
      <c r="AS43" s="184">
        <f t="shared" si="2"/>
        <v>-373804.5</v>
      </c>
      <c r="AY43" s="185"/>
      <c r="AZ43" s="175"/>
    </row>
    <row r="44" s="77" customFormat="1" ht="14.45" customHeight="1" outlineLevel="2" spans="2:52">
      <c r="B44" s="112">
        <v>45587</v>
      </c>
      <c r="C44" s="77" t="s">
        <v>252</v>
      </c>
      <c r="D44" s="77" t="s">
        <v>124</v>
      </c>
      <c r="E44" s="77" t="s">
        <v>253</v>
      </c>
      <c r="F44" s="155"/>
      <c r="G44" s="145">
        <f>B44+60</f>
        <v>45647</v>
      </c>
      <c r="H44" s="77" t="s">
        <v>93</v>
      </c>
      <c r="I44" s="77" t="s">
        <v>124</v>
      </c>
      <c r="J44" s="157">
        <v>25</v>
      </c>
      <c r="K44" s="158">
        <v>9600</v>
      </c>
      <c r="L44" s="158">
        <f>J44*K44</f>
        <v>240000</v>
      </c>
      <c r="M44" s="158"/>
      <c r="N44" s="158">
        <v>50000</v>
      </c>
      <c r="O44" s="159">
        <f>L44-N44</f>
        <v>190000</v>
      </c>
      <c r="P44" s="160"/>
      <c r="Q44" s="160"/>
      <c r="R44" s="77" t="s">
        <v>88</v>
      </c>
      <c r="S44" s="77" t="s">
        <v>228</v>
      </c>
      <c r="T44" s="161">
        <v>45587</v>
      </c>
      <c r="U44" s="154">
        <f>T44+60</f>
        <v>45647</v>
      </c>
      <c r="V44" s="157">
        <v>25</v>
      </c>
      <c r="W44" s="162">
        <v>9600</v>
      </c>
      <c r="X44" s="155">
        <f t="shared" si="1"/>
        <v>240000</v>
      </c>
      <c r="Y44" s="155"/>
      <c r="Z44" s="155"/>
      <c r="AA44" s="163"/>
      <c r="AB44" s="155"/>
      <c r="AC44" s="155"/>
      <c r="AD44" s="155"/>
      <c r="AE44" s="164"/>
      <c r="AF44" s="91"/>
      <c r="AG44" s="165"/>
      <c r="AH44" s="165"/>
      <c r="AI44" s="158"/>
      <c r="AJ44" s="155"/>
      <c r="AK44" s="155"/>
      <c r="AL44" s="166"/>
      <c r="AM44" s="91"/>
      <c r="AN44" s="167"/>
      <c r="AO44" s="155"/>
      <c r="AP44" s="186"/>
      <c r="AQ44" s="168"/>
      <c r="AR44" s="168"/>
      <c r="AS44" s="168">
        <f t="shared" si="2"/>
        <v>0</v>
      </c>
      <c r="AY44" s="169"/>
      <c r="AZ44" s="160"/>
    </row>
    <row r="45" s="76" customFormat="1" ht="14.45" customHeight="1" outlineLevel="2" spans="2:52">
      <c r="B45" s="112">
        <v>45677</v>
      </c>
      <c r="C45" s="76" t="s">
        <v>256</v>
      </c>
      <c r="D45" s="76" t="s">
        <v>262</v>
      </c>
      <c r="E45" s="76" t="s">
        <v>257</v>
      </c>
      <c r="F45" s="114"/>
      <c r="H45" s="76" t="s">
        <v>93</v>
      </c>
      <c r="I45" s="76" t="s">
        <v>262</v>
      </c>
      <c r="J45" s="129"/>
      <c r="K45" s="129"/>
      <c r="L45" s="129"/>
      <c r="M45" s="129"/>
      <c r="P45" s="91"/>
      <c r="Q45" s="91"/>
      <c r="R45" s="76" t="s">
        <v>88</v>
      </c>
      <c r="T45" s="133"/>
      <c r="V45" s="129">
        <v>14.243</v>
      </c>
      <c r="W45" s="114">
        <v>6750</v>
      </c>
      <c r="X45" s="131">
        <f t="shared" si="1"/>
        <v>96140.25</v>
      </c>
      <c r="Y45" s="114"/>
      <c r="Z45" s="114"/>
      <c r="AA45" s="140"/>
      <c r="AB45" s="114"/>
      <c r="AC45" s="114"/>
      <c r="AD45" s="114"/>
      <c r="AE45" s="141"/>
      <c r="AF45" s="91"/>
      <c r="AG45" s="137"/>
      <c r="AH45" s="142">
        <v>14.243</v>
      </c>
      <c r="AI45" s="114">
        <v>7000</v>
      </c>
      <c r="AJ45" s="131">
        <f>AH45*AI45</f>
        <v>99701</v>
      </c>
      <c r="AK45" s="114">
        <f>566000/336.253*AH45</f>
        <v>23974.6203007854</v>
      </c>
      <c r="AL45" s="170">
        <f>AK45-AJ45</f>
        <v>-75726.3796992146</v>
      </c>
      <c r="AM45" s="91"/>
      <c r="AN45" s="142">
        <v>14.243</v>
      </c>
      <c r="AO45" s="114">
        <v>7000</v>
      </c>
      <c r="AP45" s="171">
        <f>AN45*AO45</f>
        <v>99701</v>
      </c>
      <c r="AQ45" s="127"/>
      <c r="AR45" s="127"/>
      <c r="AS45" s="127">
        <f t="shared" si="2"/>
        <v>-99701</v>
      </c>
      <c r="AY45" s="149"/>
      <c r="AZ45" s="91"/>
    </row>
    <row r="46" s="78" customFormat="1" ht="14.45" customHeight="1" outlineLevel="2" spans="2:52">
      <c r="B46" s="172"/>
      <c r="F46" s="173"/>
      <c r="J46" s="174"/>
      <c r="K46" s="174"/>
      <c r="L46" s="174"/>
      <c r="M46" s="174"/>
      <c r="P46" s="175"/>
      <c r="Q46" s="175"/>
      <c r="R46" s="78" t="s">
        <v>178</v>
      </c>
      <c r="T46" s="176"/>
      <c r="V46" s="174"/>
      <c r="W46" s="173"/>
      <c r="X46" s="177"/>
      <c r="Y46" s="173"/>
      <c r="Z46" s="173"/>
      <c r="AA46" s="178">
        <v>14.243</v>
      </c>
      <c r="AB46" s="173">
        <v>2500</v>
      </c>
      <c r="AC46" s="173">
        <f>AA46*AB46</f>
        <v>35607.5</v>
      </c>
      <c r="AD46" s="173">
        <v>96900</v>
      </c>
      <c r="AE46" s="179">
        <f>AD46-AC46</f>
        <v>61292.5</v>
      </c>
      <c r="AF46" s="91"/>
      <c r="AG46" s="180"/>
      <c r="AH46" s="181"/>
      <c r="AI46" s="173"/>
      <c r="AJ46" s="177"/>
      <c r="AK46" s="173"/>
      <c r="AL46" s="187"/>
      <c r="AM46" s="91"/>
      <c r="AN46" s="181"/>
      <c r="AO46" s="173"/>
      <c r="AP46" s="183"/>
      <c r="AQ46" s="184"/>
      <c r="AR46" s="184"/>
      <c r="AS46" s="184"/>
      <c r="AY46" s="185"/>
      <c r="AZ46" s="175"/>
    </row>
    <row r="47" s="77" customFormat="1" ht="14.45" customHeight="1" outlineLevel="2" spans="2:52">
      <c r="B47" s="112">
        <v>45587</v>
      </c>
      <c r="C47" s="77" t="s">
        <v>252</v>
      </c>
      <c r="D47" s="77" t="s">
        <v>263</v>
      </c>
      <c r="E47" s="77" t="s">
        <v>253</v>
      </c>
      <c r="F47" s="155"/>
      <c r="G47" s="145">
        <f>B47+60</f>
        <v>45647</v>
      </c>
      <c r="H47" s="77" t="s">
        <v>93</v>
      </c>
      <c r="I47" s="77" t="s">
        <v>263</v>
      </c>
      <c r="J47" s="157">
        <v>108</v>
      </c>
      <c r="K47" s="158">
        <v>9600</v>
      </c>
      <c r="L47" s="158">
        <f>J47*K47</f>
        <v>1036800</v>
      </c>
      <c r="M47" s="158"/>
      <c r="N47" s="158">
        <v>216000</v>
      </c>
      <c r="O47" s="159">
        <f>L47-N47</f>
        <v>820800</v>
      </c>
      <c r="P47" s="160"/>
      <c r="Q47" s="160"/>
      <c r="R47" s="77" t="s">
        <v>88</v>
      </c>
      <c r="S47" s="77" t="s">
        <v>228</v>
      </c>
      <c r="T47" s="161">
        <v>45587</v>
      </c>
      <c r="U47" s="154">
        <f>T47+60</f>
        <v>45647</v>
      </c>
      <c r="V47" s="157">
        <v>108</v>
      </c>
      <c r="W47" s="162">
        <v>9600</v>
      </c>
      <c r="X47" s="155">
        <f t="shared" ref="X47:X52" si="7">V47*W47</f>
        <v>1036800</v>
      </c>
      <c r="Y47" s="155"/>
      <c r="Z47" s="155"/>
      <c r="AA47" s="163"/>
      <c r="AB47" s="155"/>
      <c r="AC47" s="155"/>
      <c r="AD47" s="155"/>
      <c r="AE47" s="164"/>
      <c r="AF47" s="91"/>
      <c r="AG47" s="165"/>
      <c r="AH47" s="165"/>
      <c r="AI47" s="158"/>
      <c r="AJ47" s="155"/>
      <c r="AK47" s="155"/>
      <c r="AL47" s="166"/>
      <c r="AM47" s="91"/>
      <c r="AN47" s="167"/>
      <c r="AO47" s="155"/>
      <c r="AP47" s="186"/>
      <c r="AQ47" s="168"/>
      <c r="AR47" s="168"/>
      <c r="AS47" s="168"/>
      <c r="AY47" s="169"/>
      <c r="AZ47" s="160"/>
    </row>
    <row r="48" s="76" customFormat="1" ht="14.45" customHeight="1" outlineLevel="2" spans="2:52">
      <c r="B48" s="112">
        <v>45677</v>
      </c>
      <c r="C48" s="76" t="s">
        <v>256</v>
      </c>
      <c r="D48" s="76" t="s">
        <v>263</v>
      </c>
      <c r="E48" s="76" t="s">
        <v>257</v>
      </c>
      <c r="F48" s="114"/>
      <c r="H48" s="76" t="s">
        <v>93</v>
      </c>
      <c r="I48" s="76" t="s">
        <v>245</v>
      </c>
      <c r="J48" s="129"/>
      <c r="K48" s="129"/>
      <c r="L48" s="129"/>
      <c r="M48" s="129"/>
      <c r="P48" s="91"/>
      <c r="Q48" s="91"/>
      <c r="R48" s="76" t="s">
        <v>88</v>
      </c>
      <c r="T48" s="133"/>
      <c r="V48" s="129">
        <v>16.948</v>
      </c>
      <c r="W48" s="114">
        <v>6750</v>
      </c>
      <c r="X48" s="131">
        <f t="shared" si="7"/>
        <v>114399</v>
      </c>
      <c r="Y48" s="114"/>
      <c r="Z48" s="114"/>
      <c r="AA48" s="140"/>
      <c r="AB48" s="114"/>
      <c r="AC48" s="114"/>
      <c r="AD48" s="114"/>
      <c r="AE48" s="141"/>
      <c r="AF48" s="91"/>
      <c r="AG48" s="137"/>
      <c r="AH48" s="142">
        <v>16.948</v>
      </c>
      <c r="AI48" s="114">
        <v>7000</v>
      </c>
      <c r="AJ48" s="131">
        <f>AH48*AI48</f>
        <v>118636</v>
      </c>
      <c r="AK48" s="114">
        <f>566000/336.253*AH48</f>
        <v>28527.8287479963</v>
      </c>
      <c r="AL48" s="170">
        <f>AK48-AJ48</f>
        <v>-90108.1712520037</v>
      </c>
      <c r="AM48" s="91"/>
      <c r="AN48" s="142">
        <v>16.948</v>
      </c>
      <c r="AO48" s="114">
        <v>7000</v>
      </c>
      <c r="AP48" s="171">
        <f>AN48*AO48</f>
        <v>118636</v>
      </c>
      <c r="AQ48" s="127"/>
      <c r="AR48" s="127"/>
      <c r="AS48" s="127">
        <f>AQ48-AP48</f>
        <v>-118636</v>
      </c>
      <c r="AY48" s="149"/>
      <c r="AZ48" s="91"/>
    </row>
    <row r="49" s="76" customFormat="1" ht="14.45" customHeight="1" outlineLevel="2" spans="2:52">
      <c r="B49" s="112">
        <v>45677</v>
      </c>
      <c r="C49" s="76" t="s">
        <v>258</v>
      </c>
      <c r="D49" s="76" t="s">
        <v>264</v>
      </c>
      <c r="E49" s="76" t="s">
        <v>259</v>
      </c>
      <c r="F49" s="114"/>
      <c r="H49" s="76" t="s">
        <v>93</v>
      </c>
      <c r="I49" s="76" t="s">
        <v>245</v>
      </c>
      <c r="J49" s="129"/>
      <c r="K49" s="129"/>
      <c r="L49" s="129"/>
      <c r="M49" s="129"/>
      <c r="P49" s="91"/>
      <c r="Q49" s="91"/>
      <c r="R49" s="76" t="s">
        <v>88</v>
      </c>
      <c r="T49" s="133"/>
      <c r="V49" s="129">
        <v>49.995</v>
      </c>
      <c r="W49" s="114">
        <v>6750</v>
      </c>
      <c r="X49" s="131">
        <f t="shared" si="7"/>
        <v>337466.25</v>
      </c>
      <c r="Y49" s="114"/>
      <c r="Z49" s="114"/>
      <c r="AA49" s="140"/>
      <c r="AB49" s="114"/>
      <c r="AC49" s="114"/>
      <c r="AD49" s="114"/>
      <c r="AE49" s="141"/>
      <c r="AF49" s="91"/>
      <c r="AG49" s="137"/>
      <c r="AH49" s="142">
        <v>49.995</v>
      </c>
      <c r="AI49" s="114">
        <v>7000</v>
      </c>
      <c r="AJ49" s="131">
        <f>AH49*AI49</f>
        <v>349965</v>
      </c>
      <c r="AK49" s="114">
        <f>566000/336.253*AH49</f>
        <v>84154.401596417</v>
      </c>
      <c r="AL49" s="170">
        <f>AK49-AJ49</f>
        <v>-265810.598403583</v>
      </c>
      <c r="AM49" s="91"/>
      <c r="AN49" s="142">
        <v>49.995</v>
      </c>
      <c r="AO49" s="114">
        <v>7000</v>
      </c>
      <c r="AP49" s="171">
        <f>AN49*AO49</f>
        <v>349965</v>
      </c>
      <c r="AQ49" s="127"/>
      <c r="AR49" s="127"/>
      <c r="AS49" s="127">
        <f>AQ49-AP49</f>
        <v>-349965</v>
      </c>
      <c r="AY49" s="149"/>
      <c r="AZ49" s="91"/>
    </row>
    <row r="50" s="78" customFormat="1" ht="14.45" customHeight="1" outlineLevel="2" spans="2:52">
      <c r="B50" s="172">
        <v>45677</v>
      </c>
      <c r="C50" s="78" t="s">
        <v>260</v>
      </c>
      <c r="D50" s="78" t="s">
        <v>264</v>
      </c>
      <c r="E50" s="78" t="s">
        <v>261</v>
      </c>
      <c r="F50" s="173"/>
      <c r="H50" s="78" t="s">
        <v>93</v>
      </c>
      <c r="I50" s="78" t="s">
        <v>245</v>
      </c>
      <c r="J50" s="174"/>
      <c r="K50" s="174"/>
      <c r="L50" s="174"/>
      <c r="M50" s="174"/>
      <c r="P50" s="175"/>
      <c r="Q50" s="175"/>
      <c r="R50" s="78" t="s">
        <v>88</v>
      </c>
      <c r="T50" s="176"/>
      <c r="V50" s="174">
        <v>54.54</v>
      </c>
      <c r="W50" s="173">
        <v>6750</v>
      </c>
      <c r="X50" s="177">
        <f t="shared" si="7"/>
        <v>368145</v>
      </c>
      <c r="Y50" s="173"/>
      <c r="Z50" s="173"/>
      <c r="AA50" s="178"/>
      <c r="AB50" s="173"/>
      <c r="AC50" s="173"/>
      <c r="AD50" s="173"/>
      <c r="AE50" s="179"/>
      <c r="AF50" s="91"/>
      <c r="AG50" s="180"/>
      <c r="AH50" s="181">
        <v>54.54</v>
      </c>
      <c r="AI50" s="173">
        <v>7000</v>
      </c>
      <c r="AJ50" s="177">
        <f>AH50*AI50</f>
        <v>381780</v>
      </c>
      <c r="AK50" s="173">
        <f>566000/336.253*AH50</f>
        <v>91804.8017415458</v>
      </c>
      <c r="AL50" s="182">
        <f>AK50-AJ50</f>
        <v>-289975.198258454</v>
      </c>
      <c r="AM50" s="91"/>
      <c r="AN50" s="181">
        <v>54.54</v>
      </c>
      <c r="AO50" s="173">
        <v>7000</v>
      </c>
      <c r="AP50" s="183">
        <f>AN50*AO50</f>
        <v>381780</v>
      </c>
      <c r="AQ50" s="184"/>
      <c r="AR50" s="184"/>
      <c r="AS50" s="184">
        <f>AQ50-AP50</f>
        <v>-381780</v>
      </c>
      <c r="AY50" s="185"/>
      <c r="AZ50" s="175"/>
    </row>
    <row r="51" s="77" customFormat="1" ht="14.45" customHeight="1" outlineLevel="2" spans="2:52">
      <c r="B51" s="112">
        <v>45587</v>
      </c>
      <c r="C51" s="77" t="s">
        <v>252</v>
      </c>
      <c r="D51" s="77" t="s">
        <v>265</v>
      </c>
      <c r="E51" s="77" t="s">
        <v>253</v>
      </c>
      <c r="F51" s="155"/>
      <c r="G51" s="145">
        <f>B51+60</f>
        <v>45647</v>
      </c>
      <c r="H51" s="77" t="s">
        <v>93</v>
      </c>
      <c r="I51" s="77" t="s">
        <v>265</v>
      </c>
      <c r="J51" s="157">
        <v>47</v>
      </c>
      <c r="K51" s="158">
        <f>6450+250</f>
        <v>6700</v>
      </c>
      <c r="L51" s="158">
        <f>J51*K51</f>
        <v>314900</v>
      </c>
      <c r="M51" s="157"/>
      <c r="P51" s="160"/>
      <c r="Q51" s="160"/>
      <c r="R51" s="77" t="s">
        <v>88</v>
      </c>
      <c r="S51" s="77" t="s">
        <v>238</v>
      </c>
      <c r="T51" s="161">
        <v>45657</v>
      </c>
      <c r="V51" s="77">
        <v>47</v>
      </c>
      <c r="W51" s="155">
        <v>6450</v>
      </c>
      <c r="X51" s="155">
        <f t="shared" si="7"/>
        <v>303150</v>
      </c>
      <c r="Y51" s="155"/>
      <c r="Z51" s="155"/>
      <c r="AA51" s="163"/>
      <c r="AB51" s="155"/>
      <c r="AC51" s="155"/>
      <c r="AD51" s="155"/>
      <c r="AE51" s="164"/>
      <c r="AF51" s="91"/>
      <c r="AG51" s="165"/>
      <c r="AH51" s="165"/>
      <c r="AJ51" s="155"/>
      <c r="AK51" s="155"/>
      <c r="AL51" s="166"/>
      <c r="AM51" s="91"/>
      <c r="AN51" s="167"/>
      <c r="AO51" s="155"/>
      <c r="AP51" s="186"/>
      <c r="AQ51" s="168"/>
      <c r="AR51" s="168"/>
      <c r="AS51" s="168"/>
      <c r="AY51" s="169"/>
      <c r="AZ51" s="160"/>
    </row>
    <row r="52" s="76" customFormat="1" ht="14.45" customHeight="1" outlineLevel="2" spans="2:52">
      <c r="B52" s="112">
        <v>45677</v>
      </c>
      <c r="C52" s="76" t="s">
        <v>256</v>
      </c>
      <c r="D52" s="76" t="s">
        <v>266</v>
      </c>
      <c r="E52" s="76" t="s">
        <v>257</v>
      </c>
      <c r="F52" s="114"/>
      <c r="H52" s="76" t="s">
        <v>93</v>
      </c>
      <c r="I52" s="76" t="s">
        <v>266</v>
      </c>
      <c r="J52" s="129"/>
      <c r="K52" s="129"/>
      <c r="L52" s="129"/>
      <c r="M52" s="129"/>
      <c r="P52" s="91"/>
      <c r="Q52" s="91"/>
      <c r="R52" s="76" t="s">
        <v>88</v>
      </c>
      <c r="T52" s="133"/>
      <c r="V52" s="129">
        <v>22.725</v>
      </c>
      <c r="W52" s="114">
        <v>6450</v>
      </c>
      <c r="X52" s="131">
        <f t="shared" si="7"/>
        <v>146576.25</v>
      </c>
      <c r="Y52" s="114"/>
      <c r="Z52" s="114"/>
      <c r="AA52" s="140"/>
      <c r="AB52" s="114"/>
      <c r="AC52" s="114"/>
      <c r="AD52" s="114"/>
      <c r="AE52" s="141"/>
      <c r="AF52" s="91"/>
      <c r="AG52" s="137"/>
      <c r="AH52" s="142">
        <v>22.725</v>
      </c>
      <c r="AI52" s="114">
        <v>6700</v>
      </c>
      <c r="AJ52" s="131">
        <f>AH52*AI52</f>
        <v>152257.5</v>
      </c>
      <c r="AK52" s="114">
        <f>566000/336.253*AH52</f>
        <v>38252.0007256441</v>
      </c>
      <c r="AL52" s="170">
        <f>AK52-AJ52</f>
        <v>-114005.499274356</v>
      </c>
      <c r="AM52" s="91"/>
      <c r="AN52" s="142">
        <v>22.725</v>
      </c>
      <c r="AO52" s="114">
        <v>6700</v>
      </c>
      <c r="AP52" s="171">
        <f>AN52*AO52</f>
        <v>152257.5</v>
      </c>
      <c r="AQ52" s="127"/>
      <c r="AR52" s="127"/>
      <c r="AS52" s="127">
        <f>AQ52-AP52</f>
        <v>-152257.5</v>
      </c>
      <c r="AY52" s="149"/>
      <c r="AZ52" s="91"/>
    </row>
    <row r="53" s="76" customFormat="1" ht="14.45" customHeight="1" outlineLevel="2" spans="2:52">
      <c r="B53" s="112"/>
      <c r="F53" s="114"/>
      <c r="J53" s="129"/>
      <c r="K53" s="129"/>
      <c r="L53" s="129"/>
      <c r="M53" s="129"/>
      <c r="P53" s="91"/>
      <c r="Q53" s="91"/>
      <c r="R53" s="76" t="s">
        <v>178</v>
      </c>
      <c r="T53" s="133"/>
      <c r="V53" s="129"/>
      <c r="W53" s="114"/>
      <c r="X53" s="131"/>
      <c r="Y53" s="114"/>
      <c r="Z53" s="114"/>
      <c r="AA53" s="129">
        <v>22.725</v>
      </c>
      <c r="AB53" s="114">
        <v>2150</v>
      </c>
      <c r="AC53" s="131">
        <f>AA53*AB53</f>
        <v>48858.75</v>
      </c>
      <c r="AD53" s="114"/>
      <c r="AE53" s="141">
        <f>AD53-AC53</f>
        <v>-48858.75</v>
      </c>
      <c r="AF53" s="91"/>
      <c r="AG53" s="137"/>
      <c r="AH53" s="142"/>
      <c r="AI53" s="114"/>
      <c r="AJ53" s="131"/>
      <c r="AK53" s="114"/>
      <c r="AL53" s="144"/>
      <c r="AM53" s="91"/>
      <c r="AN53" s="142"/>
      <c r="AO53" s="114"/>
      <c r="AP53" s="171"/>
      <c r="AQ53" s="127"/>
      <c r="AR53" s="127"/>
      <c r="AS53" s="127"/>
      <c r="AY53" s="149"/>
      <c r="AZ53" s="91"/>
    </row>
    <row r="54" s="76" customFormat="1" ht="14.45" customHeight="1" outlineLevel="2" spans="2:52">
      <c r="B54" s="112">
        <v>45677</v>
      </c>
      <c r="C54" s="76" t="s">
        <v>258</v>
      </c>
      <c r="D54" s="76" t="s">
        <v>267</v>
      </c>
      <c r="E54" s="76" t="s">
        <v>259</v>
      </c>
      <c r="F54" s="114"/>
      <c r="H54" s="76" t="s">
        <v>93</v>
      </c>
      <c r="I54" s="76" t="s">
        <v>267</v>
      </c>
      <c r="J54" s="129"/>
      <c r="K54" s="129"/>
      <c r="L54" s="129"/>
      <c r="M54" s="129"/>
      <c r="P54" s="91"/>
      <c r="Q54" s="91"/>
      <c r="R54" s="76" t="s">
        <v>88</v>
      </c>
      <c r="T54" s="133"/>
      <c r="V54" s="129">
        <v>21.168</v>
      </c>
      <c r="W54" s="114">
        <v>6450</v>
      </c>
      <c r="X54" s="131">
        <f>V54*W54</f>
        <v>136533.6</v>
      </c>
      <c r="Y54" s="114"/>
      <c r="Z54" s="114"/>
      <c r="AA54" s="140"/>
      <c r="AB54" s="114"/>
      <c r="AC54" s="114"/>
      <c r="AD54" s="114"/>
      <c r="AE54" s="141"/>
      <c r="AF54" s="91"/>
      <c r="AG54" s="137"/>
      <c r="AH54" s="142">
        <v>21.168</v>
      </c>
      <c r="AI54" s="114">
        <v>6700</v>
      </c>
      <c r="AJ54" s="131">
        <f>AH54*AI54</f>
        <v>141825.6</v>
      </c>
      <c r="AK54" s="114">
        <f>566000/336.253*AH54</f>
        <v>35631.1705769168</v>
      </c>
      <c r="AL54" s="170">
        <f>AK54-AJ54</f>
        <v>-106194.429423083</v>
      </c>
      <c r="AM54" s="91"/>
      <c r="AN54" s="142">
        <v>21.168</v>
      </c>
      <c r="AO54" s="114">
        <v>6700</v>
      </c>
      <c r="AP54" s="171">
        <f>AN54*AO54</f>
        <v>141825.6</v>
      </c>
      <c r="AQ54" s="127"/>
      <c r="AR54" s="127"/>
      <c r="AS54" s="127">
        <f>AQ54-AP54</f>
        <v>-141825.6</v>
      </c>
      <c r="AY54" s="149"/>
      <c r="AZ54" s="91"/>
    </row>
    <row r="55" s="77" customFormat="1" ht="14.45" customHeight="1" outlineLevel="2" spans="2:52">
      <c r="B55" s="154"/>
      <c r="F55" s="155"/>
      <c r="G55" s="156"/>
      <c r="J55" s="157"/>
      <c r="K55" s="158"/>
      <c r="L55" s="158"/>
      <c r="M55" s="158"/>
      <c r="N55" s="158"/>
      <c r="O55" s="159"/>
      <c r="P55" s="160"/>
      <c r="Q55" s="160"/>
      <c r="R55" s="77" t="s">
        <v>233</v>
      </c>
      <c r="S55" s="77" t="s">
        <v>268</v>
      </c>
      <c r="T55" s="161"/>
      <c r="U55" s="154"/>
      <c r="V55" s="157">
        <v>336.253</v>
      </c>
      <c r="W55" s="162">
        <f>X55/V55</f>
        <v>0</v>
      </c>
      <c r="X55" s="155"/>
      <c r="Y55" s="155"/>
      <c r="Z55" s="155"/>
      <c r="AA55" s="163"/>
      <c r="AB55" s="155"/>
      <c r="AC55" s="155"/>
      <c r="AD55" s="155"/>
      <c r="AE55" s="164"/>
      <c r="AF55" s="91"/>
      <c r="AG55" s="165"/>
      <c r="AH55" s="165"/>
      <c r="AI55" s="158"/>
      <c r="AJ55" s="155"/>
      <c r="AK55" s="155"/>
      <c r="AL55" s="166"/>
      <c r="AM55" s="91"/>
      <c r="AN55" s="167"/>
      <c r="AO55" s="155"/>
      <c r="AP55" s="186"/>
      <c r="AQ55" s="168"/>
      <c r="AR55" s="168"/>
      <c r="AS55" s="168"/>
      <c r="AY55" s="169"/>
      <c r="AZ55" s="160"/>
    </row>
    <row r="56" s="77" customFormat="1" ht="14.45" customHeight="1" outlineLevel="2" spans="2:52">
      <c r="B56" s="154"/>
      <c r="C56" s="77" t="s">
        <v>269</v>
      </c>
      <c r="D56" s="77" t="s">
        <v>270</v>
      </c>
      <c r="F56" s="155"/>
      <c r="I56" s="77" t="s">
        <v>270</v>
      </c>
      <c r="J56" s="157"/>
      <c r="K56" s="157"/>
      <c r="L56" s="157"/>
      <c r="M56" s="157"/>
      <c r="P56" s="160"/>
      <c r="Q56" s="160"/>
      <c r="T56" s="161"/>
      <c r="V56" s="167">
        <v>0.693</v>
      </c>
      <c r="W56" s="155">
        <v>6850</v>
      </c>
      <c r="X56" s="158">
        <f>V56*W56</f>
        <v>4747.05</v>
      </c>
      <c r="Y56" s="155">
        <f t="shared" ref="Y56:Y63" si="8">X56</f>
        <v>4747.05</v>
      </c>
      <c r="Z56" s="155"/>
      <c r="AA56" s="163"/>
      <c r="AB56" s="155"/>
      <c r="AC56" s="155"/>
      <c r="AD56" s="155"/>
      <c r="AE56" s="164"/>
      <c r="AF56" s="91"/>
      <c r="AG56" s="165"/>
      <c r="AH56" s="167">
        <v>0.693</v>
      </c>
      <c r="AI56" s="155">
        <v>6850</v>
      </c>
      <c r="AJ56" s="158">
        <f>AH56*AI56</f>
        <v>4747.05</v>
      </c>
      <c r="AK56" s="155"/>
      <c r="AL56" s="164"/>
      <c r="AM56" s="91"/>
      <c r="AN56" s="167">
        <v>0.693</v>
      </c>
      <c r="AO56" s="155">
        <v>6850</v>
      </c>
      <c r="AP56" s="171">
        <f>AN56*AO56</f>
        <v>4747.05</v>
      </c>
      <c r="AQ56" s="168"/>
      <c r="AR56" s="168"/>
      <c r="AS56" s="168">
        <f>AQ56-AP56</f>
        <v>-4747.05</v>
      </c>
      <c r="AY56" s="188"/>
      <c r="AZ56" s="160"/>
    </row>
    <row r="57" s="76" customFormat="1" ht="14.45" customHeight="1" outlineLevel="2" spans="2:52">
      <c r="B57" s="112"/>
      <c r="C57" s="77" t="s">
        <v>269</v>
      </c>
      <c r="D57" s="76" t="s">
        <v>271</v>
      </c>
      <c r="F57" s="114"/>
      <c r="I57" s="76" t="s">
        <v>271</v>
      </c>
      <c r="J57" s="129"/>
      <c r="K57" s="129"/>
      <c r="L57" s="129"/>
      <c r="M57" s="129"/>
      <c r="P57" s="91"/>
      <c r="Q57" s="91"/>
      <c r="T57" s="133"/>
      <c r="V57" s="142">
        <v>0.995</v>
      </c>
      <c r="W57" s="114">
        <v>6700</v>
      </c>
      <c r="X57" s="131">
        <f>V57*W57</f>
        <v>6666.5</v>
      </c>
      <c r="Y57" s="155">
        <f t="shared" si="8"/>
        <v>6666.5</v>
      </c>
      <c r="Z57" s="114"/>
      <c r="AA57" s="140"/>
      <c r="AB57" s="114"/>
      <c r="AC57" s="114"/>
      <c r="AD57" s="114"/>
      <c r="AE57" s="141"/>
      <c r="AF57" s="91"/>
      <c r="AG57" s="137"/>
      <c r="AH57" s="142">
        <v>0.995</v>
      </c>
      <c r="AI57" s="114">
        <v>6700</v>
      </c>
      <c r="AJ57" s="131">
        <f>AH57*AI57</f>
        <v>6666.5</v>
      </c>
      <c r="AK57" s="114">
        <v>2309989</v>
      </c>
      <c r="AL57" s="144"/>
      <c r="AM57" s="91"/>
      <c r="AN57" s="142">
        <v>0.995</v>
      </c>
      <c r="AO57" s="114">
        <v>6700</v>
      </c>
      <c r="AP57" s="171">
        <f>AN57*AO57</f>
        <v>6666.5</v>
      </c>
      <c r="AQ57" s="127">
        <v>2309989</v>
      </c>
      <c r="AR57" s="127"/>
      <c r="AS57" s="127">
        <f>AQ57-AP57</f>
        <v>2303322.5</v>
      </c>
      <c r="AY57" s="149"/>
      <c r="AZ57" s="91"/>
    </row>
    <row r="58" s="76" customFormat="1" ht="14.45" customHeight="1" outlineLevel="2" spans="2:52">
      <c r="B58" s="112"/>
      <c r="C58" s="77" t="s">
        <v>269</v>
      </c>
      <c r="D58" s="76" t="s">
        <v>265</v>
      </c>
      <c r="F58" s="114"/>
      <c r="I58" s="76" t="s">
        <v>265</v>
      </c>
      <c r="J58" s="129"/>
      <c r="K58" s="129"/>
      <c r="L58" s="129"/>
      <c r="M58" s="129"/>
      <c r="P58" s="91"/>
      <c r="Q58" s="91"/>
      <c r="T58" s="133"/>
      <c r="V58" s="142">
        <v>1.354</v>
      </c>
      <c r="W58" s="114">
        <f>6450+2150</f>
        <v>8600</v>
      </c>
      <c r="X58" s="131">
        <f>V58*W58</f>
        <v>11644.4</v>
      </c>
      <c r="Y58" s="155">
        <f t="shared" si="8"/>
        <v>11644.4</v>
      </c>
      <c r="Z58" s="144">
        <v>200000</v>
      </c>
      <c r="AA58" s="140">
        <v>1.354</v>
      </c>
      <c r="AB58" s="114">
        <v>2150</v>
      </c>
      <c r="AC58" s="131">
        <f>AA58*AB58</f>
        <v>2911.1</v>
      </c>
      <c r="AD58" s="114"/>
      <c r="AE58" s="141">
        <f>AD58-AC58</f>
        <v>-2911.1</v>
      </c>
      <c r="AF58" s="91"/>
      <c r="AG58" s="137"/>
      <c r="AH58" s="142">
        <v>1.354</v>
      </c>
      <c r="AI58" s="114">
        <f>6450+2150</f>
        <v>8600</v>
      </c>
      <c r="AJ58" s="131">
        <f>AH58*AI58</f>
        <v>11644.4</v>
      </c>
      <c r="AL58" s="144"/>
      <c r="AM58" s="91"/>
      <c r="AN58" s="142">
        <v>1.354</v>
      </c>
      <c r="AO58" s="114">
        <v>6700</v>
      </c>
      <c r="AP58" s="171">
        <f>AN58*AO58</f>
        <v>9071.8</v>
      </c>
      <c r="AQ58" s="127"/>
      <c r="AR58" s="127"/>
      <c r="AS58" s="127">
        <f>AQ58-AP58</f>
        <v>-9071.8</v>
      </c>
      <c r="AT58" s="76">
        <v>200000</v>
      </c>
      <c r="AY58" s="149"/>
      <c r="AZ58" s="91"/>
    </row>
    <row r="59" s="76" customFormat="1" customHeight="1" outlineLevel="1" spans="2:52">
      <c r="B59" s="112"/>
      <c r="C59" s="76" t="s">
        <v>177</v>
      </c>
      <c r="D59" s="76" t="s">
        <v>124</v>
      </c>
      <c r="E59" s="84"/>
      <c r="F59" s="114"/>
      <c r="G59" s="133"/>
      <c r="I59" s="84"/>
      <c r="J59" s="129"/>
      <c r="K59" s="129"/>
      <c r="L59" s="129"/>
      <c r="M59" s="129"/>
      <c r="P59" s="91"/>
      <c r="Q59" s="91"/>
      <c r="S59" s="189" t="s">
        <v>183</v>
      </c>
      <c r="T59" s="133"/>
      <c r="U59" s="133"/>
      <c r="V59" s="190">
        <v>12.923</v>
      </c>
      <c r="W59" s="114">
        <f>2500/0.98</f>
        <v>2551.02040816327</v>
      </c>
      <c r="X59" s="114">
        <f>W59*V59</f>
        <v>32966.8367346939</v>
      </c>
      <c r="Y59" s="114">
        <f t="shared" si="8"/>
        <v>32966.8367346939</v>
      </c>
      <c r="Z59" s="114">
        <f>Y59-X59</f>
        <v>0</v>
      </c>
      <c r="AB59" s="114"/>
      <c r="AC59" s="114"/>
      <c r="AD59" s="114"/>
      <c r="AE59" s="114"/>
      <c r="AF59" s="91"/>
      <c r="AG59" s="84"/>
      <c r="AJ59" s="114"/>
      <c r="AK59" s="114"/>
      <c r="AM59" s="91"/>
      <c r="AN59" s="129"/>
      <c r="AO59" s="114"/>
      <c r="AP59" s="127"/>
      <c r="AQ59" s="127"/>
      <c r="AR59" s="127"/>
      <c r="AS59" s="127"/>
      <c r="AZ59" s="91"/>
    </row>
    <row r="60" s="76" customFormat="1" customHeight="1" outlineLevel="1" spans="2:52">
      <c r="B60" s="112"/>
      <c r="C60" s="76" t="s">
        <v>179</v>
      </c>
      <c r="D60" s="76" t="s">
        <v>175</v>
      </c>
      <c r="E60" s="84"/>
      <c r="F60" s="114"/>
      <c r="G60" s="133"/>
      <c r="I60" s="84"/>
      <c r="J60" s="129"/>
      <c r="K60" s="129"/>
      <c r="L60" s="129"/>
      <c r="M60" s="129"/>
      <c r="P60" s="91"/>
      <c r="Q60" s="91"/>
      <c r="S60" s="189" t="s">
        <v>183</v>
      </c>
      <c r="T60" s="133"/>
      <c r="U60" s="133"/>
      <c r="V60" s="76">
        <v>1.292</v>
      </c>
      <c r="W60" s="114">
        <f>2400/0.98</f>
        <v>2448.97959183673</v>
      </c>
      <c r="X60" s="114">
        <f>W60*V60</f>
        <v>3164.08163265306</v>
      </c>
      <c r="Y60" s="114">
        <f t="shared" si="8"/>
        <v>3164.08163265306</v>
      </c>
      <c r="Z60" s="114">
        <f>Y60-X60</f>
        <v>0</v>
      </c>
      <c r="AA60" s="140"/>
      <c r="AB60" s="114"/>
      <c r="AC60" s="114"/>
      <c r="AD60" s="114"/>
      <c r="AE60" s="114"/>
      <c r="AF60" s="91"/>
      <c r="AG60" s="84"/>
      <c r="AJ60" s="114"/>
      <c r="AK60" s="114"/>
      <c r="AN60" s="129"/>
      <c r="AO60" s="114"/>
      <c r="AP60" s="127"/>
      <c r="AQ60" s="127"/>
      <c r="AR60" s="127"/>
      <c r="AS60" s="127"/>
      <c r="AZ60" s="91"/>
    </row>
    <row r="61" s="76" customFormat="1" customHeight="1" outlineLevel="1" spans="2:52">
      <c r="B61" s="112"/>
      <c r="C61" s="76" t="s">
        <v>180</v>
      </c>
      <c r="D61" s="76" t="s">
        <v>175</v>
      </c>
      <c r="E61" s="84"/>
      <c r="F61" s="114"/>
      <c r="G61" s="133"/>
      <c r="I61" s="84"/>
      <c r="J61" s="129"/>
      <c r="K61" s="129"/>
      <c r="L61" s="129"/>
      <c r="M61" s="129"/>
      <c r="P61" s="91"/>
      <c r="Q61" s="91"/>
      <c r="S61" s="189" t="s">
        <v>183</v>
      </c>
      <c r="T61" s="133"/>
      <c r="U61" s="133"/>
      <c r="V61" s="76">
        <v>18.144</v>
      </c>
      <c r="W61" s="114">
        <f>2400/0.98</f>
        <v>2448.97959183673</v>
      </c>
      <c r="X61" s="114">
        <f>W61*V61</f>
        <v>44434.2857142857</v>
      </c>
      <c r="Y61" s="114">
        <f t="shared" si="8"/>
        <v>44434.2857142857</v>
      </c>
      <c r="Z61" s="114">
        <f>Y61-X61</f>
        <v>0</v>
      </c>
      <c r="AA61" s="140"/>
      <c r="AB61" s="114"/>
      <c r="AC61" s="114"/>
      <c r="AD61" s="114"/>
      <c r="AE61" s="114"/>
      <c r="AF61" s="91"/>
      <c r="AG61" s="84"/>
      <c r="AJ61" s="114"/>
      <c r="AK61" s="114"/>
      <c r="AN61" s="129"/>
      <c r="AO61" s="114"/>
      <c r="AP61" s="127"/>
      <c r="AQ61" s="127"/>
      <c r="AR61" s="127"/>
      <c r="AS61" s="127"/>
      <c r="AZ61" s="91"/>
    </row>
    <row r="62" s="76" customFormat="1" customHeight="1" outlineLevel="1" spans="2:52">
      <c r="B62" s="112"/>
      <c r="C62" s="76" t="s">
        <v>181</v>
      </c>
      <c r="D62" s="76" t="s">
        <v>175</v>
      </c>
      <c r="E62" s="84"/>
      <c r="F62" s="114"/>
      <c r="G62" s="133"/>
      <c r="I62" s="84"/>
      <c r="J62" s="129"/>
      <c r="K62" s="129"/>
      <c r="L62" s="129"/>
      <c r="M62" s="129"/>
      <c r="P62" s="91"/>
      <c r="Q62" s="91"/>
      <c r="S62" s="189" t="s">
        <v>183</v>
      </c>
      <c r="T62" s="133"/>
      <c r="U62" s="133"/>
      <c r="V62" s="76">
        <v>12.096</v>
      </c>
      <c r="W62" s="114">
        <f>2400/0.98</f>
        <v>2448.97959183673</v>
      </c>
      <c r="X62" s="114">
        <f>W62*V62</f>
        <v>29622.8571428571</v>
      </c>
      <c r="Y62" s="114">
        <f t="shared" si="8"/>
        <v>29622.8571428571</v>
      </c>
      <c r="Z62" s="114">
        <f>Y62-X62</f>
        <v>0</v>
      </c>
      <c r="AA62" s="140"/>
      <c r="AB62" s="114"/>
      <c r="AC62" s="114"/>
      <c r="AD62" s="114"/>
      <c r="AE62" s="114"/>
      <c r="AF62" s="91"/>
      <c r="AG62" s="84"/>
      <c r="AJ62" s="114"/>
      <c r="AK62" s="114"/>
      <c r="AN62" s="129"/>
      <c r="AO62" s="114"/>
      <c r="AP62" s="127"/>
      <c r="AQ62" s="127"/>
      <c r="AR62" s="127"/>
      <c r="AS62" s="127"/>
      <c r="AZ62" s="91"/>
    </row>
    <row r="63" s="76" customFormat="1" customHeight="1" outlineLevel="1" spans="2:52">
      <c r="B63" s="112"/>
      <c r="C63" s="76" t="s">
        <v>182</v>
      </c>
      <c r="D63" s="76" t="s">
        <v>175</v>
      </c>
      <c r="E63" s="84"/>
      <c r="F63" s="114"/>
      <c r="G63" s="133"/>
      <c r="I63" s="84"/>
      <c r="J63" s="129"/>
      <c r="K63" s="129"/>
      <c r="L63" s="129"/>
      <c r="M63" s="129"/>
      <c r="P63" s="91"/>
      <c r="Q63" s="91"/>
      <c r="S63" s="189" t="s">
        <v>183</v>
      </c>
      <c r="T63" s="133"/>
      <c r="U63" s="133"/>
      <c r="V63" s="76">
        <v>17.44</v>
      </c>
      <c r="W63" s="114">
        <f>2400/0.98</f>
        <v>2448.97959183673</v>
      </c>
      <c r="X63" s="114">
        <f>W63*V63</f>
        <v>42710.2040816327</v>
      </c>
      <c r="Y63" s="114">
        <f t="shared" si="8"/>
        <v>42710.2040816327</v>
      </c>
      <c r="Z63" s="114">
        <f>Y63-X63</f>
        <v>0</v>
      </c>
      <c r="AA63" s="140"/>
      <c r="AB63" s="114"/>
      <c r="AC63" s="114"/>
      <c r="AD63" s="114"/>
      <c r="AE63" s="114"/>
      <c r="AF63" s="91"/>
      <c r="AG63" s="84"/>
      <c r="AJ63" s="114"/>
      <c r="AK63" s="114"/>
      <c r="AN63" s="129"/>
      <c r="AO63" s="114"/>
      <c r="AP63" s="127"/>
      <c r="AQ63" s="127"/>
      <c r="AR63" s="127"/>
      <c r="AS63" s="127"/>
      <c r="AZ63" s="91"/>
    </row>
    <row r="64" s="79" customFormat="1" customHeight="1" spans="2:52">
      <c r="B64" s="191"/>
      <c r="C64" s="79" t="s">
        <v>184</v>
      </c>
      <c r="E64" s="84"/>
      <c r="F64" s="192"/>
      <c r="G64" s="193"/>
      <c r="I64" s="84"/>
      <c r="J64" s="194"/>
      <c r="K64" s="194"/>
      <c r="L64" s="194"/>
      <c r="M64" s="194"/>
      <c r="S64" s="195" t="s">
        <v>183</v>
      </c>
      <c r="T64" s="193"/>
      <c r="U64" s="193"/>
      <c r="V64" s="79">
        <f>SUM(V59:V63)</f>
        <v>61.895</v>
      </c>
      <c r="W64" s="192"/>
      <c r="X64" s="79">
        <f>SUM(X59:X63)</f>
        <v>152898.265306122</v>
      </c>
      <c r="Y64" s="192">
        <f>SUBTOTAL(9,Y56:Y63)</f>
        <v>175956.215306122</v>
      </c>
      <c r="Z64" s="192"/>
      <c r="AA64" s="196"/>
      <c r="AB64" s="192"/>
      <c r="AC64" s="192"/>
      <c r="AD64" s="192"/>
      <c r="AE64" s="192"/>
      <c r="AG64" s="84"/>
      <c r="AJ64" s="192"/>
      <c r="AK64" s="192"/>
      <c r="AN64" s="194"/>
      <c r="AO64" s="192"/>
      <c r="AP64" s="150"/>
      <c r="AQ64" s="150"/>
      <c r="AR64" s="150"/>
      <c r="AS64" s="150"/>
    </row>
    <row r="65" s="76" customFormat="1" customHeight="1" outlineLevel="1" spans="2:52">
      <c r="B65" s="112"/>
      <c r="C65" s="76" t="s">
        <v>257</v>
      </c>
      <c r="D65" s="76" t="s">
        <v>245</v>
      </c>
      <c r="E65" s="84"/>
      <c r="F65" s="86"/>
      <c r="G65" s="87"/>
      <c r="H65" s="84"/>
      <c r="I65" s="84"/>
      <c r="J65" s="88"/>
      <c r="K65" s="88"/>
      <c r="L65" s="88"/>
      <c r="M65" s="88"/>
      <c r="N65" s="84"/>
      <c r="O65" s="84"/>
      <c r="P65" s="91"/>
      <c r="Q65" s="91"/>
      <c r="S65" s="189" t="s">
        <v>183</v>
      </c>
      <c r="T65" s="133"/>
      <c r="U65" s="133"/>
      <c r="V65" s="190">
        <v>22.725</v>
      </c>
      <c r="W65" s="190">
        <f>2150/0.98</f>
        <v>2193.87755102041</v>
      </c>
      <c r="X65" s="114">
        <f>W65*V65</f>
        <v>49855.8673469388</v>
      </c>
      <c r="Y65" s="114">
        <f>X65</f>
        <v>49855.8673469388</v>
      </c>
      <c r="Z65" s="114">
        <f>Y65-X65</f>
        <v>0</v>
      </c>
      <c r="AA65" s="140"/>
      <c r="AB65" s="114"/>
      <c r="AC65" s="114"/>
      <c r="AD65" s="114"/>
      <c r="AE65" s="114"/>
      <c r="AF65" s="91"/>
      <c r="AG65" s="84"/>
      <c r="AJ65" s="114"/>
      <c r="AK65" s="114"/>
      <c r="AM65" s="91"/>
      <c r="AN65" s="129"/>
      <c r="AO65" s="114"/>
      <c r="AP65" s="127"/>
      <c r="AQ65" s="127"/>
      <c r="AR65" s="127"/>
      <c r="AS65" s="127"/>
      <c r="AZ65" s="91"/>
    </row>
    <row r="66" s="76" customFormat="1" customHeight="1" outlineLevel="1" spans="2:52">
      <c r="B66" s="112"/>
      <c r="C66" s="76" t="s">
        <v>257</v>
      </c>
      <c r="D66" s="76" t="s">
        <v>124</v>
      </c>
      <c r="E66" s="84"/>
      <c r="F66" s="86"/>
      <c r="G66" s="87"/>
      <c r="H66" s="84"/>
      <c r="I66" s="84"/>
      <c r="J66" s="88"/>
      <c r="K66" s="88"/>
      <c r="L66" s="88"/>
      <c r="M66" s="88"/>
      <c r="N66" s="84"/>
      <c r="O66" s="84"/>
      <c r="P66" s="91"/>
      <c r="Q66" s="91"/>
      <c r="S66" s="189" t="s">
        <v>183</v>
      </c>
      <c r="T66" s="133"/>
      <c r="U66" s="133"/>
      <c r="V66" s="190">
        <v>14.243</v>
      </c>
      <c r="W66" s="190">
        <f>2500/0.98</f>
        <v>2551.02040816327</v>
      </c>
      <c r="X66" s="114">
        <f>W66*V66</f>
        <v>36334.1836734694</v>
      </c>
      <c r="Y66" s="114">
        <f>X66</f>
        <v>36334.1836734694</v>
      </c>
      <c r="Z66" s="114">
        <f>Y66-X66</f>
        <v>0</v>
      </c>
      <c r="AA66" s="140"/>
      <c r="AB66" s="114"/>
      <c r="AC66" s="114"/>
      <c r="AD66" s="114"/>
      <c r="AE66" s="114"/>
      <c r="AF66" s="91"/>
      <c r="AG66" s="84"/>
      <c r="AJ66" s="114"/>
      <c r="AK66" s="114"/>
      <c r="AM66" s="91"/>
      <c r="AN66" s="129"/>
      <c r="AO66" s="114"/>
      <c r="AP66" s="127"/>
      <c r="AQ66" s="127"/>
      <c r="AR66" s="127"/>
      <c r="AS66" s="127"/>
      <c r="AZ66" s="91"/>
    </row>
    <row r="67" s="76" customFormat="1" customHeight="1" outlineLevel="1" spans="2:52">
      <c r="B67" s="112"/>
      <c r="C67" s="76" t="s">
        <v>269</v>
      </c>
      <c r="D67" s="76" t="s">
        <v>245</v>
      </c>
      <c r="E67" s="84"/>
      <c r="F67" s="86"/>
      <c r="G67" s="87"/>
      <c r="H67" s="84"/>
      <c r="I67" s="84"/>
      <c r="J67" s="88"/>
      <c r="K67" s="88"/>
      <c r="L67" s="88"/>
      <c r="M67" s="88"/>
      <c r="N67" s="84"/>
      <c r="O67" s="84"/>
      <c r="P67" s="91"/>
      <c r="Q67" s="91"/>
      <c r="S67" s="189" t="s">
        <v>183</v>
      </c>
      <c r="T67" s="133"/>
      <c r="U67" s="133"/>
      <c r="V67" s="190">
        <v>1.354</v>
      </c>
      <c r="W67" s="190">
        <f>2150/0.98</f>
        <v>2193.87755102041</v>
      </c>
      <c r="X67" s="114">
        <f>W67*V67</f>
        <v>2970.51020408163</v>
      </c>
      <c r="Y67" s="114">
        <f>X67</f>
        <v>2970.51020408163</v>
      </c>
      <c r="Z67" s="114">
        <f>Y67-X67</f>
        <v>0</v>
      </c>
      <c r="AA67" s="140"/>
      <c r="AB67" s="114"/>
      <c r="AC67" s="114"/>
      <c r="AD67" s="114"/>
      <c r="AE67" s="114"/>
      <c r="AF67" s="91"/>
      <c r="AG67" s="84"/>
      <c r="AJ67" s="114"/>
      <c r="AK67" s="114"/>
      <c r="AN67" s="129"/>
      <c r="AO67" s="114"/>
      <c r="AP67" s="127"/>
      <c r="AQ67" s="127"/>
      <c r="AR67" s="127"/>
      <c r="AS67" s="127"/>
      <c r="AZ67" s="91"/>
    </row>
    <row r="68" s="79" customFormat="1" customHeight="1" spans="2:52">
      <c r="B68" s="191"/>
      <c r="C68" s="79" t="s">
        <v>253</v>
      </c>
      <c r="E68" s="84"/>
      <c r="F68" s="86"/>
      <c r="G68" s="87"/>
      <c r="H68" s="84"/>
      <c r="I68" s="84"/>
      <c r="J68" s="88"/>
      <c r="K68" s="88"/>
      <c r="L68" s="88"/>
      <c r="M68" s="88"/>
      <c r="N68" s="84"/>
      <c r="O68" s="84"/>
      <c r="S68" s="195" t="s">
        <v>183</v>
      </c>
      <c r="T68" s="193"/>
      <c r="U68" s="193"/>
      <c r="V68" s="79">
        <f>SUM(V65:V67)</f>
        <v>38.322</v>
      </c>
      <c r="W68" s="192"/>
      <c r="X68" s="79">
        <f>SUM(X65:X67)</f>
        <v>89160.5612244898</v>
      </c>
      <c r="Y68" s="192">
        <f>SUBTOTAL(9,Y65:Y67)</f>
        <v>89160.5612244898</v>
      </c>
      <c r="Z68" s="192"/>
      <c r="AA68" s="196"/>
      <c r="AB68" s="192"/>
      <c r="AC68" s="192"/>
      <c r="AD68" s="192"/>
      <c r="AE68" s="192"/>
      <c r="AG68" s="84"/>
      <c r="AJ68" s="192"/>
      <c r="AK68" s="192"/>
      <c r="AN68" s="194"/>
      <c r="AO68" s="192"/>
      <c r="AP68" s="150"/>
      <c r="AQ68" s="150"/>
      <c r="AR68" s="150"/>
      <c r="AS68" s="150"/>
    </row>
    <row r="69" s="76" customFormat="1" customHeight="1" outlineLevel="1" spans="2:52">
      <c r="B69" s="112"/>
      <c r="C69" s="76" t="s">
        <v>302</v>
      </c>
      <c r="D69" s="76" t="s">
        <v>1704</v>
      </c>
      <c r="E69" s="84"/>
      <c r="F69" s="86"/>
      <c r="G69" s="87"/>
      <c r="H69" s="84"/>
      <c r="I69" s="84"/>
      <c r="J69" s="88"/>
      <c r="K69" s="88"/>
      <c r="L69" s="88"/>
      <c r="M69" s="88"/>
      <c r="N69" s="84"/>
      <c r="O69" s="84"/>
      <c r="P69" s="91"/>
      <c r="Q69" s="91"/>
      <c r="S69" s="189" t="s">
        <v>183</v>
      </c>
      <c r="T69" s="133"/>
      <c r="U69" s="133"/>
      <c r="V69" s="190">
        <v>13.59</v>
      </c>
      <c r="W69" s="114">
        <f>2500/0.98</f>
        <v>2551.02040816327</v>
      </c>
      <c r="X69" s="114">
        <f>W69*V69</f>
        <v>34668.3673469388</v>
      </c>
      <c r="Y69" s="114">
        <f>X69</f>
        <v>34668.3673469388</v>
      </c>
      <c r="Z69" s="114">
        <f>Y69-X69</f>
        <v>0</v>
      </c>
      <c r="AA69" s="197" t="s">
        <v>1705</v>
      </c>
      <c r="AB69" s="114"/>
      <c r="AC69" s="114"/>
      <c r="AD69" s="114"/>
      <c r="AE69" s="114"/>
      <c r="AF69" s="91"/>
      <c r="AG69" s="84"/>
      <c r="AJ69" s="114"/>
      <c r="AK69" s="114"/>
      <c r="AM69" s="91"/>
      <c r="AN69" s="129"/>
      <c r="AO69" s="114"/>
      <c r="AP69" s="127"/>
      <c r="AQ69" s="127"/>
      <c r="AR69" s="127"/>
      <c r="AS69" s="127"/>
      <c r="AZ69" s="91"/>
    </row>
    <row r="70" s="79" customFormat="1" customHeight="1" spans="2:52">
      <c r="B70" s="191"/>
      <c r="C70" s="79" t="s">
        <v>302</v>
      </c>
      <c r="E70" s="84"/>
      <c r="F70" s="86"/>
      <c r="G70" s="87"/>
      <c r="H70" s="84"/>
      <c r="I70" s="84"/>
      <c r="J70" s="88"/>
      <c r="K70" s="88"/>
      <c r="L70" s="88"/>
      <c r="M70" s="88"/>
      <c r="N70" s="84"/>
      <c r="O70" s="84"/>
      <c r="S70" s="79" t="s">
        <v>183</v>
      </c>
      <c r="T70" s="193"/>
      <c r="U70" s="193"/>
      <c r="V70" s="79">
        <f>V69</f>
        <v>13.59</v>
      </c>
      <c r="W70" s="192"/>
      <c r="X70" s="192">
        <f>X69</f>
        <v>34668.3673469388</v>
      </c>
      <c r="Y70" s="192">
        <f>SUBTOTAL(9,Y69)</f>
        <v>34668.3673469388</v>
      </c>
      <c r="Z70" s="192"/>
      <c r="AA70" s="196"/>
      <c r="AB70" s="192"/>
      <c r="AC70" s="192"/>
      <c r="AD70" s="192"/>
      <c r="AE70" s="192"/>
      <c r="AG70" s="84"/>
      <c r="AJ70" s="192"/>
      <c r="AK70" s="192"/>
      <c r="AN70" s="194"/>
      <c r="AO70" s="192"/>
      <c r="AP70" s="150"/>
      <c r="AQ70" s="150"/>
      <c r="AR70" s="150"/>
      <c r="AS70" s="150"/>
    </row>
    <row r="71" s="76" customFormat="1" customHeight="1" outlineLevel="1" spans="2:52">
      <c r="B71" s="112"/>
      <c r="C71" s="76" t="s">
        <v>313</v>
      </c>
      <c r="D71" s="76" t="s">
        <v>1706</v>
      </c>
      <c r="E71" s="84"/>
      <c r="F71" s="86"/>
      <c r="G71" s="87"/>
      <c r="H71" s="84"/>
      <c r="I71" s="84"/>
      <c r="J71" s="88"/>
      <c r="K71" s="88"/>
      <c r="L71" s="88"/>
      <c r="M71" s="88"/>
      <c r="N71" s="84"/>
      <c r="O71" s="84"/>
      <c r="P71" s="91"/>
      <c r="Q71" s="91"/>
      <c r="S71" s="189" t="s">
        <v>183</v>
      </c>
      <c r="T71" s="133"/>
      <c r="U71" s="133"/>
      <c r="V71" s="76">
        <v>43.501</v>
      </c>
      <c r="W71" s="114">
        <v>2551</v>
      </c>
      <c r="X71" s="114">
        <f t="shared" ref="X71:X77" si="9">W71*V71</f>
        <v>110971.051</v>
      </c>
      <c r="Y71" s="114">
        <f t="shared" ref="Y71:Y77" si="10">X71</f>
        <v>110971.051</v>
      </c>
      <c r="Z71" s="114">
        <f t="shared" ref="Z71:Z77" si="11">Y71-X71</f>
        <v>0</v>
      </c>
      <c r="AA71" s="140"/>
      <c r="AB71" s="114"/>
      <c r="AC71" s="114"/>
      <c r="AD71" s="114"/>
      <c r="AE71" s="114"/>
      <c r="AF71" s="91"/>
      <c r="AG71" s="84"/>
      <c r="AJ71" s="114"/>
      <c r="AK71" s="114"/>
      <c r="AM71" s="91"/>
      <c r="AN71" s="129"/>
      <c r="AO71" s="114"/>
      <c r="AP71" s="127"/>
      <c r="AQ71" s="127"/>
      <c r="AR71" s="127"/>
      <c r="AS71" s="127"/>
      <c r="AZ71" s="91"/>
    </row>
    <row r="72" s="76" customFormat="1" customHeight="1" outlineLevel="1" spans="2:52">
      <c r="B72" s="112"/>
      <c r="D72" s="76" t="s">
        <v>1707</v>
      </c>
      <c r="E72" s="84"/>
      <c r="F72" s="86"/>
      <c r="G72" s="87"/>
      <c r="H72" s="84"/>
      <c r="I72" s="84"/>
      <c r="J72" s="88"/>
      <c r="K72" s="88"/>
      <c r="L72" s="88"/>
      <c r="M72" s="88"/>
      <c r="N72" s="84"/>
      <c r="O72" s="84"/>
      <c r="P72" s="91"/>
      <c r="Q72" s="91"/>
      <c r="S72" s="189" t="s">
        <v>183</v>
      </c>
      <c r="T72" s="133"/>
      <c r="U72" s="133"/>
      <c r="V72" s="76">
        <v>12.806</v>
      </c>
      <c r="W72" s="114">
        <v>1510.2</v>
      </c>
      <c r="X72" s="114">
        <f t="shared" si="9"/>
        <v>19339.6212</v>
      </c>
      <c r="Y72" s="114">
        <f t="shared" si="10"/>
        <v>19339.6212</v>
      </c>
      <c r="Z72" s="114">
        <f t="shared" si="11"/>
        <v>0</v>
      </c>
      <c r="AA72" s="198" t="s">
        <v>1708</v>
      </c>
      <c r="AB72" s="114"/>
      <c r="AC72" s="114"/>
      <c r="AD72" s="114"/>
      <c r="AE72" s="114"/>
      <c r="AF72" s="91"/>
      <c r="AG72" s="84"/>
      <c r="AJ72" s="114"/>
      <c r="AK72" s="114"/>
      <c r="AN72" s="129"/>
      <c r="AO72" s="114"/>
      <c r="AP72" s="127"/>
      <c r="AQ72" s="127"/>
      <c r="AR72" s="127"/>
      <c r="AS72" s="127"/>
      <c r="AZ72" s="91"/>
    </row>
    <row r="73" s="76" customFormat="1" customHeight="1" outlineLevel="1" spans="2:52">
      <c r="B73" s="112"/>
      <c r="D73" s="76" t="s">
        <v>1709</v>
      </c>
      <c r="E73" s="84"/>
      <c r="F73" s="86"/>
      <c r="G73" s="87"/>
      <c r="H73" s="84"/>
      <c r="I73" s="84"/>
      <c r="J73" s="88"/>
      <c r="K73" s="88"/>
      <c r="L73" s="88"/>
      <c r="M73" s="88"/>
      <c r="N73" s="84"/>
      <c r="O73" s="84"/>
      <c r="P73" s="91"/>
      <c r="Q73" s="91"/>
      <c r="S73" s="189" t="s">
        <v>183</v>
      </c>
      <c r="T73" s="133"/>
      <c r="U73" s="133"/>
      <c r="V73" s="76">
        <v>14.349</v>
      </c>
      <c r="W73" s="114">
        <v>2091.84</v>
      </c>
      <c r="X73" s="114">
        <f t="shared" si="9"/>
        <v>30015.81216</v>
      </c>
      <c r="Y73" s="114">
        <f t="shared" si="10"/>
        <v>30015.81216</v>
      </c>
      <c r="Z73" s="114">
        <f t="shared" si="11"/>
        <v>0</v>
      </c>
      <c r="AA73" s="140"/>
      <c r="AB73" s="114"/>
      <c r="AC73" s="114"/>
      <c r="AD73" s="114"/>
      <c r="AE73" s="114"/>
      <c r="AF73" s="91"/>
      <c r="AG73" s="84"/>
      <c r="AJ73" s="114"/>
      <c r="AK73" s="114"/>
      <c r="AN73" s="129"/>
      <c r="AO73" s="114"/>
      <c r="AP73" s="127"/>
      <c r="AQ73" s="127"/>
      <c r="AR73" s="127"/>
      <c r="AS73" s="127"/>
      <c r="AZ73" s="91"/>
    </row>
    <row r="74" s="76" customFormat="1" customHeight="1" outlineLevel="1" spans="2:52">
      <c r="B74" s="112"/>
      <c r="D74" s="76" t="s">
        <v>1710</v>
      </c>
      <c r="E74" s="84"/>
      <c r="F74" s="86"/>
      <c r="G74" s="87"/>
      <c r="H74" s="84"/>
      <c r="I74" s="84"/>
      <c r="J74" s="88"/>
      <c r="K74" s="88"/>
      <c r="L74" s="88"/>
      <c r="M74" s="88"/>
      <c r="N74" s="84"/>
      <c r="O74" s="84"/>
      <c r="P74" s="91"/>
      <c r="Q74" s="91"/>
      <c r="S74" s="189" t="s">
        <v>183</v>
      </c>
      <c r="T74" s="133"/>
      <c r="U74" s="133"/>
      <c r="V74" s="76">
        <v>27.184</v>
      </c>
      <c r="W74" s="114">
        <v>2448.98</v>
      </c>
      <c r="X74" s="114">
        <f t="shared" si="9"/>
        <v>66573.07232</v>
      </c>
      <c r="Y74" s="114">
        <f t="shared" si="10"/>
        <v>66573.07232</v>
      </c>
      <c r="Z74" s="114">
        <f t="shared" si="11"/>
        <v>0</v>
      </c>
      <c r="AA74" s="140"/>
      <c r="AB74" s="114"/>
      <c r="AC74" s="114"/>
      <c r="AD74" s="114"/>
      <c r="AE74" s="114"/>
      <c r="AF74" s="91"/>
      <c r="AG74" s="84"/>
      <c r="AJ74" s="114"/>
      <c r="AK74" s="114"/>
      <c r="AN74" s="129"/>
      <c r="AO74" s="114"/>
      <c r="AP74" s="127"/>
      <c r="AQ74" s="127"/>
      <c r="AR74" s="127"/>
      <c r="AS74" s="127"/>
      <c r="AZ74" s="91"/>
    </row>
    <row r="75" s="76" customFormat="1" customHeight="1" outlineLevel="1" spans="2:52">
      <c r="B75" s="112"/>
      <c r="C75" s="76" t="s">
        <v>321</v>
      </c>
      <c r="D75" s="76" t="s">
        <v>1706</v>
      </c>
      <c r="E75" s="84"/>
      <c r="F75" s="86"/>
      <c r="G75" s="87"/>
      <c r="H75" s="84"/>
      <c r="I75" s="84"/>
      <c r="J75" s="88"/>
      <c r="K75" s="88"/>
      <c r="L75" s="88"/>
      <c r="M75" s="88"/>
      <c r="N75" s="84"/>
      <c r="O75" s="84"/>
      <c r="P75" s="91"/>
      <c r="Q75" s="91"/>
      <c r="S75" s="189" t="s">
        <v>183</v>
      </c>
      <c r="T75" s="133"/>
      <c r="U75" s="133"/>
      <c r="V75" s="76">
        <v>54.54</v>
      </c>
      <c r="W75" s="114">
        <v>2551</v>
      </c>
      <c r="X75" s="114">
        <f t="shared" si="9"/>
        <v>139131.54</v>
      </c>
      <c r="Y75" s="114">
        <f t="shared" si="10"/>
        <v>139131.54</v>
      </c>
      <c r="Z75" s="114">
        <f t="shared" si="11"/>
        <v>0</v>
      </c>
      <c r="AA75" s="140"/>
      <c r="AB75" s="114"/>
      <c r="AC75" s="114"/>
      <c r="AD75" s="114"/>
      <c r="AE75" s="114"/>
      <c r="AF75" s="91"/>
      <c r="AG75" s="84"/>
      <c r="AJ75" s="114"/>
      <c r="AK75" s="114"/>
      <c r="AM75" s="91"/>
      <c r="AN75" s="129"/>
      <c r="AO75" s="114"/>
      <c r="AP75" s="127"/>
      <c r="AQ75" s="127"/>
      <c r="AR75" s="127"/>
      <c r="AS75" s="127"/>
      <c r="AZ75" s="91"/>
    </row>
    <row r="76" s="76" customFormat="1" customHeight="1" outlineLevel="1" spans="2:52">
      <c r="B76" s="112"/>
      <c r="C76" s="76" t="s">
        <v>317</v>
      </c>
      <c r="D76" s="76" t="s">
        <v>1706</v>
      </c>
      <c r="E76" s="84"/>
      <c r="F76" s="86"/>
      <c r="G76" s="87"/>
      <c r="H76" s="84"/>
      <c r="I76" s="84"/>
      <c r="J76" s="88"/>
      <c r="K76" s="88"/>
      <c r="L76" s="88"/>
      <c r="M76" s="88"/>
      <c r="N76" s="84"/>
      <c r="O76" s="84"/>
      <c r="P76" s="91"/>
      <c r="Q76" s="91"/>
      <c r="S76" s="189" t="s">
        <v>183</v>
      </c>
      <c r="T76" s="133"/>
      <c r="U76" s="133"/>
      <c r="V76" s="76">
        <v>9.047</v>
      </c>
      <c r="W76" s="199">
        <v>2551</v>
      </c>
      <c r="X76" s="114">
        <f t="shared" si="9"/>
        <v>23078.897</v>
      </c>
      <c r="Y76" s="114">
        <f t="shared" si="10"/>
        <v>23078.897</v>
      </c>
      <c r="Z76" s="114">
        <f t="shared" si="11"/>
        <v>0</v>
      </c>
      <c r="AA76" s="140"/>
      <c r="AB76" s="114"/>
      <c r="AC76" s="114"/>
      <c r="AD76" s="114"/>
      <c r="AE76" s="114"/>
      <c r="AF76" s="91"/>
      <c r="AG76" s="84"/>
      <c r="AJ76" s="114"/>
      <c r="AK76" s="114"/>
      <c r="AN76" s="129"/>
      <c r="AO76" s="114"/>
      <c r="AP76" s="127"/>
      <c r="AQ76" s="127"/>
      <c r="AR76" s="127"/>
      <c r="AS76" s="127"/>
      <c r="AZ76" s="91"/>
    </row>
    <row r="77" s="76" customFormat="1" customHeight="1" outlineLevel="1" spans="2:52">
      <c r="B77" s="112"/>
      <c r="D77" s="76" t="s">
        <v>1711</v>
      </c>
      <c r="E77" s="84"/>
      <c r="F77" s="86"/>
      <c r="G77" s="87"/>
      <c r="H77" s="84"/>
      <c r="I77" s="84"/>
      <c r="J77" s="88"/>
      <c r="K77" s="88"/>
      <c r="L77" s="88"/>
      <c r="M77" s="88"/>
      <c r="N77" s="84"/>
      <c r="O77" s="84"/>
      <c r="P77" s="91"/>
      <c r="Q77" s="91"/>
      <c r="S77" s="189" t="s">
        <v>183</v>
      </c>
      <c r="T77" s="133"/>
      <c r="U77" s="133"/>
      <c r="V77" s="76">
        <v>63.191</v>
      </c>
      <c r="W77" s="76">
        <v>2448.98</v>
      </c>
      <c r="X77" s="114">
        <f t="shared" si="9"/>
        <v>154753.49518</v>
      </c>
      <c r="Y77" s="114">
        <f t="shared" si="10"/>
        <v>154753.49518</v>
      </c>
      <c r="Z77" s="114">
        <f t="shared" si="11"/>
        <v>0</v>
      </c>
      <c r="AA77" s="140"/>
      <c r="AB77" s="114"/>
      <c r="AC77" s="114"/>
      <c r="AD77" s="114"/>
      <c r="AE77" s="114"/>
      <c r="AF77" s="91"/>
      <c r="AG77" s="84"/>
      <c r="AJ77" s="114"/>
      <c r="AK77" s="114"/>
      <c r="AN77" s="129"/>
      <c r="AO77" s="114"/>
      <c r="AP77" s="127"/>
      <c r="AQ77" s="127"/>
      <c r="AR77" s="127"/>
      <c r="AS77" s="127"/>
      <c r="AZ77" s="91"/>
    </row>
    <row r="78" s="80" customFormat="1" customHeight="1" spans="2:52">
      <c r="B78" s="200"/>
      <c r="C78" s="80" t="s">
        <v>307</v>
      </c>
      <c r="E78" s="84"/>
      <c r="F78" s="86"/>
      <c r="G78" s="87"/>
      <c r="H78" s="84"/>
      <c r="I78" s="84"/>
      <c r="J78" s="88"/>
      <c r="K78" s="88"/>
      <c r="L78" s="88"/>
      <c r="M78" s="88"/>
      <c r="N78" s="84"/>
      <c r="O78" s="84"/>
      <c r="P78" s="201"/>
      <c r="S78" s="202" t="s">
        <v>183</v>
      </c>
      <c r="T78" s="203"/>
      <c r="U78" s="203"/>
      <c r="V78" s="80">
        <f>SUM(V71:V77)</f>
        <v>224.618</v>
      </c>
      <c r="W78" s="204"/>
      <c r="X78" s="80">
        <f>SUM(X71:X77)</f>
        <v>543863.48886</v>
      </c>
      <c r="Y78" s="204">
        <f>SUBTOTAL(9,Y71:Y77)</f>
        <v>543863.48886</v>
      </c>
      <c r="Z78" s="192"/>
      <c r="AA78" s="205"/>
      <c r="AB78" s="204"/>
      <c r="AC78" s="204"/>
      <c r="AD78" s="204"/>
      <c r="AE78" s="204"/>
      <c r="AF78" s="201"/>
      <c r="AG78" s="84"/>
      <c r="AJ78" s="204"/>
      <c r="AK78" s="204"/>
      <c r="AM78" s="201"/>
      <c r="AN78" s="206"/>
      <c r="AO78" s="204"/>
      <c r="AP78" s="207"/>
      <c r="AQ78" s="207"/>
      <c r="AR78" s="207"/>
      <c r="AS78" s="207"/>
    </row>
    <row r="79" s="81" customFormat="1" customHeight="1" outlineLevel="1" spans="2:52">
      <c r="B79" s="208"/>
      <c r="C79" s="81" t="s">
        <v>339</v>
      </c>
      <c r="D79" s="81" t="s">
        <v>1712</v>
      </c>
      <c r="E79" s="84"/>
      <c r="F79" s="86"/>
      <c r="G79" s="87"/>
      <c r="H79" s="84"/>
      <c r="I79" s="84"/>
      <c r="J79" s="88"/>
      <c r="K79" s="88"/>
      <c r="L79" s="88"/>
      <c r="M79" s="88"/>
      <c r="N79" s="84"/>
      <c r="O79" s="84"/>
      <c r="P79" s="209"/>
      <c r="Q79" s="209"/>
      <c r="S79" s="189" t="s">
        <v>183</v>
      </c>
      <c r="T79" s="210"/>
      <c r="U79" s="210"/>
      <c r="V79" s="81">
        <v>112.424</v>
      </c>
      <c r="W79" s="211">
        <f>2500/0.98</f>
        <v>2551.02040816327</v>
      </c>
      <c r="X79" s="211">
        <f>W79*V79</f>
        <v>286795.918367347</v>
      </c>
      <c r="Y79" s="211">
        <f>X79</f>
        <v>286795.918367347</v>
      </c>
      <c r="Z79" s="192">
        <f>Y79-X79</f>
        <v>0</v>
      </c>
      <c r="AA79" s="212"/>
      <c r="AB79" s="211"/>
      <c r="AC79" s="211"/>
      <c r="AD79" s="211"/>
      <c r="AE79" s="211"/>
      <c r="AF79" s="209"/>
      <c r="AG79" s="84"/>
      <c r="AJ79" s="211"/>
      <c r="AK79" s="211"/>
      <c r="AM79" s="209"/>
      <c r="AN79" s="213"/>
      <c r="AO79" s="211"/>
      <c r="AP79" s="214"/>
      <c r="AQ79" s="214"/>
      <c r="AR79" s="214"/>
      <c r="AS79" s="214"/>
      <c r="AZ79" s="209"/>
    </row>
    <row r="80" s="81" customFormat="1" customHeight="1" outlineLevel="1" spans="2:52">
      <c r="B80" s="208"/>
      <c r="C80" s="81" t="s">
        <v>344</v>
      </c>
      <c r="D80" s="81" t="s">
        <v>1712</v>
      </c>
      <c r="E80" s="84"/>
      <c r="F80" s="86"/>
      <c r="G80" s="87"/>
      <c r="H80" s="84"/>
      <c r="I80" s="84"/>
      <c r="J80" s="88"/>
      <c r="K80" s="88"/>
      <c r="L80" s="88"/>
      <c r="M80" s="88"/>
      <c r="N80" s="84"/>
      <c r="O80" s="84"/>
      <c r="P80" s="209"/>
      <c r="Q80" s="209"/>
      <c r="S80" s="189" t="s">
        <v>183</v>
      </c>
      <c r="T80" s="210"/>
      <c r="U80" s="210"/>
      <c r="V80" s="215">
        <v>6.06</v>
      </c>
      <c r="W80" s="211">
        <f>W79</f>
        <v>2551.02040816327</v>
      </c>
      <c r="X80" s="211">
        <f>W80*V80</f>
        <v>15459.1836734694</v>
      </c>
      <c r="Y80" s="211">
        <f>X80</f>
        <v>15459.1836734694</v>
      </c>
      <c r="Z80" s="192">
        <f>Y80-X80</f>
        <v>0</v>
      </c>
      <c r="AA80" s="212"/>
      <c r="AB80" s="211"/>
      <c r="AC80" s="211"/>
      <c r="AD80" s="211"/>
      <c r="AE80" s="211"/>
      <c r="AF80" s="209"/>
      <c r="AG80" s="84"/>
      <c r="AJ80" s="211"/>
      <c r="AK80" s="211"/>
      <c r="AM80" s="209"/>
      <c r="AN80" s="213"/>
      <c r="AO80" s="211"/>
      <c r="AP80" s="214"/>
      <c r="AQ80" s="214"/>
      <c r="AR80" s="214"/>
      <c r="AS80" s="214"/>
      <c r="AZ80" s="209"/>
    </row>
    <row r="81" s="82" customFormat="1" customHeight="1" spans="2:52">
      <c r="B81" s="216"/>
      <c r="C81" s="82" t="s">
        <v>344</v>
      </c>
      <c r="D81" s="82" t="s">
        <v>1712</v>
      </c>
      <c r="E81" s="84"/>
      <c r="F81" s="86"/>
      <c r="G81" s="87"/>
      <c r="H81" s="84"/>
      <c r="I81" s="84"/>
      <c r="J81" s="88"/>
      <c r="K81" s="88"/>
      <c r="L81" s="88"/>
      <c r="M81" s="88"/>
      <c r="N81" s="84"/>
      <c r="O81" s="84"/>
      <c r="S81" s="202" t="s">
        <v>183</v>
      </c>
      <c r="T81" s="217"/>
      <c r="U81" s="217"/>
      <c r="V81" s="82">
        <f>SUM(V79:V80)</f>
        <v>118.484</v>
      </c>
      <c r="W81" s="218"/>
      <c r="X81" s="218">
        <f>SUM(X79:X80)</f>
        <v>302255.102040816</v>
      </c>
      <c r="Y81" s="218">
        <f>SUBTOTAL(9,Y79:Y80)</f>
        <v>302255.102040816</v>
      </c>
      <c r="Z81" s="219"/>
      <c r="AA81" s="220"/>
      <c r="AB81" s="218"/>
      <c r="AC81" s="218"/>
      <c r="AD81" s="218"/>
      <c r="AE81" s="218"/>
      <c r="AG81" s="84"/>
      <c r="AJ81" s="218"/>
      <c r="AK81" s="218"/>
      <c r="AN81" s="221"/>
      <c r="AO81" s="218"/>
      <c r="AP81" s="222"/>
      <c r="AQ81" s="222"/>
      <c r="AR81" s="222"/>
      <c r="AS81" s="222"/>
    </row>
    <row r="82" s="81" customFormat="1" customHeight="1" spans="2:52">
      <c r="B82" s="208"/>
      <c r="C82" s="81" t="s">
        <v>345</v>
      </c>
      <c r="D82" s="81" t="s">
        <v>244</v>
      </c>
      <c r="E82" s="84"/>
      <c r="F82" s="86"/>
      <c r="G82" s="87"/>
      <c r="H82" s="84"/>
      <c r="I82" s="84"/>
      <c r="J82" s="88"/>
      <c r="K82" s="88"/>
      <c r="L82" s="88"/>
      <c r="M82" s="88"/>
      <c r="N82" s="84"/>
      <c r="O82" s="84"/>
      <c r="P82" s="209"/>
      <c r="Q82" s="209"/>
      <c r="S82" s="189" t="s">
        <v>183</v>
      </c>
      <c r="T82" s="210"/>
      <c r="U82" s="210"/>
      <c r="V82" s="81">
        <v>27.104</v>
      </c>
      <c r="W82" s="211">
        <f>2500/0.98</f>
        <v>2551.02040816327</v>
      </c>
      <c r="X82" s="211">
        <f>W82*V82</f>
        <v>69142.8571428571</v>
      </c>
      <c r="Y82" s="211">
        <f>X82</f>
        <v>69142.8571428571</v>
      </c>
      <c r="Z82" s="192">
        <f>Y82-X82</f>
        <v>0</v>
      </c>
      <c r="AA82" s="212"/>
      <c r="AB82" s="211"/>
      <c r="AC82" s="211"/>
      <c r="AD82" s="211"/>
      <c r="AE82" s="211"/>
      <c r="AF82" s="209"/>
      <c r="AG82" s="84"/>
      <c r="AJ82" s="211"/>
      <c r="AK82" s="211"/>
      <c r="AM82" s="209"/>
      <c r="AN82" s="213"/>
      <c r="AO82" s="211"/>
      <c r="AP82" s="214"/>
      <c r="AQ82" s="214"/>
      <c r="AR82" s="214"/>
      <c r="AS82" s="214"/>
      <c r="AZ82" s="209"/>
    </row>
    <row r="83" s="82" customFormat="1" customHeight="1" spans="2:52">
      <c r="B83" s="216"/>
      <c r="C83" s="82" t="str">
        <f>C82</f>
        <v>TJTW-56</v>
      </c>
      <c r="D83" s="82" t="str">
        <f>D82</f>
        <v>0.17*857*730</v>
      </c>
      <c r="E83" s="84"/>
      <c r="F83" s="86"/>
      <c r="G83" s="87"/>
      <c r="H83" s="84"/>
      <c r="I83" s="84"/>
      <c r="J83" s="88"/>
      <c r="K83" s="88"/>
      <c r="L83" s="88"/>
      <c r="M83" s="88"/>
      <c r="N83" s="84"/>
      <c r="O83" s="84"/>
      <c r="S83" s="202" t="s">
        <v>183</v>
      </c>
      <c r="T83" s="217"/>
      <c r="U83" s="217"/>
      <c r="V83" s="82">
        <f>V82</f>
        <v>27.104</v>
      </c>
      <c r="W83" s="218"/>
      <c r="X83" s="218">
        <f>X82</f>
        <v>69142.8571428571</v>
      </c>
      <c r="Y83" s="218">
        <f>Y82</f>
        <v>69142.8571428571</v>
      </c>
      <c r="Z83" s="218"/>
      <c r="AA83" s="220"/>
      <c r="AB83" s="218"/>
      <c r="AC83" s="218"/>
      <c r="AD83" s="218"/>
      <c r="AE83" s="218"/>
      <c r="AG83" s="84"/>
      <c r="AJ83" s="218"/>
      <c r="AK83" s="218"/>
      <c r="AN83" s="221"/>
      <c r="AO83" s="218"/>
      <c r="AP83" s="222"/>
      <c r="AQ83" s="222"/>
      <c r="AR83" s="222"/>
      <c r="AS83" s="222"/>
    </row>
    <row r="84" s="76" customFormat="1" ht="28.8" spans="2:52">
      <c r="B84" s="112"/>
      <c r="C84" s="76" t="s">
        <v>368</v>
      </c>
      <c r="D84" s="113" t="s">
        <v>1439</v>
      </c>
      <c r="E84" s="223"/>
      <c r="F84" s="91"/>
      <c r="H84" s="189" t="s">
        <v>183</v>
      </c>
      <c r="I84" s="133"/>
      <c r="J84" s="133"/>
      <c r="K84" s="76">
        <v>162</v>
      </c>
      <c r="L84" s="114">
        <v>2449</v>
      </c>
      <c r="M84" s="114">
        <v>396738</v>
      </c>
      <c r="N84" s="114"/>
      <c r="O84" s="141">
        <v>0</v>
      </c>
      <c r="P84" s="140"/>
      <c r="Q84" s="91"/>
      <c r="S84" s="189" t="s">
        <v>183</v>
      </c>
      <c r="T84" s="133"/>
      <c r="U84" s="133"/>
      <c r="V84" s="76">
        <v>136.113</v>
      </c>
      <c r="W84" s="199">
        <v>2449</v>
      </c>
      <c r="X84" s="114">
        <f t="shared" ref="X84:X94" si="12">V84*W84</f>
        <v>333340.737</v>
      </c>
      <c r="Y84" s="114">
        <v>0</v>
      </c>
      <c r="Z84" s="114">
        <f t="shared" ref="Z84:Z94" si="13">Y84-X84</f>
        <v>-333340.737</v>
      </c>
      <c r="AA84" s="140"/>
      <c r="AB84" s="114"/>
      <c r="AC84" s="114"/>
      <c r="AD84" s="114"/>
      <c r="AE84" s="114"/>
      <c r="AF84" s="91"/>
      <c r="AG84" s="84"/>
      <c r="AJ84" s="114"/>
      <c r="AK84" s="114"/>
      <c r="AM84" s="91"/>
      <c r="AN84" s="129"/>
      <c r="AO84" s="114"/>
      <c r="AP84" s="127"/>
      <c r="AQ84" s="127"/>
      <c r="AR84" s="127"/>
      <c r="AS84" s="127"/>
      <c r="AZ84" s="91"/>
    </row>
    <row r="85" s="76" customFormat="1" ht="28.8" spans="2:52">
      <c r="B85" s="112"/>
      <c r="C85" s="76" t="s">
        <v>368</v>
      </c>
      <c r="D85" s="113" t="s">
        <v>1440</v>
      </c>
      <c r="E85" s="223"/>
      <c r="F85" s="91"/>
      <c r="H85" s="189"/>
      <c r="I85" s="133"/>
      <c r="J85" s="133"/>
      <c r="L85" s="114"/>
      <c r="M85" s="114"/>
      <c r="N85" s="114"/>
      <c r="O85" s="141"/>
      <c r="P85" s="140"/>
      <c r="Q85" s="91"/>
      <c r="S85" s="189" t="s">
        <v>183</v>
      </c>
      <c r="T85" s="133"/>
      <c r="U85" s="133"/>
      <c r="V85" s="76">
        <v>13.08</v>
      </c>
      <c r="W85" s="199">
        <v>1510</v>
      </c>
      <c r="X85" s="114">
        <f t="shared" si="12"/>
        <v>19750.8</v>
      </c>
      <c r="Y85" s="114"/>
      <c r="Z85" s="114">
        <f t="shared" si="13"/>
        <v>-19750.8</v>
      </c>
      <c r="AA85" s="140"/>
      <c r="AB85" s="114"/>
      <c r="AC85" s="114"/>
      <c r="AD85" s="114"/>
      <c r="AE85" s="114"/>
      <c r="AF85" s="91"/>
      <c r="AG85" s="84"/>
      <c r="AJ85" s="114"/>
      <c r="AK85" s="114"/>
      <c r="AM85" s="91"/>
      <c r="AN85" s="129"/>
      <c r="AO85" s="114"/>
      <c r="AP85" s="127"/>
      <c r="AQ85" s="127"/>
      <c r="AR85" s="127"/>
      <c r="AS85" s="127"/>
      <c r="AZ85" s="91"/>
    </row>
    <row r="86" s="76" customFormat="1" ht="28.8" spans="2:52">
      <c r="B86" s="112"/>
      <c r="C86" s="76" t="s">
        <v>368</v>
      </c>
      <c r="D86" s="113" t="s">
        <v>1441</v>
      </c>
      <c r="E86" s="223"/>
      <c r="F86" s="91"/>
      <c r="H86" s="189" t="s">
        <v>183</v>
      </c>
      <c r="I86" s="133"/>
      <c r="J86" s="133"/>
      <c r="K86" s="76">
        <v>140</v>
      </c>
      <c r="L86" s="114">
        <v>2551</v>
      </c>
      <c r="M86" s="114">
        <v>357140</v>
      </c>
      <c r="N86" s="114"/>
      <c r="O86" s="141"/>
      <c r="P86" s="140"/>
      <c r="Q86" s="91"/>
      <c r="S86" s="189" t="s">
        <v>183</v>
      </c>
      <c r="T86" s="133"/>
      <c r="U86" s="133"/>
      <c r="V86" s="76">
        <v>13.616</v>
      </c>
      <c r="W86" s="114">
        <v>1582</v>
      </c>
      <c r="X86" s="114">
        <f t="shared" si="12"/>
        <v>21540.512</v>
      </c>
      <c r="Y86" s="114"/>
      <c r="Z86" s="114">
        <f t="shared" si="13"/>
        <v>-21540.512</v>
      </c>
      <c r="AA86" s="140"/>
      <c r="AB86" s="114"/>
      <c r="AC86" s="114"/>
      <c r="AD86" s="114"/>
      <c r="AE86" s="114"/>
      <c r="AF86" s="91"/>
      <c r="AG86" s="84"/>
      <c r="AJ86" s="114"/>
      <c r="AK86" s="114"/>
      <c r="AN86" s="129"/>
      <c r="AO86" s="114"/>
      <c r="AP86" s="127"/>
      <c r="AQ86" s="127"/>
      <c r="AR86" s="127"/>
      <c r="AS86" s="127"/>
      <c r="AZ86" s="91"/>
    </row>
    <row r="87" s="76" customFormat="1" ht="28.8" spans="2:52">
      <c r="B87" s="112"/>
      <c r="C87" s="76" t="s">
        <v>372</v>
      </c>
      <c r="D87" s="113" t="s">
        <v>1442</v>
      </c>
      <c r="E87" s="223"/>
      <c r="F87" s="91"/>
      <c r="H87" s="189" t="s">
        <v>183</v>
      </c>
      <c r="I87" s="133"/>
      <c r="J87" s="133"/>
      <c r="K87" s="76">
        <v>108</v>
      </c>
      <c r="L87" s="114">
        <v>2551</v>
      </c>
      <c r="M87" s="114">
        <v>275508</v>
      </c>
      <c r="N87" s="114"/>
      <c r="O87" s="141"/>
      <c r="P87" s="140"/>
      <c r="Q87" s="91"/>
      <c r="S87" s="189" t="s">
        <v>183</v>
      </c>
      <c r="T87" s="133"/>
      <c r="U87" s="133"/>
      <c r="V87" s="76">
        <v>19.695</v>
      </c>
      <c r="W87" s="114">
        <v>2551</v>
      </c>
      <c r="X87" s="114">
        <f t="shared" si="12"/>
        <v>50241.945</v>
      </c>
      <c r="Y87" s="114"/>
      <c r="Z87" s="114">
        <f t="shared" si="13"/>
        <v>-50241.945</v>
      </c>
      <c r="AA87" s="140"/>
      <c r="AB87" s="114"/>
      <c r="AC87" s="114"/>
      <c r="AD87" s="114"/>
      <c r="AE87" s="114"/>
      <c r="AF87" s="91"/>
      <c r="AG87" s="84"/>
      <c r="AJ87" s="114"/>
      <c r="AK87" s="114"/>
      <c r="AN87" s="129"/>
      <c r="AO87" s="114"/>
      <c r="AP87" s="127"/>
      <c r="AQ87" s="127"/>
      <c r="AR87" s="127"/>
      <c r="AS87" s="127"/>
      <c r="AZ87" s="91"/>
    </row>
    <row r="88" s="76" customFormat="1" ht="28.8" spans="2:52">
      <c r="B88" s="112"/>
      <c r="C88" s="76" t="s">
        <v>372</v>
      </c>
      <c r="D88" s="113" t="s">
        <v>1443</v>
      </c>
      <c r="E88" s="223"/>
      <c r="F88" s="91"/>
      <c r="H88" s="189"/>
      <c r="I88" s="133"/>
      <c r="J88" s="133"/>
      <c r="L88" s="114"/>
      <c r="M88" s="114"/>
      <c r="N88" s="114"/>
      <c r="O88" s="141"/>
      <c r="P88" s="140"/>
      <c r="Q88" s="91"/>
      <c r="S88" s="189" t="s">
        <v>183</v>
      </c>
      <c r="T88" s="133"/>
      <c r="U88" s="133"/>
      <c r="V88" s="76">
        <v>7.918</v>
      </c>
      <c r="W88" s="114">
        <v>2449</v>
      </c>
      <c r="X88" s="114">
        <f t="shared" si="12"/>
        <v>19391.182</v>
      </c>
      <c r="Y88" s="114"/>
      <c r="Z88" s="114">
        <f t="shared" si="13"/>
        <v>-19391.182</v>
      </c>
      <c r="AA88" s="140"/>
      <c r="AB88" s="114"/>
      <c r="AC88" s="114"/>
      <c r="AD88" s="114"/>
      <c r="AE88" s="114"/>
      <c r="AF88" s="91"/>
      <c r="AG88" s="84"/>
      <c r="AJ88" s="114"/>
      <c r="AK88" s="114"/>
      <c r="AN88" s="129"/>
      <c r="AO88" s="114"/>
      <c r="AP88" s="127"/>
      <c r="AQ88" s="127"/>
      <c r="AR88" s="127"/>
      <c r="AS88" s="127"/>
      <c r="AZ88" s="91"/>
    </row>
    <row r="89" s="76" customFormat="1" ht="28.8" spans="2:52">
      <c r="B89" s="112"/>
      <c r="C89" s="76" t="s">
        <v>372</v>
      </c>
      <c r="D89" s="113" t="s">
        <v>1444</v>
      </c>
      <c r="E89" s="223"/>
      <c r="F89" s="91"/>
      <c r="H89" s="189"/>
      <c r="I89" s="133"/>
      <c r="J89" s="133"/>
      <c r="L89" s="114"/>
      <c r="M89" s="114"/>
      <c r="N89" s="114"/>
      <c r="O89" s="141"/>
      <c r="P89" s="140"/>
      <c r="Q89" s="91"/>
      <c r="S89" s="189" t="s">
        <v>183</v>
      </c>
      <c r="T89" s="133"/>
      <c r="U89" s="133"/>
      <c r="V89" s="76">
        <v>27.27</v>
      </c>
      <c r="W89" s="114">
        <v>2551</v>
      </c>
      <c r="X89" s="114">
        <f t="shared" si="12"/>
        <v>69565.77</v>
      </c>
      <c r="Y89" s="114"/>
      <c r="Z89" s="114">
        <f t="shared" si="13"/>
        <v>-69565.77</v>
      </c>
      <c r="AA89" s="140"/>
      <c r="AB89" s="114"/>
      <c r="AC89" s="114"/>
      <c r="AD89" s="114"/>
      <c r="AE89" s="114"/>
      <c r="AF89" s="91"/>
      <c r="AG89" s="84"/>
      <c r="AJ89" s="114"/>
      <c r="AK89" s="114"/>
      <c r="AN89" s="129"/>
      <c r="AO89" s="114"/>
      <c r="AP89" s="127"/>
      <c r="AQ89" s="127"/>
      <c r="AR89" s="127"/>
      <c r="AS89" s="127"/>
      <c r="AZ89" s="91"/>
    </row>
    <row r="90" s="76" customFormat="1" ht="28.8" spans="2:52">
      <c r="B90" s="112"/>
      <c r="C90" s="76" t="s">
        <v>382</v>
      </c>
      <c r="D90" s="113" t="s">
        <v>1444</v>
      </c>
      <c r="E90" s="223"/>
      <c r="F90" s="91"/>
      <c r="H90" s="189"/>
      <c r="I90" s="133"/>
      <c r="J90" s="133"/>
      <c r="L90" s="114"/>
      <c r="M90" s="114"/>
      <c r="N90" s="114"/>
      <c r="O90" s="141"/>
      <c r="P90" s="140"/>
      <c r="Q90" s="91"/>
      <c r="S90" s="189" t="s">
        <v>183</v>
      </c>
      <c r="T90" s="133"/>
      <c r="U90" s="133"/>
      <c r="V90" s="224">
        <v>94.602</v>
      </c>
      <c r="W90" s="114">
        <v>2551</v>
      </c>
      <c r="X90" s="114">
        <f t="shared" si="12"/>
        <v>241329.702</v>
      </c>
      <c r="Y90" s="114"/>
      <c r="Z90" s="114">
        <f t="shared" si="13"/>
        <v>-241329.702</v>
      </c>
      <c r="AA90" s="140"/>
      <c r="AB90" s="114"/>
      <c r="AC90" s="114"/>
      <c r="AD90" s="114"/>
      <c r="AE90" s="114"/>
      <c r="AF90" s="91"/>
      <c r="AG90" s="84"/>
      <c r="AJ90" s="114"/>
      <c r="AK90" s="114"/>
      <c r="AN90" s="129"/>
      <c r="AO90" s="114"/>
      <c r="AP90" s="127"/>
      <c r="AQ90" s="127"/>
      <c r="AR90" s="127"/>
      <c r="AS90" s="127"/>
      <c r="AZ90" s="91"/>
    </row>
    <row r="91" s="76" customFormat="1" ht="28.8" spans="2:52">
      <c r="B91" s="112"/>
      <c r="C91" s="76" t="s">
        <v>382</v>
      </c>
      <c r="D91" s="113" t="s">
        <v>1445</v>
      </c>
      <c r="E91" s="223"/>
      <c r="F91" s="91"/>
      <c r="H91" s="189"/>
      <c r="I91" s="133"/>
      <c r="J91" s="133"/>
      <c r="L91" s="114"/>
      <c r="M91" s="114"/>
      <c r="N91" s="114"/>
      <c r="O91" s="141"/>
      <c r="P91" s="140"/>
      <c r="Q91" s="91"/>
      <c r="S91" s="189" t="s">
        <v>183</v>
      </c>
      <c r="T91" s="133"/>
      <c r="U91" s="133"/>
      <c r="V91" s="224">
        <v>69.291</v>
      </c>
      <c r="W91" s="114">
        <v>2551</v>
      </c>
      <c r="X91" s="114">
        <f t="shared" si="12"/>
        <v>176761.341</v>
      </c>
      <c r="Y91" s="114"/>
      <c r="Z91" s="114">
        <f t="shared" si="13"/>
        <v>-176761.341</v>
      </c>
      <c r="AA91" s="140"/>
      <c r="AB91" s="114"/>
      <c r="AC91" s="114"/>
      <c r="AD91" s="114"/>
      <c r="AE91" s="114"/>
      <c r="AF91" s="91"/>
      <c r="AG91" s="84"/>
      <c r="AJ91" s="114"/>
      <c r="AK91" s="114"/>
      <c r="AN91" s="129"/>
      <c r="AO91" s="114"/>
      <c r="AP91" s="127"/>
      <c r="AQ91" s="127"/>
      <c r="AR91" s="127"/>
      <c r="AS91" s="127"/>
      <c r="AZ91" s="91"/>
    </row>
    <row r="92" s="76" customFormat="1" ht="28.8" spans="2:52">
      <c r="B92" s="112"/>
      <c r="C92" s="76" t="s">
        <v>374</v>
      </c>
      <c r="D92" s="113" t="s">
        <v>1446</v>
      </c>
      <c r="E92" s="223"/>
      <c r="F92" s="91"/>
      <c r="H92" s="189" t="s">
        <v>183</v>
      </c>
      <c r="I92" s="133"/>
      <c r="J92" s="133"/>
      <c r="K92" s="76">
        <v>54</v>
      </c>
      <c r="L92" s="114">
        <v>2449</v>
      </c>
      <c r="M92" s="114">
        <v>132246</v>
      </c>
      <c r="N92" s="114"/>
      <c r="O92" s="141"/>
      <c r="P92" s="140"/>
      <c r="Q92" s="91"/>
      <c r="S92" s="189" t="s">
        <v>183</v>
      </c>
      <c r="T92" s="133"/>
      <c r="U92" s="133"/>
      <c r="V92" s="224">
        <v>52.223</v>
      </c>
      <c r="W92" s="114">
        <v>2449</v>
      </c>
      <c r="X92" s="114">
        <f t="shared" si="12"/>
        <v>127894.127</v>
      </c>
      <c r="Y92" s="114"/>
      <c r="Z92" s="114">
        <f t="shared" si="13"/>
        <v>-127894.127</v>
      </c>
      <c r="AA92" s="140"/>
      <c r="AB92" s="114"/>
      <c r="AC92" s="114"/>
      <c r="AD92" s="114"/>
      <c r="AE92" s="114"/>
      <c r="AF92" s="91"/>
      <c r="AG92" s="84"/>
      <c r="AJ92" s="114"/>
      <c r="AK92" s="114"/>
      <c r="AN92" s="129"/>
      <c r="AO92" s="114"/>
      <c r="AP92" s="127"/>
      <c r="AQ92" s="127"/>
      <c r="AR92" s="127"/>
      <c r="AS92" s="127"/>
      <c r="AZ92" s="91"/>
    </row>
    <row r="93" s="76" customFormat="1" ht="28.8" spans="2:52">
      <c r="B93" s="112"/>
      <c r="C93" s="76" t="s">
        <v>374</v>
      </c>
      <c r="D93" s="113" t="s">
        <v>1447</v>
      </c>
      <c r="E93" s="223"/>
      <c r="F93" s="91"/>
      <c r="H93" s="189" t="s">
        <v>183</v>
      </c>
      <c r="I93" s="133"/>
      <c r="J93" s="133"/>
      <c r="K93" s="76">
        <v>54</v>
      </c>
      <c r="L93" s="114">
        <v>2551</v>
      </c>
      <c r="M93" s="114">
        <v>137754</v>
      </c>
      <c r="N93" s="114"/>
      <c r="O93" s="141"/>
      <c r="P93" s="140"/>
      <c r="Q93" s="91"/>
      <c r="S93" s="189" t="s">
        <v>183</v>
      </c>
      <c r="T93" s="133"/>
      <c r="U93" s="133"/>
      <c r="V93" s="224">
        <v>46.172</v>
      </c>
      <c r="W93" s="114">
        <v>2551</v>
      </c>
      <c r="X93" s="114">
        <f t="shared" si="12"/>
        <v>117784.772</v>
      </c>
      <c r="Y93" s="114"/>
      <c r="Z93" s="114">
        <f t="shared" si="13"/>
        <v>-117784.772</v>
      </c>
      <c r="AA93" s="140"/>
      <c r="AB93" s="114"/>
      <c r="AC93" s="114"/>
      <c r="AD93" s="114"/>
      <c r="AE93" s="114"/>
      <c r="AF93" s="91"/>
      <c r="AG93" s="84"/>
      <c r="AJ93" s="114"/>
      <c r="AK93" s="114"/>
      <c r="AN93" s="129"/>
      <c r="AO93" s="114"/>
      <c r="AP93" s="127"/>
      <c r="AQ93" s="127"/>
      <c r="AR93" s="127"/>
      <c r="AS93" s="127"/>
      <c r="AZ93" s="91"/>
    </row>
    <row r="94" s="76" customFormat="1" ht="28.8" spans="2:52">
      <c r="B94" s="112"/>
      <c r="C94" s="76" t="s">
        <v>374</v>
      </c>
      <c r="D94" s="113" t="s">
        <v>1444</v>
      </c>
      <c r="E94" s="223"/>
      <c r="F94" s="91"/>
      <c r="H94" s="189"/>
      <c r="I94" s="133"/>
      <c r="J94" s="133"/>
      <c r="L94" s="114"/>
      <c r="M94" s="114"/>
      <c r="N94" s="114"/>
      <c r="O94" s="141"/>
      <c r="P94" s="140"/>
      <c r="Q94" s="91"/>
      <c r="S94" s="189" t="s">
        <v>183</v>
      </c>
      <c r="T94" s="133"/>
      <c r="U94" s="133"/>
      <c r="V94" s="224">
        <v>10.605</v>
      </c>
      <c r="W94" s="114">
        <v>2551</v>
      </c>
      <c r="X94" s="114">
        <f t="shared" si="12"/>
        <v>27053.355</v>
      </c>
      <c r="Y94" s="114"/>
      <c r="Z94" s="114">
        <f t="shared" si="13"/>
        <v>-27053.355</v>
      </c>
      <c r="AA94" s="140"/>
      <c r="AB94" s="114"/>
      <c r="AC94" s="114"/>
      <c r="AD94" s="114"/>
      <c r="AE94" s="114"/>
      <c r="AF94" s="91"/>
      <c r="AG94" s="84"/>
      <c r="AJ94" s="114"/>
      <c r="AK94" s="114"/>
      <c r="AN94" s="129"/>
      <c r="AO94" s="114"/>
      <c r="AP94" s="127"/>
      <c r="AQ94" s="127"/>
      <c r="AR94" s="127"/>
      <c r="AS94" s="127"/>
      <c r="AZ94" s="91"/>
    </row>
    <row r="95" s="79" customFormat="1" customHeight="1" spans="2:52">
      <c r="B95" s="191"/>
      <c r="C95" s="79" t="s">
        <v>383</v>
      </c>
      <c r="E95" s="225"/>
      <c r="H95" s="79" t="s">
        <v>183</v>
      </c>
      <c r="I95" s="193"/>
      <c r="J95" s="193"/>
      <c r="K95" s="79">
        <v>518</v>
      </c>
      <c r="L95" s="192"/>
      <c r="M95" s="226">
        <v>1299386</v>
      </c>
      <c r="N95" s="192"/>
      <c r="O95" s="227"/>
      <c r="P95" s="196"/>
      <c r="S95" s="79" t="s">
        <v>183</v>
      </c>
      <c r="T95" s="193"/>
      <c r="U95" s="193"/>
      <c r="V95" s="79">
        <f>SUM(V84:V94)</f>
        <v>490.585</v>
      </c>
      <c r="W95" s="192"/>
      <c r="X95" s="226">
        <f>SUM(X84:X94)</f>
        <v>1204654.243</v>
      </c>
      <c r="Y95" s="226">
        <f>SUM(Y84:Y94)</f>
        <v>0</v>
      </c>
      <c r="Z95" s="226">
        <f>SUM(Z84:Z94)</f>
        <v>-1204654.243</v>
      </c>
      <c r="AA95" s="196"/>
      <c r="AB95" s="192"/>
      <c r="AC95" s="192"/>
      <c r="AD95" s="192"/>
      <c r="AE95" s="192"/>
      <c r="AG95" s="84"/>
      <c r="AJ95" s="192"/>
      <c r="AK95" s="192"/>
      <c r="AN95" s="194"/>
      <c r="AO95" s="192"/>
      <c r="AP95" s="150"/>
      <c r="AQ95" s="150"/>
      <c r="AR95" s="150"/>
      <c r="AS95" s="150"/>
    </row>
    <row r="96" s="76" customFormat="1" customHeight="1" spans="2:52">
      <c r="B96" s="112"/>
      <c r="C96" s="76" t="s">
        <v>591</v>
      </c>
      <c r="D96" s="76" t="s">
        <v>1713</v>
      </c>
      <c r="E96" s="223"/>
      <c r="F96" s="91"/>
      <c r="H96" s="189" t="s">
        <v>183</v>
      </c>
      <c r="I96" s="133"/>
      <c r="J96" s="133"/>
      <c r="K96" s="76">
        <v>54</v>
      </c>
      <c r="L96" s="114">
        <v>2551</v>
      </c>
      <c r="M96" s="114">
        <v>137754</v>
      </c>
      <c r="N96" s="114"/>
      <c r="O96" s="141"/>
      <c r="P96" s="140"/>
      <c r="Q96" s="91"/>
      <c r="S96" s="189" t="s">
        <v>183</v>
      </c>
      <c r="T96" s="133"/>
      <c r="U96" s="133"/>
      <c r="V96" s="76">
        <v>54</v>
      </c>
      <c r="W96" s="114">
        <v>2551</v>
      </c>
      <c r="X96" s="114">
        <v>137754</v>
      </c>
      <c r="Y96" s="114"/>
      <c r="Z96" s="114">
        <f>374632.05+139198.9+418091.04+272732.25</f>
        <v>1204654.24</v>
      </c>
      <c r="AA96" s="140"/>
      <c r="AB96" s="114"/>
      <c r="AC96" s="114"/>
      <c r="AD96" s="114"/>
      <c r="AE96" s="114"/>
      <c r="AF96" s="91"/>
      <c r="AG96" s="84"/>
      <c r="AJ96" s="114"/>
      <c r="AK96" s="114"/>
      <c r="AN96" s="129"/>
      <c r="AO96" s="114"/>
      <c r="AP96" s="127"/>
      <c r="AQ96" s="127"/>
      <c r="AR96" s="127"/>
      <c r="AS96" s="127"/>
      <c r="AZ96" s="91"/>
    </row>
    <row r="97" s="76" customFormat="1" customHeight="1" spans="2:52">
      <c r="B97" s="112"/>
      <c r="D97" s="76" t="s">
        <v>1714</v>
      </c>
      <c r="E97" s="223"/>
      <c r="F97" s="91"/>
      <c r="H97" s="189" t="s">
        <v>183</v>
      </c>
      <c r="I97" s="133"/>
      <c r="J97" s="133"/>
      <c r="K97" s="76">
        <v>135</v>
      </c>
      <c r="L97" s="114">
        <v>2551</v>
      </c>
      <c r="M97" s="114">
        <v>344385</v>
      </c>
      <c r="N97" s="114"/>
      <c r="O97" s="141"/>
      <c r="P97" s="140"/>
      <c r="Q97" s="91"/>
      <c r="S97" s="189" t="s">
        <v>183</v>
      </c>
      <c r="T97" s="133"/>
      <c r="U97" s="133"/>
      <c r="V97" s="76">
        <v>135</v>
      </c>
      <c r="W97" s="114">
        <v>2551</v>
      </c>
      <c r="X97" s="114">
        <v>344385</v>
      </c>
      <c r="Y97" s="114"/>
      <c r="Z97" s="114"/>
      <c r="AA97" s="140"/>
      <c r="AB97" s="114"/>
      <c r="AC97" s="114"/>
      <c r="AD97" s="114"/>
      <c r="AE97" s="114"/>
      <c r="AF97" s="91"/>
      <c r="AG97" s="84"/>
      <c r="AJ97" s="114"/>
      <c r="AK97" s="114"/>
      <c r="AN97" s="129"/>
      <c r="AO97" s="114"/>
      <c r="AP97" s="127"/>
      <c r="AQ97" s="127"/>
      <c r="AR97" s="127"/>
      <c r="AS97" s="127"/>
      <c r="AZ97" s="91"/>
    </row>
    <row r="98" s="76" customFormat="1" customHeight="1" spans="2:52">
      <c r="B98" s="112"/>
      <c r="D98" s="76" t="s">
        <v>1715</v>
      </c>
      <c r="E98" s="223"/>
      <c r="F98" s="91"/>
      <c r="H98" s="189" t="s">
        <v>183</v>
      </c>
      <c r="I98" s="133"/>
      <c r="J98" s="133"/>
      <c r="K98" s="129">
        <v>25</v>
      </c>
      <c r="L98" s="114">
        <v>2449</v>
      </c>
      <c r="M98" s="114">
        <v>61225</v>
      </c>
      <c r="N98" s="114"/>
      <c r="O98" s="141"/>
      <c r="P98" s="140"/>
      <c r="Q98" s="91"/>
      <c r="S98" s="189" t="s">
        <v>183</v>
      </c>
      <c r="T98" s="133"/>
      <c r="U98" s="133"/>
      <c r="V98" s="129">
        <v>25</v>
      </c>
      <c r="W98" s="114">
        <v>2449</v>
      </c>
      <c r="X98" s="114">
        <v>61225</v>
      </c>
      <c r="Y98" s="114"/>
      <c r="Z98" s="114"/>
      <c r="AA98" s="140"/>
      <c r="AB98" s="114"/>
      <c r="AC98" s="114"/>
      <c r="AD98" s="114"/>
      <c r="AE98" s="114"/>
      <c r="AF98" s="91"/>
      <c r="AG98" s="84"/>
      <c r="AJ98" s="114"/>
      <c r="AK98" s="114"/>
      <c r="AN98" s="129"/>
      <c r="AO98" s="114"/>
      <c r="AP98" s="127"/>
      <c r="AQ98" s="127"/>
      <c r="AR98" s="127"/>
      <c r="AS98" s="127"/>
      <c r="AZ98" s="91"/>
    </row>
    <row r="99" s="76" customFormat="1" customHeight="1" spans="2:52">
      <c r="B99" s="112"/>
      <c r="D99" s="76" t="s">
        <v>598</v>
      </c>
      <c r="E99" s="223"/>
      <c r="F99" s="91"/>
      <c r="H99" s="189" t="s">
        <v>183</v>
      </c>
      <c r="I99" s="133"/>
      <c r="J99" s="133"/>
      <c r="K99" s="129">
        <v>110</v>
      </c>
      <c r="L99" s="114">
        <v>2551</v>
      </c>
      <c r="M99" s="114">
        <v>280610</v>
      </c>
      <c r="N99" s="114"/>
      <c r="O99" s="141"/>
      <c r="P99" s="140"/>
      <c r="Q99" s="91"/>
      <c r="S99" s="189" t="s">
        <v>183</v>
      </c>
      <c r="T99" s="133"/>
      <c r="U99" s="133"/>
      <c r="V99" s="129">
        <v>110</v>
      </c>
      <c r="W99" s="114">
        <v>2551</v>
      </c>
      <c r="X99" s="114">
        <v>280610</v>
      </c>
      <c r="Y99" s="114"/>
      <c r="Z99" s="114"/>
      <c r="AA99" s="140"/>
      <c r="AB99" s="114"/>
      <c r="AC99" s="114"/>
      <c r="AD99" s="114"/>
      <c r="AE99" s="114"/>
      <c r="AF99" s="91"/>
      <c r="AG99" s="84"/>
      <c r="AJ99" s="114"/>
      <c r="AK99" s="114"/>
      <c r="AN99" s="129"/>
      <c r="AO99" s="114"/>
      <c r="AP99" s="127"/>
      <c r="AQ99" s="127"/>
      <c r="AR99" s="127"/>
      <c r="AS99" s="127"/>
      <c r="AZ99" s="91"/>
    </row>
    <row r="100" s="76" customFormat="1" customHeight="1" spans="2:52">
      <c r="B100" s="112"/>
      <c r="D100" s="76" t="s">
        <v>1716</v>
      </c>
      <c r="E100" s="223"/>
      <c r="F100" s="91"/>
      <c r="H100" s="189" t="s">
        <v>183</v>
      </c>
      <c r="I100" s="133"/>
      <c r="J100" s="133"/>
      <c r="K100" s="129">
        <v>220</v>
      </c>
      <c r="L100" s="114">
        <v>2449</v>
      </c>
      <c r="M100" s="114">
        <v>538780</v>
      </c>
      <c r="N100" s="114"/>
      <c r="O100" s="141"/>
      <c r="P100" s="140"/>
      <c r="Q100" s="91"/>
      <c r="S100" s="189" t="s">
        <v>183</v>
      </c>
      <c r="T100" s="133"/>
      <c r="U100" s="133"/>
      <c r="V100" s="129">
        <v>220</v>
      </c>
      <c r="W100" s="114">
        <v>2551</v>
      </c>
      <c r="X100" s="114">
        <v>538780</v>
      </c>
      <c r="Y100" s="114"/>
      <c r="Z100" s="114"/>
      <c r="AA100" s="140"/>
      <c r="AB100" s="114"/>
      <c r="AC100" s="114"/>
      <c r="AD100" s="114"/>
      <c r="AE100" s="114"/>
      <c r="AF100" s="91"/>
      <c r="AG100" s="84"/>
      <c r="AJ100" s="114"/>
      <c r="AK100" s="114"/>
      <c r="AN100" s="129"/>
      <c r="AO100" s="114"/>
      <c r="AP100" s="127"/>
      <c r="AQ100" s="127"/>
      <c r="AR100" s="127"/>
      <c r="AS100" s="127"/>
      <c r="AZ100" s="91"/>
    </row>
    <row r="101" s="76" customFormat="1" customHeight="1" spans="2:52">
      <c r="B101" s="112"/>
      <c r="C101" s="76" t="s">
        <v>1385</v>
      </c>
      <c r="D101" s="76" t="s">
        <v>1716</v>
      </c>
      <c r="E101" s="228"/>
      <c r="F101" s="73"/>
      <c r="G101" s="84"/>
      <c r="H101" s="189"/>
      <c r="I101" s="87"/>
      <c r="J101" s="87"/>
      <c r="K101" s="88"/>
      <c r="L101" s="86"/>
      <c r="M101" s="86"/>
      <c r="N101" s="86"/>
      <c r="O101" s="86"/>
      <c r="P101" s="140"/>
      <c r="Q101" s="91"/>
      <c r="S101" s="189" t="s">
        <v>183</v>
      </c>
      <c r="T101" s="133"/>
      <c r="U101" s="133"/>
      <c r="V101" s="129">
        <v>81.42</v>
      </c>
      <c r="W101" s="114">
        <v>2551</v>
      </c>
      <c r="X101" s="114">
        <v>538780</v>
      </c>
      <c r="Y101" s="114"/>
      <c r="Z101" s="114"/>
      <c r="AA101" s="140"/>
      <c r="AB101" s="114"/>
      <c r="AC101" s="114"/>
      <c r="AD101" s="114"/>
      <c r="AE101" s="114"/>
      <c r="AF101" s="91"/>
      <c r="AG101" s="84"/>
      <c r="AJ101" s="114"/>
      <c r="AK101" s="114"/>
      <c r="AN101" s="129"/>
      <c r="AO101" s="114"/>
      <c r="AP101" s="127"/>
      <c r="AQ101" s="127"/>
      <c r="AR101" s="127"/>
      <c r="AS101" s="127"/>
      <c r="AZ101" s="91"/>
    </row>
    <row r="102" s="79" customFormat="1" customHeight="1" spans="2:52">
      <c r="B102" s="191"/>
      <c r="C102" s="79" t="s">
        <v>591</v>
      </c>
      <c r="E102" s="229"/>
      <c r="F102" s="80"/>
      <c r="G102" s="80"/>
      <c r="H102" s="79" t="s">
        <v>183</v>
      </c>
      <c r="I102" s="203"/>
      <c r="J102" s="203"/>
      <c r="K102" s="80">
        <v>544</v>
      </c>
      <c r="L102" s="204"/>
      <c r="M102" s="230">
        <v>1362754</v>
      </c>
      <c r="N102" s="204"/>
      <c r="O102" s="204"/>
      <c r="P102" s="196"/>
      <c r="S102" s="79" t="s">
        <v>183</v>
      </c>
      <c r="T102" s="193"/>
      <c r="U102" s="193"/>
      <c r="V102" s="79">
        <v>544</v>
      </c>
      <c r="W102" s="192"/>
      <c r="X102" s="226">
        <v>1362754</v>
      </c>
      <c r="Y102" s="192"/>
      <c r="Z102" s="192"/>
      <c r="AA102" s="196"/>
      <c r="AB102" s="192"/>
      <c r="AC102" s="192"/>
      <c r="AD102" s="192"/>
      <c r="AE102" s="192"/>
      <c r="AG102" s="84"/>
      <c r="AJ102" s="192"/>
      <c r="AK102" s="192"/>
      <c r="AN102" s="194"/>
      <c r="AO102" s="192"/>
      <c r="AP102" s="150"/>
      <c r="AQ102" s="150"/>
      <c r="AR102" s="150"/>
      <c r="AS102" s="150"/>
    </row>
    <row r="103" s="76" customFormat="1" customHeight="1" spans="2:52">
      <c r="B103" s="112"/>
      <c r="C103" s="76" t="s">
        <v>609</v>
      </c>
      <c r="D103" s="76" t="s">
        <v>1713</v>
      </c>
      <c r="E103" s="223"/>
      <c r="F103" s="91"/>
      <c r="H103" s="189" t="s">
        <v>183</v>
      </c>
      <c r="I103" s="133"/>
      <c r="J103" s="133"/>
      <c r="K103" s="76">
        <v>54</v>
      </c>
      <c r="L103" s="114">
        <v>2551</v>
      </c>
      <c r="M103" s="114">
        <v>137754</v>
      </c>
      <c r="N103" s="114"/>
      <c r="O103" s="141"/>
      <c r="P103" s="140"/>
      <c r="Q103" s="91"/>
      <c r="S103" s="189" t="s">
        <v>183</v>
      </c>
      <c r="T103" s="133"/>
      <c r="U103" s="133"/>
      <c r="V103" s="76">
        <v>54</v>
      </c>
      <c r="W103" s="114">
        <v>2551</v>
      </c>
      <c r="X103" s="114">
        <v>137754</v>
      </c>
      <c r="Y103" s="114"/>
      <c r="Z103" s="114"/>
      <c r="AA103" s="140"/>
      <c r="AB103" s="114"/>
      <c r="AC103" s="114"/>
      <c r="AD103" s="114"/>
      <c r="AE103" s="114"/>
      <c r="AF103" s="91"/>
      <c r="AG103" s="84"/>
      <c r="AJ103" s="114"/>
      <c r="AK103" s="114"/>
      <c r="AN103" s="129"/>
      <c r="AO103" s="114"/>
      <c r="AP103" s="127"/>
      <c r="AQ103" s="127"/>
      <c r="AR103" s="127"/>
      <c r="AS103" s="127"/>
      <c r="AZ103" s="91"/>
    </row>
    <row r="104" s="76" customFormat="1" customHeight="1" spans="2:52">
      <c r="B104" s="112"/>
      <c r="D104" s="76" t="s">
        <v>1714</v>
      </c>
      <c r="E104" s="223"/>
      <c r="F104" s="91"/>
      <c r="H104" s="189" t="s">
        <v>183</v>
      </c>
      <c r="I104" s="133"/>
      <c r="J104" s="133"/>
      <c r="K104" s="76">
        <v>135</v>
      </c>
      <c r="L104" s="114">
        <v>2551</v>
      </c>
      <c r="M104" s="114">
        <v>344385</v>
      </c>
      <c r="N104" s="114"/>
      <c r="O104" s="141"/>
      <c r="P104" s="140"/>
      <c r="Q104" s="91"/>
      <c r="S104" s="189" t="s">
        <v>183</v>
      </c>
      <c r="T104" s="133"/>
      <c r="U104" s="133"/>
      <c r="V104" s="76">
        <v>135</v>
      </c>
      <c r="W104" s="114">
        <v>2551</v>
      </c>
      <c r="X104" s="114">
        <v>344385</v>
      </c>
      <c r="Y104" s="114"/>
      <c r="Z104" s="114"/>
      <c r="AA104" s="140"/>
      <c r="AB104" s="114"/>
      <c r="AC104" s="114"/>
      <c r="AD104" s="114"/>
      <c r="AE104" s="114"/>
      <c r="AF104" s="91"/>
      <c r="AG104" s="84"/>
      <c r="AJ104" s="114"/>
      <c r="AK104" s="114"/>
      <c r="AN104" s="129"/>
      <c r="AO104" s="114"/>
      <c r="AP104" s="127"/>
      <c r="AQ104" s="127"/>
      <c r="AR104" s="127"/>
      <c r="AS104" s="127"/>
      <c r="AZ104" s="91"/>
    </row>
    <row r="105" s="76" customFormat="1" customHeight="1" spans="2:52">
      <c r="B105" s="112"/>
      <c r="D105" s="76" t="s">
        <v>1715</v>
      </c>
      <c r="E105" s="223"/>
      <c r="F105" s="91"/>
      <c r="H105" s="189" t="s">
        <v>183</v>
      </c>
      <c r="I105" s="133"/>
      <c r="J105" s="133"/>
      <c r="K105" s="129">
        <v>25</v>
      </c>
      <c r="L105" s="114">
        <v>2449</v>
      </c>
      <c r="M105" s="114">
        <v>61225</v>
      </c>
      <c r="N105" s="114"/>
      <c r="O105" s="141"/>
      <c r="P105" s="140"/>
      <c r="Q105" s="91"/>
      <c r="S105" s="189" t="s">
        <v>183</v>
      </c>
      <c r="T105" s="133"/>
      <c r="U105" s="133"/>
      <c r="V105" s="129">
        <v>25</v>
      </c>
      <c r="W105" s="114">
        <v>2449</v>
      </c>
      <c r="X105" s="114">
        <v>61225</v>
      </c>
      <c r="Y105" s="114"/>
      <c r="Z105" s="114"/>
      <c r="AA105" s="140"/>
      <c r="AB105" s="114"/>
      <c r="AC105" s="114"/>
      <c r="AD105" s="114"/>
      <c r="AE105" s="114"/>
      <c r="AF105" s="91"/>
      <c r="AG105" s="84"/>
      <c r="AJ105" s="114"/>
      <c r="AK105" s="114"/>
      <c r="AN105" s="129"/>
      <c r="AO105" s="114"/>
      <c r="AP105" s="127"/>
      <c r="AQ105" s="127"/>
      <c r="AR105" s="127"/>
      <c r="AS105" s="127"/>
      <c r="AZ105" s="91"/>
    </row>
    <row r="106" s="76" customFormat="1" customHeight="1" spans="2:52">
      <c r="B106" s="112"/>
      <c r="D106" s="76" t="s">
        <v>598</v>
      </c>
      <c r="E106" s="223"/>
      <c r="F106" s="91"/>
      <c r="H106" s="189" t="s">
        <v>183</v>
      </c>
      <c r="I106" s="133"/>
      <c r="J106" s="133"/>
      <c r="K106" s="129">
        <v>110</v>
      </c>
      <c r="L106" s="114">
        <v>2551</v>
      </c>
      <c r="M106" s="114">
        <v>280610</v>
      </c>
      <c r="N106" s="114"/>
      <c r="O106" s="141"/>
      <c r="P106" s="140"/>
      <c r="Q106" s="91"/>
      <c r="S106" s="189" t="s">
        <v>183</v>
      </c>
      <c r="T106" s="133"/>
      <c r="U106" s="133"/>
      <c r="V106" s="129">
        <v>110</v>
      </c>
      <c r="W106" s="114">
        <v>2551</v>
      </c>
      <c r="X106" s="114">
        <v>280610</v>
      </c>
      <c r="Y106" s="114"/>
      <c r="Z106" s="114"/>
      <c r="AA106" s="140"/>
      <c r="AB106" s="114"/>
      <c r="AC106" s="114"/>
      <c r="AD106" s="114"/>
      <c r="AE106" s="114"/>
      <c r="AF106" s="91"/>
      <c r="AG106" s="84"/>
      <c r="AJ106" s="114"/>
      <c r="AK106" s="114"/>
      <c r="AN106" s="129"/>
      <c r="AO106" s="114"/>
      <c r="AP106" s="127"/>
      <c r="AQ106" s="127"/>
      <c r="AR106" s="127"/>
      <c r="AS106" s="127"/>
      <c r="AZ106" s="91"/>
    </row>
    <row r="107" s="76" customFormat="1" customHeight="1" spans="2:52">
      <c r="B107" s="112"/>
      <c r="D107" s="76" t="s">
        <v>1716</v>
      </c>
      <c r="E107" s="223"/>
      <c r="F107" s="91"/>
      <c r="H107" s="189" t="s">
        <v>183</v>
      </c>
      <c r="I107" s="133"/>
      <c r="J107" s="133"/>
      <c r="K107" s="129">
        <v>220</v>
      </c>
      <c r="L107" s="114">
        <v>2449</v>
      </c>
      <c r="M107" s="114">
        <v>538780</v>
      </c>
      <c r="N107" s="114"/>
      <c r="O107" s="141"/>
      <c r="P107" s="140"/>
      <c r="Q107" s="91"/>
      <c r="S107" s="189" t="s">
        <v>183</v>
      </c>
      <c r="T107" s="133"/>
      <c r="U107" s="133"/>
      <c r="V107" s="129">
        <v>220</v>
      </c>
      <c r="W107" s="114">
        <v>2449</v>
      </c>
      <c r="X107" s="114">
        <v>538780</v>
      </c>
      <c r="Y107" s="114"/>
      <c r="Z107" s="114"/>
      <c r="AA107" s="140"/>
      <c r="AB107" s="114"/>
      <c r="AC107" s="114"/>
      <c r="AD107" s="114"/>
      <c r="AE107" s="114"/>
      <c r="AF107" s="91"/>
      <c r="AG107" s="84"/>
      <c r="AJ107" s="114"/>
      <c r="AK107" s="114"/>
      <c r="AN107" s="129"/>
      <c r="AO107" s="114"/>
      <c r="AP107" s="127"/>
      <c r="AQ107" s="127"/>
      <c r="AR107" s="127"/>
      <c r="AS107" s="127"/>
      <c r="AZ107" s="91"/>
    </row>
    <row r="108" s="83" customFormat="1" customHeight="1" spans="2:52">
      <c r="B108" s="231"/>
      <c r="C108" s="83" t="s">
        <v>609</v>
      </c>
      <c r="E108" s="84"/>
      <c r="F108" s="86"/>
      <c r="G108" s="87"/>
      <c r="H108" s="84"/>
      <c r="I108" s="84"/>
      <c r="J108" s="88"/>
      <c r="K108" s="88"/>
      <c r="L108" s="88"/>
      <c r="M108" s="88"/>
      <c r="N108" s="84"/>
      <c r="O108" s="84"/>
      <c r="S108" s="83" t="s">
        <v>183</v>
      </c>
      <c r="T108" s="232"/>
      <c r="U108" s="232"/>
      <c r="V108" s="83">
        <v>544</v>
      </c>
      <c r="W108" s="219"/>
      <c r="X108" s="233">
        <v>1362754</v>
      </c>
      <c r="Y108" s="219"/>
      <c r="Z108" s="219"/>
      <c r="AA108" s="234"/>
      <c r="AB108" s="219"/>
      <c r="AC108" s="219"/>
      <c r="AD108" s="219"/>
      <c r="AE108" s="219"/>
      <c r="AG108" s="84"/>
      <c r="AJ108" s="219"/>
      <c r="AK108" s="219"/>
      <c r="AN108" s="235"/>
      <c r="AO108" s="219"/>
      <c r="AP108" s="236"/>
      <c r="AQ108" s="236"/>
      <c r="AR108" s="236"/>
      <c r="AS108" s="236"/>
    </row>
    <row r="109" s="76" customFormat="1" customHeight="1" spans="2:52">
      <c r="B109" s="112"/>
      <c r="D109" s="76" t="s">
        <v>1463</v>
      </c>
      <c r="F109" s="114"/>
      <c r="G109" s="133"/>
      <c r="J109" s="129"/>
      <c r="K109" s="129"/>
      <c r="L109" s="129"/>
      <c r="M109" s="129"/>
      <c r="P109" s="91"/>
      <c r="Q109" s="91"/>
      <c r="T109" s="133"/>
      <c r="U109" s="133"/>
      <c r="V109" s="76">
        <v>7</v>
      </c>
      <c r="W109" s="114">
        <v>38775.5102040816</v>
      </c>
      <c r="X109" s="114">
        <v>271428.571428571</v>
      </c>
      <c r="Y109" s="114"/>
      <c r="Z109" s="114">
        <f>X109-Y109</f>
        <v>271428.571428571</v>
      </c>
      <c r="AA109" s="140"/>
      <c r="AB109" s="114"/>
      <c r="AC109" s="114"/>
      <c r="AD109" s="114"/>
      <c r="AE109" s="114"/>
      <c r="AF109" s="91"/>
      <c r="AJ109" s="114"/>
      <c r="AK109" s="114"/>
      <c r="AM109" s="91"/>
      <c r="AN109" s="129"/>
      <c r="AO109" s="114"/>
      <c r="AP109" s="127"/>
      <c r="AQ109" s="127"/>
      <c r="AR109" s="127"/>
      <c r="AS109" s="127"/>
      <c r="AZ109" s="91"/>
    </row>
    <row r="110" s="79" customFormat="1" customHeight="1" spans="2:52">
      <c r="B110" s="191"/>
      <c r="D110" s="79" t="str">
        <f>D109</f>
        <v>Scroll knife</v>
      </c>
      <c r="F110" s="192"/>
      <c r="G110" s="193"/>
      <c r="J110" s="194"/>
      <c r="K110" s="194"/>
      <c r="L110" s="194"/>
      <c r="M110" s="194"/>
      <c r="T110" s="193"/>
      <c r="U110" s="193"/>
      <c r="V110" s="192">
        <f>V109</f>
        <v>7</v>
      </c>
      <c r="W110" s="192">
        <f>W109</f>
        <v>38775.5102040816</v>
      </c>
      <c r="X110" s="192">
        <f>X109</f>
        <v>271428.571428571</v>
      </c>
      <c r="Y110" s="192"/>
      <c r="Z110" s="192">
        <f>Z109</f>
        <v>271428.571428571</v>
      </c>
      <c r="AA110" s="196"/>
      <c r="AB110" s="192"/>
      <c r="AC110" s="192"/>
      <c r="AD110" s="192"/>
      <c r="AE110" s="192"/>
      <c r="AJ110" s="192"/>
      <c r="AK110" s="192"/>
      <c r="AN110" s="194"/>
      <c r="AO110" s="192"/>
      <c r="AP110" s="150"/>
      <c r="AQ110" s="150"/>
      <c r="AR110" s="150"/>
      <c r="AS110" s="150"/>
    </row>
    <row r="111" customHeight="1" spans="2:52">
      <c r="AF111" s="160"/>
      <c r="AM111" s="160"/>
      <c r="AY111" s="84"/>
    </row>
    <row r="112" customHeight="1" spans="2:52">
      <c r="AY112" s="84"/>
    </row>
    <row r="113" customHeight="1" spans="51:51">
      <c r="AY113" s="84"/>
    </row>
    <row r="114" customHeight="1" spans="51:51">
      <c r="AY114" s="84"/>
    </row>
    <row r="115" customHeight="1" spans="51:51">
      <c r="AY115" s="84"/>
    </row>
    <row r="116" customHeight="1" spans="51:51">
      <c r="AY116" s="84"/>
    </row>
    <row r="117" customHeight="1" spans="51:51">
      <c r="AY117" s="84"/>
    </row>
    <row r="118" customHeight="1" spans="51:51">
      <c r="AY118" s="84"/>
    </row>
    <row r="119" customHeight="1" spans="51:51">
      <c r="AY119" s="84"/>
    </row>
    <row r="120" customHeight="1" spans="51:51">
      <c r="AY120" s="84"/>
    </row>
    <row r="121" customHeight="1" spans="51:51">
      <c r="AY121" s="84"/>
    </row>
    <row r="122" customHeight="1" spans="51:51">
      <c r="AY122" s="84"/>
    </row>
    <row r="123" customHeight="1" spans="51:51">
      <c r="AY123" s="84"/>
    </row>
    <row r="124" customHeight="1" spans="51:51">
      <c r="AY124" s="84"/>
    </row>
    <row r="125" customHeight="1" spans="51:51">
      <c r="AY125" s="84"/>
    </row>
    <row r="126" customHeight="1" spans="51:51">
      <c r="AY126" s="84"/>
    </row>
    <row r="127" customHeight="1" spans="51:51">
      <c r="AY127" s="84"/>
    </row>
    <row r="128" customHeight="1" spans="51:51">
      <c r="AY128" s="84"/>
    </row>
    <row r="129" customHeight="1" spans="51:51">
      <c r="AY129" s="84"/>
    </row>
    <row r="130" customHeight="1" spans="51:51">
      <c r="AY130" s="84"/>
    </row>
    <row r="131" customHeight="1" spans="51:51">
      <c r="AY131" s="84"/>
    </row>
    <row r="132" customHeight="1" spans="51:51">
      <c r="AY132" s="84"/>
    </row>
    <row r="133" customHeight="1" spans="51:51">
      <c r="AY133" s="84"/>
    </row>
  </sheetData>
  <autoFilter xmlns:etc="http://www.wps.cn/officeDocument/2017/etCustomData" ref="A2:AZ110" etc:filterBottomFollowUsedRange="0">
    <extLst/>
  </autoFilter>
  <sortState ref="C84:Z94">
    <sortCondition ref="C84"/>
  </sortState>
  <mergeCells count="4">
    <mergeCell ref="A1:D1"/>
    <mergeCell ref="R1:AE1"/>
    <mergeCell ref="AH1:AL1"/>
    <mergeCell ref="AN1:AY1"/>
  </mergeCells>
  <conditionalFormatting sqref="Z59:Z82">
    <cfRule type="cellIs" dxfId="4" priority="7" operator="greaterThan">
      <formula>0</formula>
    </cfRule>
    <cfRule type="cellIs" dxfId="5" priority="8" operator="lessThan">
      <formula>0</formula>
    </cfRule>
  </conditionalFormatting>
  <conditionalFormatting sqref="Z84:Z94">
    <cfRule type="cellIs" dxfId="4" priority="1" operator="greaterThan">
      <formula>0</formula>
    </cfRule>
    <cfRule type="cellIs" dxfId="5" priority="2" operator="lessThan">
      <formula>0</formula>
    </cfRule>
  </conditionalFormatting>
  <conditionalFormatting sqref="AS3:AS16">
    <cfRule type="cellIs" dxfId="0" priority="59" operator="greaterThan">
      <formula>0.1</formula>
    </cfRule>
    <cfRule type="cellIs" dxfId="1" priority="60" operator="lessThan">
      <formula>-0.1</formula>
    </cfRule>
    <cfRule type="cellIs" dxfId="2" priority="61" operator="equal">
      <formula>0</formula>
    </cfRule>
  </conditionalFormatting>
  <conditionalFormatting sqref="AS22:AS58">
    <cfRule type="cellIs" dxfId="0" priority="71" operator="greaterThan">
      <formula>0.1</formula>
    </cfRule>
    <cfRule type="cellIs" dxfId="1" priority="72" operator="lessThan">
      <formula>-0.1</formula>
    </cfRule>
    <cfRule type="cellIs" dxfId="2" priority="73" operator="equal">
      <formula>0</formula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M79"/>
  <sheetViews>
    <sheetView workbookViewId="0">
      <pane ySplit="1" topLeftCell="A41" activePane="bottomLeft" state="frozen"/>
      <selection/>
      <selection pane="bottomLeft" activeCell="E45" sqref="E45:E65"/>
    </sheetView>
  </sheetViews>
  <sheetFormatPr defaultColWidth="8.87962962962963" defaultRowHeight="14.4"/>
  <cols>
    <col min="1" max="1" width="8.87962962962963" customWidth="1"/>
    <col min="2" max="2" width="16.8796296296296" customWidth="1"/>
    <col min="3" max="3" width="13.75" style="32" customWidth="1"/>
    <col min="4" max="4" width="3.25" style="32" customWidth="1"/>
    <col min="5" max="9" width="15.3796296296296" style="33" customWidth="1"/>
    <col min="10" max="10" width="11.3796296296296" style="33" customWidth="1"/>
    <col min="11" max="11" width="12.8796296296296" style="33" customWidth="1"/>
    <col min="12" max="12" width="16.1296296296296" style="33" customWidth="1"/>
    <col min="13" max="13" width="14.8796296296296" style="1" customWidth="1"/>
    <col min="14" max="14" width="8.87962962962963" customWidth="1"/>
  </cols>
  <sheetData>
    <row r="1" s="31" customFormat="1" ht="15" customHeight="1" spans="2:13">
      <c r="B1" s="34"/>
      <c r="C1" s="35" t="s">
        <v>1279</v>
      </c>
      <c r="D1" s="36"/>
      <c r="E1" s="37" t="s">
        <v>93</v>
      </c>
      <c r="F1" s="37" t="s">
        <v>178</v>
      </c>
      <c r="G1" s="37" t="s">
        <v>1358</v>
      </c>
      <c r="H1" s="37" t="s">
        <v>1364</v>
      </c>
      <c r="I1" s="37" t="s">
        <v>1717</v>
      </c>
      <c r="J1" s="38" t="s">
        <v>1718</v>
      </c>
      <c r="K1" s="37" t="s">
        <v>1719</v>
      </c>
      <c r="L1" s="37" t="s">
        <v>1720</v>
      </c>
      <c r="M1" s="39" t="s">
        <v>1721</v>
      </c>
    </row>
    <row r="2" ht="15" customHeight="1" spans="2:13">
      <c r="B2" s="40" t="s">
        <v>1722</v>
      </c>
      <c r="C2" s="41">
        <f>SUMIFS(payment!H2:H1436,payment!I2:I1436,"&gt;="&amp;DATE(2024,6,1),payment!I2:I1436,"&lt;="&amp;DATE(2025,5,31))</f>
        <v>1.16415765916145e-11</v>
      </c>
      <c r="E2" s="42">
        <f>SUMIFS(payment!H2:H1436,payment!I2:I1436,"&gt;="&amp;DATE(2024,6,1),payment!I2:I1436,"&lt;="&amp;DATE(2025,5,31),payment!A2:A1436,"=TW")</f>
        <v>1.16415765916145e-11</v>
      </c>
      <c r="F2" s="42">
        <v>496767.44</v>
      </c>
      <c r="G2" s="42">
        <f>SUMIFS(payment!H2:H1436,payment!I2:I1436,"&gt;="&amp;DATE(2024,6,1),payment!I2:I1436,"&lt;="&amp;DATE(2025,5,31),payment!A2:A1436,"=NBE")</f>
        <v>0</v>
      </c>
      <c r="H2" s="42">
        <f>SUMIFS(payment!H2:H1436,payment!I2:I1436,"&gt;="&amp;DATE(2024,6,1),payment!I2:I1436,"&lt;="&amp;DATE(2025,5,31),payment!A2:A1436,"=PT")</f>
        <v>0</v>
      </c>
      <c r="I2" s="42">
        <f>SUMIFS(payment!H2:H1436,payment!I2:I1436,"&gt;="&amp;DATE(2024,6,1),payment!I2:I1436,"&lt;="&amp;DATE(2025,5,31),payment!A2:A1436,"=IN")</f>
        <v>0</v>
      </c>
      <c r="J2" s="43">
        <f>SUMIFS(payment!H2:H1436,payment!I2:I1436,"&gt;="&amp;DATE(2024,6,1),payment!I2:I1436,"&lt;="&amp;DATE(2025,5,31),payment!A2:A1436,"=NF")</f>
        <v>0</v>
      </c>
      <c r="K2" s="42">
        <f>J2*7.1</f>
        <v>0</v>
      </c>
      <c r="L2" s="42">
        <f>SUMIFS(payment!H2:H1436,payment!L2:L1436,"&gt;="&amp;DATE(2024,6,1),payment!L2:L1436,"&lt;="&amp;DATE(2025,5,31))</f>
        <v>0</v>
      </c>
      <c r="M2" s="44">
        <f>payment!AH$1-C2+L2</f>
        <v>3512729.07</v>
      </c>
    </row>
    <row r="3" spans="2:13">
      <c r="B3" s="45" t="s">
        <v>1723</v>
      </c>
      <c r="C3" s="46">
        <f>SUMIFS(payment!H2:H1436,payment!I2:I1436,"&gt;="&amp;DATE(2025,6,1),payment!I2:I1436,"&lt;="&amp;DATE(2025,6,7))</f>
        <v>0</v>
      </c>
      <c r="E3" s="47">
        <f>SUMIFS(payment!H2:H1436,payment!I2:I1436,"&gt;="&amp;DATE(2025,6,1),payment!I2:I1436,"&lt;="&amp;DATE(2025,6,7),payment!A2:A1436,"=TW")</f>
        <v>0</v>
      </c>
      <c r="F3" s="47">
        <f>SUMIFS(payment!H2:H1436,payment!I2:I1436,"&gt;="&amp;DATE(2025,6,1),payment!I2:I1436,"&lt;="&amp;DATE(2025,6,7),payment!A2:A1436,"=VARNISHED")</f>
        <v>0</v>
      </c>
      <c r="G3" s="47">
        <f>SUMIFS(payment!H2:H1436,payment!I2:I1436,"&gt;="&amp;DATE(2025,6,1),payment!I2:I1436,"&lt;="&amp;DATE(2025,6,7),payment!A2:A1436,"=NBE")</f>
        <v>0</v>
      </c>
      <c r="H3" s="47">
        <f>SUMIFS(payment!H2:H1436,payment!I2:I1436,"&gt;="&amp;DATE(2025,6,1),payment!I2:I1436,"&lt;="&amp;DATE(2025,6,7),payment!A2:A1436,"=PT")</f>
        <v>0</v>
      </c>
      <c r="I3" s="47">
        <f>SUMIFS(payment!H2:H1436,payment!I2:I1436,"&gt;="&amp;DATE(2025,6,1),payment!I2:I1436,"&lt;="&amp;DATE(2025,6,7),payment!A2:A1436,"=IN")</f>
        <v>0</v>
      </c>
      <c r="J3" s="48">
        <f>SUMIFS(payment!H2:H1436,payment!I2:I1436,"&gt;="&amp;DATE(2025,6,1),payment!I2:I1436,"&lt;="&amp;DATE(2025,6,7),payment!A2:A1436,"=NF")</f>
        <v>0</v>
      </c>
      <c r="K3" s="47">
        <f t="shared" ref="K3:K65" si="0">J3*7.1</f>
        <v>0</v>
      </c>
      <c r="L3" s="47">
        <f>SUMIFS(payment!H2:H1436,payment!L2:L1436,"&gt;="&amp;DATE(2025,6,1),payment!L2:L1436,"&lt;="&amp;DATE(2025,6,7))</f>
        <v>0</v>
      </c>
      <c r="M3" s="49">
        <f>M2-C3+L3</f>
        <v>3512729.07</v>
      </c>
    </row>
    <row r="4" spans="2:13">
      <c r="B4" s="50" t="s">
        <v>1724</v>
      </c>
      <c r="C4" s="51">
        <f>SUMIFS(payment!H2:H1436,payment!I2:I1436,"&gt;="&amp;DATE(2025,6,8),payment!I2:I1436,"&lt;="&amp;DATE(2025,6,15))</f>
        <v>0</v>
      </c>
      <c r="E4" s="52">
        <f>SUMIFS(payment!H2:H1436,payment!I2:I1436,"&gt;="&amp;DATE(2025,6,8),payment!I2:I1436,"&lt;="&amp;DATE(2025,6,15),payment!A2:A1436,"=TW")</f>
        <v>0</v>
      </c>
      <c r="F4" s="52">
        <f>SUMIFS(payment!H2:H1436,payment!I2:I1436,"&gt;="&amp;DATE(2025,6,8),payment!I2:I1436,"&lt;="&amp;DATE(2025,6,15),payment!A2:A1436,"=VARNISHED")</f>
        <v>0</v>
      </c>
      <c r="G4" s="52">
        <f>SUMIFS(payment!H2:H1436,payment!I2:I1436,"&gt;="&amp;DATE(2025,6,8),payment!I2:I1436,"&lt;="&amp;DATE(2025,6,15),payment!A2:A1436,"=NBE")</f>
        <v>0</v>
      </c>
      <c r="H4" s="52">
        <f>SUMIFS(payment!H2:H1436,payment!I2:I1436,"&gt;="&amp;DATE(2025,6,8),payment!I2:I1436,"&lt;="&amp;DATE(2025,6,15),payment!A2:A1436,"=PT")</f>
        <v>0</v>
      </c>
      <c r="I4" s="52">
        <f>SUMIFS(payment!H2:H1436,payment!I2:I1436,"&gt;="&amp;DATE(2025,6,8),payment!I2:I1436,"&lt;="&amp;DATE(2025,6,15),payment!A2:A1436,"=IN")</f>
        <v>0</v>
      </c>
      <c r="J4" s="53">
        <f>SUMIFS(payment!H2:H1436,payment!I2:I1436,"&gt;="&amp;DATE(2025,6,8),payment!I2:I1436,"&lt;="&amp;DATE(2025,6,15),payment!A2:A1436,"=NF")</f>
        <v>0</v>
      </c>
      <c r="K4" s="52">
        <f t="shared" si="0"/>
        <v>0</v>
      </c>
      <c r="L4" s="52">
        <f>SUMIFS(payment!H2:H1436,payment!L2:L1436,"&gt;="&amp;DATE(2025,6,8),payment!L2:L1436,"&lt;="&amp;DATE(2025,6,15))</f>
        <v>0</v>
      </c>
      <c r="M4" s="54">
        <f>payment!AH$1-C4+L4</f>
        <v>3512729.07</v>
      </c>
    </row>
    <row r="5" spans="2:13">
      <c r="B5" s="50" t="s">
        <v>1725</v>
      </c>
      <c r="C5" s="51">
        <f>SUMIFS(payment!H2:H1436,payment!I2:I1436,"&gt;="&amp;DATE(2025,6,16),payment!I2:I1436,"&lt;="&amp;DATE(2025,6,23))</f>
        <v>-0.00499999988824129</v>
      </c>
      <c r="E5" s="52">
        <f>SUMIFS(payment!H2:H1436,payment!I2:I1436,"&gt;="&amp;DATE(2025,6,16),payment!I2:I1436,"&lt;="&amp;DATE(2025,6,23),payment!A2:A1436,"=TW")</f>
        <v>0</v>
      </c>
      <c r="F5" s="52">
        <f>SUMIFS(payment!H2:H1436,payment!I2:I1436,"&gt;="&amp;DATE(2025,6,16),payment!I2:I1436,"&lt;="&amp;DATE(2025,6,23),payment!A2:A1436,"=VARNISHED")</f>
        <v>0</v>
      </c>
      <c r="G5" s="52">
        <f>SUMIFS(payment!H2:H1436,payment!I2:I1436,"&gt;="&amp;DATE(2025,6,16),payment!I2:I1436,"&lt;="&amp;DATE(2025,6,23),payment!A2:A1436,"=NBE")</f>
        <v>0</v>
      </c>
      <c r="H5" s="52">
        <f>SUMIFS(payment!H2:H1436,payment!I2:I1436,"&gt;="&amp;DATE(2025,6,16),payment!I2:I1436,"&lt;="&amp;DATE(2025,6,23),payment!A2:A1436,"=PT")</f>
        <v>-0.00499999988824129</v>
      </c>
      <c r="I5" s="52">
        <f>SUMIFS(payment!H2:H1436,payment!I2:I1436,"&gt;="&amp;DATE(2025,6,16),payment!I2:I1436,"&lt;="&amp;DATE(2025,6,23),payment!A2:A1436,"=IN")</f>
        <v>0</v>
      </c>
      <c r="J5" s="53">
        <f>SUMIFS(payment!H2:H1436,payment!I2:I1436,"&gt;="&amp;DATE(2025,6,16),payment!I2:I1436,"&lt;="&amp;DATE(2025,6,23),payment!A2:A1436,"=NF")</f>
        <v>0</v>
      </c>
      <c r="K5" s="52">
        <f t="shared" si="0"/>
        <v>0</v>
      </c>
      <c r="L5" s="52">
        <f>SUMIFS(payment!H2:H1436,payment!L2:L1436,"&gt;="&amp;DATE(2025,6,16),payment!L2:L1436,"&lt;="&amp;DATE(2025,6,23))</f>
        <v>0</v>
      </c>
      <c r="M5" s="54">
        <f t="shared" ref="M5:M68" si="1">M4-C5+L5</f>
        <v>3512729.075</v>
      </c>
    </row>
    <row r="6" ht="15" customHeight="1" spans="2:13">
      <c r="B6" s="55" t="s">
        <v>1726</v>
      </c>
      <c r="C6" s="56">
        <f>SUMIFS(payment!H2:H1436,payment!I2:I1436,"&gt;="&amp;DATE(2025,6,24),payment!I2:I1436,"&lt;="&amp;DATE(2025,6,30))</f>
        <v>0.00399999997898703</v>
      </c>
      <c r="E6" s="57">
        <f>SUMIFS(payment!H2:H1436,payment!I2:I1436,"&gt;="&amp;DATE(2025,6,24),payment!I2:I1436,"&lt;="&amp;DATE(2025,6,30),payment!A2:A1436,"=TW")</f>
        <v>0</v>
      </c>
      <c r="F6" s="57">
        <f>SUMIFS(payment!H2:H1436,payment!I2:I1436,"&gt;="&amp;DATE(2025,6,24),payment!I2:I1436,"&lt;="&amp;DATE(2025,6,30),payment!A2:A1436,"=VARNISHED")</f>
        <v>0</v>
      </c>
      <c r="G6" s="57">
        <f>SUMIFS(payment!H2:H1436,payment!I2:I1436,"&gt;="&amp;DATE(2025,6,24),payment!I2:I1436,"&lt;="&amp;DATE(2025,6,30),payment!A2:A1436,"=NBE")</f>
        <v>0.00399999997898703</v>
      </c>
      <c r="H6" s="57">
        <f>SUMIFS(payment!H2:H1436,payment!I2:I1436,"&gt;="&amp;DATE(2025,6,24),payment!I2:I1436,"&lt;="&amp;DATE(2025,6,30),payment!A2:A1436,"=PT")</f>
        <v>0</v>
      </c>
      <c r="I6" s="57">
        <f>SUMIFS(payment!H2:H1436,payment!I2:I1436,"&gt;="&amp;DATE(2025,6,24),payment!I2:I1436,"&lt;="&amp;DATE(2025,6,30),payment!A2:A1436,"=IN")</f>
        <v>0</v>
      </c>
      <c r="J6" s="58">
        <f>SUMIFS(payment!H2:H1436,payment!I2:I1436,"&gt;="&amp;DATE(2025,6,24),payment!I2:I1436,"&lt;="&amp;DATE(2025,6,30),payment!A2:A1436,"=NF")</f>
        <v>0</v>
      </c>
      <c r="K6" s="57">
        <f t="shared" si="0"/>
        <v>0</v>
      </c>
      <c r="L6" s="57">
        <f>SUMIFS(payment!H2:H1436,payment!L2:L1436,"&gt;="&amp;DATE(2025,6,24),payment!L2:L1436,"&lt;="&amp;DATE(2025,6,30))</f>
        <v>0</v>
      </c>
      <c r="M6" s="59">
        <f t="shared" si="1"/>
        <v>3512729.071</v>
      </c>
    </row>
    <row r="7" spans="2:13">
      <c r="B7" s="45" t="s">
        <v>1727</v>
      </c>
      <c r="C7" s="46">
        <f>SUMIFS(payment!H2:H1436,payment!I2:I1436,"&gt;="&amp;DATE(2025,7,1),payment!I2:I1436,"&lt;="&amp;DATE(2025,7,7))</f>
        <v>0</v>
      </c>
      <c r="E7" s="47">
        <f>SUMIFS(payment!H2:H1436,payment!I2:I1436,"&gt;="&amp;DATE(2025,7,1),payment!I2:I1436,"&lt;="&amp;DATE(2025,7,7),payment!A2:A1436,"=TW")</f>
        <v>0</v>
      </c>
      <c r="F7" s="47">
        <f>SUMIFS(payment!H2:H1436,payment!I2:I1436,"&gt;="&amp;DATE(2025,7,1),payment!I2:I1436,"&lt;="&amp;DATE(2025,7,7),payment!A2:A1436,"=VARNISHED")</f>
        <v>0</v>
      </c>
      <c r="G7" s="47">
        <f>SUMIFS(payment!H2:H1436,payment!I2:I1436,"&gt;="&amp;DATE(2025,7,1),payment!I2:I1436,"&lt;="&amp;DATE(2025,7,7),payment!A2:A1436,"=NBE")</f>
        <v>0</v>
      </c>
      <c r="H7" s="47">
        <f>SUMIFS(payment!H2:H1436,payment!I2:I1436,"&gt;="&amp;DATE(2025,7,1),payment!I2:I1436,"&lt;="&amp;DATE(2025,7,7),payment!A2:A1436,"=PT")</f>
        <v>0</v>
      </c>
      <c r="I7" s="47">
        <f>SUMIFS(payment!H2:H1436,payment!I2:I1436,"&gt;="&amp;DATE(2025,7,1),payment!I2:I1436,"&lt;="&amp;DATE(2025,7,7),payment!A2:A1436,"=IN")</f>
        <v>0</v>
      </c>
      <c r="J7" s="48">
        <f>SUMIFS(payment!H2:H1436,payment!I2:I1436,"&gt;="&amp;DATE(2025,7,1),payment!I2:I1436,"&lt;="&amp;DATE(2025,7,7),payment!A2:A1436,"=NF")</f>
        <v>0</v>
      </c>
      <c r="K7" s="47">
        <f t="shared" si="0"/>
        <v>0</v>
      </c>
      <c r="L7" s="47">
        <f>SUMIFS(payment!H2:H1453,payment!L2:L1453,"&gt;="&amp;DATE(2025,7,1),payment!L2:L1453,"&lt;="&amp;DATE(2025,7,7))</f>
        <v>0</v>
      </c>
      <c r="M7" s="49">
        <f t="shared" si="1"/>
        <v>3512729.071</v>
      </c>
    </row>
    <row r="8" spans="2:13">
      <c r="B8" s="50" t="s">
        <v>1728</v>
      </c>
      <c r="C8" s="51">
        <f>SUMIFS(payment!H2:H1436,payment!I2:I1436,"&gt;="&amp;DATE(2025,7,8),payment!I2:I1436,"&lt;="&amp;DATE(2025,7,15))</f>
        <v>0</v>
      </c>
      <c r="E8" s="52">
        <f>SUMIFS(payment!H2:H1436,payment!I2:I1436,"&gt;="&amp;DATE(2025,7,8),payment!I2:I1436,"&lt;="&amp;DATE(2025,7,15),payment!A2:A1436,"=TW")</f>
        <v>0</v>
      </c>
      <c r="F8" s="52">
        <f>SUMIFS(payment!H2:H1436,payment!I2:I1436,"&gt;="&amp;DATE(2025,7,8),payment!I2:I1436,"&lt;="&amp;DATE(2025,7,15),payment!A2:A1436,"=VARNISHED")</f>
        <v>0</v>
      </c>
      <c r="G8" s="52">
        <f>SUMIFS(payment!H2:H1436,payment!I2:I1436,"&gt;="&amp;DATE(2025,7,8),payment!I2:I1436,"&lt;="&amp;DATE(2025,7,15),payment!A2:A1436,"=NBE")</f>
        <v>0</v>
      </c>
      <c r="H8" s="52">
        <f>SUMIFS(payment!H2:H1436,payment!I2:I1436,"&gt;="&amp;DATE(2025,7,8),payment!I2:I1436,"&lt;="&amp;DATE(2025,7,15),payment!A2:A1436,"=PT")</f>
        <v>0</v>
      </c>
      <c r="I8" s="52">
        <f>SUMIFS(payment!H2:H1436,payment!I2:I1436,"&gt;="&amp;DATE(2025,7,8),payment!I2:I1436,"&lt;="&amp;DATE(2025,7,15),payment!A2:A1436,"=IN")</f>
        <v>0</v>
      </c>
      <c r="J8" s="53">
        <f>SUMIFS(payment!H2:H1436,payment!I2:I1436,"&gt;="&amp;DATE(2025,7,8),payment!I2:I1436,"&lt;="&amp;DATE(2025,7,15),payment!A2:A1436,"=NF")</f>
        <v>0</v>
      </c>
      <c r="K8" s="52">
        <f t="shared" si="0"/>
        <v>0</v>
      </c>
      <c r="L8" s="52">
        <f>SUMIFS(payment!H2:H1453,payment!L2:L1453,"&gt;="&amp;DATE(2025,7,8),payment!L2:L1453,"&lt;="&amp;DATE(2025,7,15))</f>
        <v>0</v>
      </c>
      <c r="M8" s="54">
        <f t="shared" si="1"/>
        <v>3512729.071</v>
      </c>
    </row>
    <row r="9" spans="2:13">
      <c r="B9" s="50" t="s">
        <v>1729</v>
      </c>
      <c r="C9" s="51">
        <f>SUMIFS(payment!H2:H1436,payment!I2:I1436,"&gt;="&amp;DATE(2025,7,16),payment!I2:I1436,"&lt;="&amp;DATE(2025,7,23))</f>
        <v>0</v>
      </c>
      <c r="E9" s="52">
        <f>SUMIFS(payment!H2:H1436,payment!I2:I1436,"&gt;="&amp;DATE(2025,7,16),payment!I2:I1436,"&lt;="&amp;DATE(2025,7,23),payment!A2:A1436,"=TW")</f>
        <v>0</v>
      </c>
      <c r="F9" s="52">
        <f>SUMIFS(payment!H2:H1436,payment!I2:I1436,"&gt;="&amp;DATE(2025,7,16),payment!I2:I1436,"&lt;="&amp;DATE(2025,7,23),payment!A2:A1436,"=VARNISHED")</f>
        <v>0</v>
      </c>
      <c r="G9" s="52">
        <f>SUMIFS(payment!H2:H1436,payment!I2:I1436,"&gt;="&amp;DATE(2025,7,16),payment!I2:I1436,"&lt;="&amp;DATE(2025,7,23),payment!A2:A1436,"=NBE")</f>
        <v>0</v>
      </c>
      <c r="H9" s="52">
        <f>SUMIFS(payment!H2:H1436,payment!I2:I1436,"&gt;="&amp;DATE(2025,7,16),payment!I2:I1436,"&lt;="&amp;DATE(2025,7,23),payment!A2:A1436,"=PT")</f>
        <v>0</v>
      </c>
      <c r="I9" s="52">
        <f>SUMIFS(payment!H2:H1436,payment!I2:I1436,"&gt;="&amp;DATE(2025,7,16),payment!I2:I1436,"&lt;="&amp;DATE(2025,7,23),payment!A2:A1436,"=IN")</f>
        <v>0</v>
      </c>
      <c r="J9" s="53">
        <f>SUMIFS(payment!H2:H1436,payment!I2:I1436,"&gt;="&amp;DATE(2025,7,16),payment!I2:I1436,"&lt;="&amp;DATE(2025,7,23),payment!A2:A1436,"=NF")</f>
        <v>0</v>
      </c>
      <c r="K9" s="52">
        <f t="shared" si="0"/>
        <v>0</v>
      </c>
      <c r="L9" s="52">
        <f>SUMIFS(payment!H2:H1453,payment!L2:L1453,"&gt;="&amp;DATE(2025,7,16),payment!L2:L1453,"&lt;="&amp;DATE(2025,7,23))</f>
        <v>0.00199999997857958</v>
      </c>
      <c r="M9" s="54">
        <f t="shared" si="1"/>
        <v>3512729.073</v>
      </c>
    </row>
    <row r="10" ht="15" customHeight="1" spans="2:13">
      <c r="B10" s="55" t="s">
        <v>1730</v>
      </c>
      <c r="C10" s="56">
        <f>SUMIFS(payment!H2:H1436,payment!I2:I1436,"&gt;="&amp;DATE(2025,7,24),payment!I2:I1436,"&lt;="&amp;DATE(2025,7,31))</f>
        <v>0.00749999997788109</v>
      </c>
      <c r="E10" s="57">
        <f>SUMIFS(payment!H2:H1436,payment!I2:I1436,"&gt;="&amp;DATE(2025,7,24),payment!I2:I1436,"&lt;="&amp;DATE(2025,7,31),payment!A2:A1436,"=TW")</f>
        <v>0.00749999997788109</v>
      </c>
      <c r="F10" s="57">
        <f>SUMIFS(payment!H2:H1436,payment!I2:I1436,"&gt;="&amp;DATE(2025,7,24),payment!I2:I1436,"&lt;="&amp;DATE(2025,7,31),payment!A2:A1436,"=VARNISHED")</f>
        <v>0</v>
      </c>
      <c r="G10" s="57">
        <f>SUMIFS(payment!H2:H1436,payment!I2:I1436,"&gt;="&amp;DATE(2025,7,24),payment!I2:I1436,"&lt;="&amp;DATE(2025,7,31),payment!A2:A1436,"=NBE")</f>
        <v>0</v>
      </c>
      <c r="H10" s="57">
        <f>SUMIFS(payment!H2:H1436,payment!I2:I1436,"&gt;="&amp;DATE(2025,7,24),payment!I2:I1436,"&lt;="&amp;DATE(2025,7,31),payment!A2:A1436,"=PT")</f>
        <v>0</v>
      </c>
      <c r="I10" s="57">
        <f>SUMIFS(payment!H2:H1436,payment!I2:I1436,"&gt;="&amp;DATE(2025,7,24),payment!I2:I1436,"&lt;="&amp;DATE(2025,7,31),payment!A2:A1436,"=IN")</f>
        <v>0</v>
      </c>
      <c r="J10" s="58">
        <f>SUMIFS(payment!H2:H1436,payment!I2:I1436,"&gt;="&amp;DATE(2025,7,24),payment!I2:I1436,"&lt;="&amp;DATE(2025,7,31),payment!A2:A1436,"=NF")</f>
        <v>0</v>
      </c>
      <c r="K10" s="57">
        <f t="shared" si="0"/>
        <v>0</v>
      </c>
      <c r="L10" s="57">
        <f>SUMIFS(payment!H2:H1453,payment!L2:L1453,"&gt;="&amp;DATE(2025,7,24),payment!L2:L1453,"&lt;="&amp;DATE(2025,7,31))</f>
        <v>0</v>
      </c>
      <c r="M10" s="59">
        <f t="shared" si="1"/>
        <v>3512729.0655</v>
      </c>
    </row>
    <row r="11" spans="2:13">
      <c r="B11" s="45" t="s">
        <v>1731</v>
      </c>
      <c r="C11" s="46">
        <f>SUMIFS(payment!H2:H1436,payment!I2:I1436,"&gt;="&amp;DATE(2025,8,1),payment!I2:I1436,"&lt;="&amp;DATE(2025,8,7))</f>
        <v>0.0007999999797903</v>
      </c>
      <c r="E11" s="47">
        <f>SUMIFS(payment!H2:H1436,payment!I2:I1436,"&gt;="&amp;DATE(2025,8,1),payment!I2:I1436,"&lt;="&amp;DATE(2025,8,7),payment!A2:A1436,"=TW")</f>
        <v>0</v>
      </c>
      <c r="F11" s="47">
        <f>SUMIFS(payment!H2:H1436,payment!I2:I1436,"&gt;="&amp;DATE(2025,8,1),payment!I2:I1436,"&lt;="&amp;DATE(2025,8,7),payment!A2:A1436,"=VARNISHED")</f>
        <v>0</v>
      </c>
      <c r="G11" s="47">
        <f>SUMIFS(payment!H2:H1436,payment!I2:I1436,"&gt;="&amp;DATE(2025,8,1),payment!I2:I1436,"&lt;="&amp;DATE(2025,8,7),payment!A2:A1436,"=NBE")</f>
        <v>0</v>
      </c>
      <c r="H11" s="47">
        <f>SUMIFS(payment!H2:H1436,payment!I2:I1436,"&gt;="&amp;DATE(2025,8,1),payment!I2:I1436,"&lt;="&amp;DATE(2025,8,7),payment!A2:A1436,"=PT")</f>
        <v>0</v>
      </c>
      <c r="I11" s="47">
        <f>SUMIFS(payment!H2:H1436,payment!I2:I1436,"&gt;="&amp;DATE(2025,8,1),payment!I2:I1436,"&lt;="&amp;DATE(2025,8,7),payment!A2:A1436,"=IN")</f>
        <v>0.0007999999797903</v>
      </c>
      <c r="J11" s="48">
        <f>SUMIFS(payment!H2:H1436,payment!I2:I1436,"&gt;="&amp;DATE(2025,8,1),payment!I2:I1436,"&lt;="&amp;DATE(2025,8,7),payment!A2:A1436,"=NF")</f>
        <v>0</v>
      </c>
      <c r="K11" s="47">
        <f t="shared" si="0"/>
        <v>0</v>
      </c>
      <c r="L11" s="47">
        <f>SUMIFS(payment!H2:H1453,payment!L2:L1453,"&gt;="&amp;DATE(2025,8,1),payment!L2:L1453,"&lt;="&amp;DATE(2025,8,7))</f>
        <v>0</v>
      </c>
      <c r="M11" s="49">
        <f t="shared" si="1"/>
        <v>3512729.0647</v>
      </c>
    </row>
    <row r="12" spans="2:13">
      <c r="B12" s="50" t="s">
        <v>1732</v>
      </c>
      <c r="C12" s="51">
        <f>SUMIFS(payment!H2:H1436,payment!I2:I1436,"&gt;="&amp;DATE(2025,8,8),payment!I2:I1436,"&lt;="&amp;DATE(2025,8,15))</f>
        <v>0</v>
      </c>
      <c r="E12" s="52">
        <f>SUMIFS(payment!H2:H1436,payment!I2:I1436,"&gt;="&amp;DATE(2025,8,8),payment!I2:I1436,"&lt;="&amp;DATE(2025,8,15),payment!A2:A1436,"=TW")</f>
        <v>0</v>
      </c>
      <c r="F12" s="52">
        <f>SUMIFS(payment!H2:H1436,payment!I2:I1436,"&gt;="&amp;DATE(2025,8,8),payment!I2:I1436,"&lt;="&amp;DATE(2025,8,15),payment!A2:A1436,"=VARNISHED")</f>
        <v>0</v>
      </c>
      <c r="G12" s="52">
        <f>SUMIFS(payment!H2:H1436,payment!I2:I1436,"&gt;="&amp;DATE(2025,8,8),payment!I2:I1436,"&lt;="&amp;DATE(2025,8,15),payment!A2:A1436,"=NBE")</f>
        <v>0</v>
      </c>
      <c r="H12" s="52">
        <f>SUMIFS(payment!H2:H1436,payment!I2:I1436,"&gt;="&amp;DATE(2025,8,8),payment!I2:I1436,"&lt;="&amp;DATE(2025,8,15),payment!A2:A1436,"=PT")</f>
        <v>0</v>
      </c>
      <c r="I12" s="52">
        <f>SUMIFS(payment!H2:H1436,payment!I2:I1436,"&gt;="&amp;DATE(2025,8,8),payment!I2:I1436,"&lt;="&amp;DATE(2025,8,15),payment!A2:A1436,"=IN")</f>
        <v>0</v>
      </c>
      <c r="J12" s="53">
        <f>SUMIFS(payment!H2:H1436,payment!I2:I1436,"&gt;="&amp;DATE(2025,8,8),payment!I2:I1436,"&lt;="&amp;DATE(2025,8,15),payment!A2:A1436,"=NF")</f>
        <v>0</v>
      </c>
      <c r="K12" s="52">
        <f t="shared" si="0"/>
        <v>0</v>
      </c>
      <c r="L12" s="52">
        <f>SUMIFS(payment!H2:H1453,payment!L2:L1453,"&gt;="&amp;DATE(2025,8,8),payment!L2:L1453,"&lt;="&amp;DATE(2025,8,15))</f>
        <v>0</v>
      </c>
      <c r="M12" s="54">
        <f t="shared" si="1"/>
        <v>3512729.0647</v>
      </c>
    </row>
    <row r="13" spans="2:13">
      <c r="B13" s="50" t="s">
        <v>1733</v>
      </c>
      <c r="C13" s="51">
        <f>SUMIFS(payment!H2:H1436,payment!I2:I1436,"&gt;="&amp;DATE(2025,8,16),payment!I2:I1436,"&lt;="&amp;DATE(2025,8,23))</f>
        <v>0</v>
      </c>
      <c r="E13" s="52">
        <f>SUMIFS(payment!H2:H1436,payment!I2:I1436,"&gt;="&amp;DATE(2025,8,16),payment!I2:I1436,"&lt;="&amp;DATE(2025,8,23),payment!A2:A1436,"=TW")</f>
        <v>0</v>
      </c>
      <c r="F13" s="52">
        <f>SUMIFS(payment!H2:H1436,payment!I2:I1436,"&gt;="&amp;DATE(2025,8,16),payment!I2:I1436,"&lt;="&amp;DATE(2025,8,23),payment!A2:A1436,"=VARNISHED")</f>
        <v>0</v>
      </c>
      <c r="G13" s="52">
        <f>SUMIFS(payment!H2:H1436,payment!I2:I1436,"&gt;="&amp;DATE(2025,8,16),payment!I2:I1436,"&lt;="&amp;DATE(2025,8,23),payment!A2:A1436,"=NBE")</f>
        <v>0</v>
      </c>
      <c r="H13" s="52">
        <f>SUMIFS(payment!H2:H1436,payment!I2:I1436,"&gt;="&amp;DATE(2025,8,16),payment!I2:I1436,"&lt;="&amp;DATE(2025,8,23),payment!A2:A1436,"=PT")</f>
        <v>0</v>
      </c>
      <c r="I13" s="52">
        <f>SUMIFS(payment!H2:H1436,payment!I2:I1436,"&gt;="&amp;DATE(2025,8,16),payment!I2:I1436,"&lt;="&amp;DATE(2025,8,23),payment!A2:A1436,"=IN")</f>
        <v>0</v>
      </c>
      <c r="J13" s="53">
        <f>SUMIFS(payment!H2:H1436,payment!I2:I1436,"&gt;="&amp;DATE(2025,8,16),payment!I2:I1436,"&lt;="&amp;DATE(2025,8,23),payment!A2:A1436,"=NF")</f>
        <v>0</v>
      </c>
      <c r="K13" s="52">
        <f t="shared" si="0"/>
        <v>0</v>
      </c>
      <c r="L13" s="52">
        <f>SUMIFS(payment!H2:H1453,payment!L2:L1453,"&gt;="&amp;DATE(2025,8,16),payment!L2:L1453,"&lt;="&amp;DATE(2025,8,23))</f>
        <v>0</v>
      </c>
      <c r="M13" s="54">
        <f t="shared" si="1"/>
        <v>3512729.0647</v>
      </c>
    </row>
    <row r="14" ht="15" customHeight="1" spans="2:13">
      <c r="B14" s="55" t="s">
        <v>1734</v>
      </c>
      <c r="C14" s="56">
        <f>SUMIFS(payment!H2:H1436,payment!I2:I1436,"&gt;="&amp;DATE(2025,8,24),payment!I2:I1436,"&lt;="&amp;DATE(2025,8,31))</f>
        <v>0.00399999995715916</v>
      </c>
      <c r="E14" s="57">
        <f>SUMIFS(payment!H2:H1436,payment!I2:I1436,"&gt;="&amp;DATE(2025,8,24),payment!I2:I1436,"&lt;="&amp;DATE(2025,8,31),payment!A2:A1436,"=TW")</f>
        <v>0.00399999995715916</v>
      </c>
      <c r="F14" s="57">
        <f>SUMIFS(payment!H2:H1436,payment!I2:I1436,"&gt;="&amp;DATE(2025,8,24),payment!I2:I1436,"&lt;="&amp;DATE(2025,8,31),payment!A2:A1436,"=VARNISHED")</f>
        <v>0</v>
      </c>
      <c r="G14" s="57">
        <f>SUMIFS(payment!H2:H1436,payment!I2:I1436,"&gt;="&amp;DATE(2025,8,24),payment!I2:I1436,"&lt;="&amp;DATE(2025,8,31),payment!A2:A1436,"=NBE")</f>
        <v>0</v>
      </c>
      <c r="H14" s="57">
        <f>SUMIFS(payment!H2:H1436,payment!I2:I1436,"&gt;="&amp;DATE(2025,8,24),payment!I2:I1436,"&lt;="&amp;DATE(2025,8,31),payment!A2:A1436,"=PT")</f>
        <v>0</v>
      </c>
      <c r="I14" s="57">
        <f>SUMIFS(payment!H2:H1436,payment!I2:I1436,"&gt;="&amp;DATE(2025,8,24),payment!I2:I1436,"&lt;="&amp;DATE(2025,8,31),payment!A2:A1436,"=IN")</f>
        <v>0</v>
      </c>
      <c r="J14" s="58">
        <f>SUMIFS(payment!H2:H1436,payment!I2:I1436,"&gt;="&amp;DATE(2025,8,24),payment!I2:I1436,"&lt;="&amp;DATE(2025,8,31),payment!A2:A1436,"=NF")</f>
        <v>0</v>
      </c>
      <c r="K14" s="57">
        <f t="shared" si="0"/>
        <v>0</v>
      </c>
      <c r="L14" s="57">
        <f>SUMIFS(payment!H2:H1453,payment!L2:L1453,"&gt;="&amp;DATE(2025,8,24),payment!L2:L1453,"&lt;="&amp;DATE(2025,8,31))</f>
        <v>0</v>
      </c>
      <c r="M14" s="59">
        <f t="shared" si="1"/>
        <v>3512729.0607</v>
      </c>
    </row>
    <row r="15" spans="2:13">
      <c r="B15" s="45" t="s">
        <v>1735</v>
      </c>
      <c r="C15" s="46">
        <f>SUMIFS(payment!H2:H1436,payment!I2:I1436,"&gt;="&amp;DATE(2025,9,1),payment!I2:I1436,"&lt;="&amp;DATE(2025,9,7))</f>
        <v>0</v>
      </c>
      <c r="E15" s="47">
        <f>SUMIFS(payment!H2:H1436,payment!I2:I1436,"&gt;="&amp;DATE(2025,9,1),payment!I2:I1436,"&lt;="&amp;DATE(2025,9,7),payment!A2:A1436,"=TW")</f>
        <v>0</v>
      </c>
      <c r="F15" s="47">
        <f>SUMIFS(payment!H2:H1436,payment!I2:I1436,"&gt;="&amp;DATE(2025,9,1),payment!I2:I1436,"&lt;="&amp;DATE(2025,9,7),payment!A2:A1436,"=VARNISHED")</f>
        <v>0</v>
      </c>
      <c r="G15" s="47">
        <f>SUMIFS(payment!H2:H1436,payment!I2:I1436,"&gt;="&amp;DATE(2025,9,1),payment!I2:I1436,"&lt;="&amp;DATE(2025,9,7),payment!A2:A1436,"=NBE")</f>
        <v>0</v>
      </c>
      <c r="H15" s="47">
        <f>SUMIFS(payment!H2:H1436,payment!I2:I1436,"&gt;="&amp;DATE(2025,9,1),payment!I2:I1436,"&lt;="&amp;DATE(2025,9,7),payment!A2:A1436,"=PT")</f>
        <v>0</v>
      </c>
      <c r="I15" s="47">
        <f>SUMIFS(payment!H2:H1436,payment!I2:I1436,"&gt;="&amp;DATE(2025,9,1),payment!I2:I1436,"&lt;="&amp;DATE(2025,9,7),payment!A2:A1436,"=IN")</f>
        <v>0</v>
      </c>
      <c r="J15" s="48">
        <f>SUMIFS(payment!H2:H1436,payment!I2:I1436,"&gt;="&amp;DATE(2025,9,1),payment!I2:I1436,"&lt;="&amp;DATE(2025,9,7),payment!A2:A1436,"=NF")</f>
        <v>0</v>
      </c>
      <c r="K15" s="47">
        <f t="shared" si="0"/>
        <v>0</v>
      </c>
      <c r="L15" s="47">
        <f>SUMIFS(payment!H2:H1453,payment!L2:L1453,"&gt;="&amp;DATE(2025,9,1),payment!L2:L1453,"&lt;="&amp;DATE(2025,9,7))</f>
        <v>0</v>
      </c>
      <c r="M15" s="49">
        <f t="shared" si="1"/>
        <v>3512729.0607</v>
      </c>
    </row>
    <row r="16" spans="2:13">
      <c r="B16" s="50" t="s">
        <v>1736</v>
      </c>
      <c r="C16" s="51">
        <f>SUMIFS(payment!H2:H1436,payment!I2:I1436,"&gt;="&amp;DATE(2025,9,8),payment!I2:I1436,"&lt;="&amp;DATE(2025,9,15))</f>
        <v>0</v>
      </c>
      <c r="E16" s="52">
        <f>SUMIFS(payment!H2:H1436,payment!I2:I1436,"&gt;="&amp;DATE(2025,9,8),payment!I2:I1436,"&lt;="&amp;DATE(2025,9,15),payment!A2:A1436,"=TW")</f>
        <v>0</v>
      </c>
      <c r="F16" s="52">
        <f>SUMIFS(payment!H2:H1436,payment!I2:I1436,"&gt;="&amp;DATE(2025,9,8),payment!I2:I1436,"&lt;="&amp;DATE(2025,9,15),payment!A2:A1436,"=VARNISHED")</f>
        <v>0</v>
      </c>
      <c r="G16" s="52">
        <f>SUMIFS(payment!H2:H1436,payment!I2:I1436,"&gt;="&amp;DATE(2025,9,8),payment!I2:I1436,"&lt;="&amp;DATE(2025,9,15),payment!A2:A1436,"=NBE")</f>
        <v>0</v>
      </c>
      <c r="H16" s="52">
        <f>SUMIFS(payment!H2:H1436,payment!I2:I1436,"&gt;="&amp;DATE(2025,9,8),payment!I2:I1436,"&lt;="&amp;DATE(2025,9,15),payment!A2:A1436,"=PT")</f>
        <v>0</v>
      </c>
      <c r="I16" s="52">
        <f>SUMIFS(payment!H2:H1436,payment!I2:I1436,"&gt;="&amp;DATE(2025,9,8),payment!I2:I1436,"&lt;="&amp;DATE(2025,9,15),payment!A2:A1436,"=IN")</f>
        <v>0</v>
      </c>
      <c r="J16" s="53">
        <f>SUMIFS(payment!H2:H1436,payment!I2:I1436,"&gt;="&amp;DATE(2025,9,8),payment!I2:I1436,"&lt;="&amp;DATE(2025,9,15),payment!A2:A1436,"=NF")</f>
        <v>0</v>
      </c>
      <c r="K16" s="52">
        <f t="shared" si="0"/>
        <v>0</v>
      </c>
      <c r="L16" s="52">
        <f>SUMIFS(payment!H2:H1453,payment!L2:L1453,"&gt;="&amp;DATE(2025,9,8),payment!L2:L1453,"&lt;="&amp;DATE(2025,9,15))</f>
        <v>0</v>
      </c>
      <c r="M16" s="54">
        <f t="shared" si="1"/>
        <v>3512729.0607</v>
      </c>
    </row>
    <row r="17" spans="1:13">
      <c r="B17" s="50" t="s">
        <v>1737</v>
      </c>
      <c r="C17" s="51">
        <f>SUMIFS(payment!H2:H1436,payment!I2:I1436,"&gt;="&amp;DATE(2025,9,16),payment!I2:I1436,"&lt;="&amp;DATE(2025,9,23))</f>
        <v>0.0034999999916181</v>
      </c>
      <c r="E17" s="52">
        <f>SUMIFS(payment!H2:H1436,payment!I2:I1436,"&gt;="&amp;DATE(2025,9,16),payment!I2:I1436,"&lt;="&amp;DATE(2025,9,23),payment!A2:A1436,"=TW")</f>
        <v>0</v>
      </c>
      <c r="F17" s="52">
        <f>SUMIFS(payment!H2:H1436,payment!I2:I1436,"&gt;="&amp;DATE(2025,9,16),payment!I2:I1436,"&lt;="&amp;DATE(2025,9,23),payment!A2:A1436,"=VARNISHED")</f>
        <v>0</v>
      </c>
      <c r="G17" s="52">
        <f>SUMIFS(payment!H2:H1436,payment!I2:I1436,"&gt;="&amp;DATE(2025,9,16),payment!I2:I1436,"&lt;="&amp;DATE(2025,9,23),payment!A2:A1436,"=NBE")</f>
        <v>0</v>
      </c>
      <c r="H17" s="52">
        <f>SUMIFS(payment!H2:H1436,payment!I2:I1436,"&gt;="&amp;DATE(2025,9,16),payment!I2:I1436,"&lt;="&amp;DATE(2025,9,23),payment!A2:A1436,"=PT")</f>
        <v>0</v>
      </c>
      <c r="I17" s="52">
        <f>SUMIFS(payment!H2:H1436,payment!I2:I1436,"&gt;="&amp;DATE(2025,9,16),payment!I2:I1436,"&lt;="&amp;DATE(2025,9,23),payment!A2:A1436,"=IN")</f>
        <v>0.0034999999916181</v>
      </c>
      <c r="J17" s="53">
        <f>SUMIFS(payment!H2:H1436,payment!I2:I1436,"&gt;="&amp;DATE(2025,9,16),payment!I2:I1436,"&lt;="&amp;DATE(2025,9,23),payment!A2:A1436,"=NF")</f>
        <v>0</v>
      </c>
      <c r="K17" s="52">
        <f t="shared" si="0"/>
        <v>0</v>
      </c>
      <c r="L17" s="52">
        <f>SUMIFS(payment!H2:H1453,payment!L2:L1453,"&gt;="&amp;DATE(2025,9,16),payment!L2:L1453,"&lt;="&amp;DATE(2025,9,23))</f>
        <v>0</v>
      </c>
      <c r="M17" s="54">
        <f t="shared" si="1"/>
        <v>3512729.0572</v>
      </c>
    </row>
    <row r="18" ht="15" customHeight="1" spans="1:13">
      <c r="B18" s="55" t="s">
        <v>1738</v>
      </c>
      <c r="C18" s="56">
        <f>SUMIFS(payment!H2:H1436,payment!I2:I1436,"&gt;="&amp;DATE(2025,9,24),payment!I2:I1436,"&lt;="&amp;DATE(2025,9,30))</f>
        <v>0</v>
      </c>
      <c r="E18" s="57">
        <f>SUMIFS(payment!H2:H1436,payment!I2:I1436,"&gt;="&amp;DATE(2025,9,24),payment!I2:I1436,"&lt;="&amp;DATE(2025,9,30),payment!A2:A1436,"=TW")</f>
        <v>0</v>
      </c>
      <c r="F18" s="57">
        <f>SUMIFS(payment!H2:H1436,payment!I2:I1436,"&gt;="&amp;DATE(2025,9,24),payment!I2:I1436,"&lt;="&amp;DATE(2025,9,30),payment!A2:A1436,"=VARNISHED")</f>
        <v>0</v>
      </c>
      <c r="G18" s="57">
        <f>SUMIFS(payment!H2:H1436,payment!I2:I1436,"&gt;="&amp;DATE(2025,9,24),payment!I2:I1436,"&lt;="&amp;DATE(2025,9,30),payment!A2:A1436,"=NBE")</f>
        <v>0</v>
      </c>
      <c r="H18" s="57">
        <f>SUMIFS(payment!H2:H1436,payment!I2:I1436,"&gt;="&amp;DATE(2025,9,24),payment!I2:I1436,"&lt;="&amp;DATE(2025,9,30),payment!A2:A1436,"=PT")</f>
        <v>0</v>
      </c>
      <c r="I18" s="57">
        <f>SUMIFS(payment!H2:H1436,payment!I2:I1436,"&gt;="&amp;DATE(2025,9,24),payment!I2:I1436,"&lt;="&amp;DATE(2025,9,30),payment!A2:A1436,"=IN")</f>
        <v>0</v>
      </c>
      <c r="J18" s="58">
        <f>SUMIFS(payment!H2:H1436,payment!I2:I1436,"&gt;="&amp;DATE(2025,9,24),payment!I2:I1436,"&lt;="&amp;DATE(2025,9,30),payment!A2:A1436,"=NF")</f>
        <v>0</v>
      </c>
      <c r="K18" s="57">
        <f t="shared" si="0"/>
        <v>0</v>
      </c>
      <c r="L18" s="57">
        <f>SUMIFS(payment!H2:H1453,payment!L2:L1453,"&gt;="&amp;DATE(2025,9,24),payment!L2:L1453,"&lt;="&amp;DATE(2025,9,30))</f>
        <v>0</v>
      </c>
      <c r="M18" s="59">
        <f t="shared" si="1"/>
        <v>3512729.0572</v>
      </c>
    </row>
    <row r="19" spans="1:13">
      <c r="B19" s="45" t="s">
        <v>1739</v>
      </c>
      <c r="C19" s="46">
        <f>SUMIFS(payment!H2:H1436,payment!I2:I1436,"&gt;="&amp;DATE(2025,10,1),payment!I2:I1436,"&lt;="&amp;DATE(2025,10,7))</f>
        <v>0</v>
      </c>
      <c r="E19" s="47">
        <f>SUMIFS(payment!H2:H1436,payment!I2:I1436,"&gt;="&amp;DATE(2025,10,1),payment!I2:I1436,"&lt;="&amp;DATE(2025,10,7),payment!A2:A1436,"=TW")</f>
        <v>0</v>
      </c>
      <c r="F19" s="47">
        <f>SUMIFS(payment!H2:H1436,payment!I2:I1436,"&gt;="&amp;DATE(2025,10,1),payment!I2:I1436,"&lt;="&amp;DATE(2025,10,7),payment!A2:A1436,"=VARNISHED")</f>
        <v>0</v>
      </c>
      <c r="G19" s="47">
        <f>SUMIFS(payment!H2:H1436,payment!I2:I1436,"&gt;="&amp;DATE(2025,10,1),payment!I2:I1436,"&lt;="&amp;DATE(2025,10,7),payment!A2:A1436,"=NBE")</f>
        <v>0</v>
      </c>
      <c r="H19" s="47">
        <f>SUMIFS(payment!H2:H1436,payment!I2:I1436,"&gt;="&amp;DATE(2025,10,1),payment!I2:I1436,"&lt;="&amp;DATE(2025,10,7),payment!A2:A1436,"=PT")</f>
        <v>0</v>
      </c>
      <c r="I19" s="47">
        <f>SUMIFS(payment!H2:H1436,payment!I2:I1436,"&gt;="&amp;DATE(2025,10,1),payment!I2:I1436,"&lt;="&amp;DATE(2025,10,7),payment!A2:A1436,"=IN")</f>
        <v>0</v>
      </c>
      <c r="J19" s="48">
        <f>SUMIFS(payment!H2:H1436,payment!I2:I1436,"&gt;="&amp;DATE(2025,10,1),payment!I2:I1436,"&lt;="&amp;DATE(2025,10,7),payment!A2:A1436,"=NF")</f>
        <v>0</v>
      </c>
      <c r="K19" s="47">
        <f t="shared" si="0"/>
        <v>0</v>
      </c>
      <c r="L19" s="47">
        <f>SUMIFS(payment!H2:H1453,payment!L2:L1453,"&gt;="&amp;DATE(2025,10,1),payment!L2:L1453,"&lt;="&amp;DATE(2025,10,7))</f>
        <v>0</v>
      </c>
      <c r="M19" s="49">
        <f t="shared" si="1"/>
        <v>3512729.0572</v>
      </c>
    </row>
    <row r="20" spans="1:13">
      <c r="B20" s="50" t="s">
        <v>1740</v>
      </c>
      <c r="C20" s="51">
        <f>SUMIFS(payment!H2:H1436,payment!I2:I1436,"&gt;="&amp;DATE(2025,10,8),payment!I2:I1436,"&lt;="&amp;DATE(2025,10,15))</f>
        <v>-0.00212000001920387</v>
      </c>
      <c r="E20" s="52">
        <f>SUMIFS(payment!H2:H1436,payment!I2:I1436,"&gt;="&amp;DATE(2025,10,8),payment!I2:I1436,"&lt;="&amp;DATE(2025,10,15),payment!A2:A1436,"=TW")</f>
        <v>0</v>
      </c>
      <c r="F20" s="52">
        <f>SUMIFS(payment!H2:H1436,payment!I2:I1436,"&gt;="&amp;DATE(2025,10,8),payment!I2:I1436,"&lt;="&amp;DATE(2025,10,15),payment!A2:A1436,"=VARNISHED")</f>
        <v>0</v>
      </c>
      <c r="G20" s="52">
        <f>SUMIFS(payment!H2:H1436,payment!I2:I1436,"&gt;="&amp;DATE(2025,10,8),payment!I2:I1436,"&lt;="&amp;DATE(2025,10,15),payment!A2:A1436,"=NBE")</f>
        <v>0</v>
      </c>
      <c r="H20" s="52">
        <f>SUMIFS(payment!H2:H1436,payment!I2:I1436,"&gt;="&amp;DATE(2025,10,8),payment!I2:I1436,"&lt;="&amp;DATE(2025,10,15),payment!A2:A1436,"=PT")</f>
        <v>-0.00212000001920387</v>
      </c>
      <c r="I20" s="52">
        <f>SUMIFS(payment!H2:H1436,payment!I2:I1436,"&gt;="&amp;DATE(2025,10,8),payment!I2:I1436,"&lt;="&amp;DATE(2025,10,15),payment!A2:A1436,"=IN")</f>
        <v>0</v>
      </c>
      <c r="J20" s="53">
        <f>SUMIFS(payment!H2:H1436,payment!I2:I1436,"&gt;="&amp;DATE(2025,10,8),payment!I2:I1436,"&lt;="&amp;DATE(2025,10,15),payment!A2:A1436,"=NF")</f>
        <v>0</v>
      </c>
      <c r="K20" s="52">
        <f t="shared" si="0"/>
        <v>0</v>
      </c>
      <c r="L20" s="52">
        <f>SUMIFS(payment!H2:H1453,payment!L2:L1453,"&gt;="&amp;DATE(2025,10,8),payment!L2:L1453,"&lt;="&amp;DATE(2025,10,15))</f>
        <v>0</v>
      </c>
      <c r="M20" s="54">
        <f t="shared" si="1"/>
        <v>3512729.05932</v>
      </c>
    </row>
    <row r="21" spans="1:13">
      <c r="B21" s="50" t="s">
        <v>1741</v>
      </c>
      <c r="C21" s="51">
        <f>SUMIFS(payment!H2:H1436,payment!I2:I1436,"&gt;="&amp;DATE(2025,10,16),payment!I2:I1436,"&lt;="&amp;DATE(2025,10,23))</f>
        <v>0</v>
      </c>
      <c r="E21" s="52">
        <f>SUMIFS(payment!H2:H1436,payment!I2:I1436,"&gt;="&amp;DATE(2025,10,16),payment!I2:I1436,"&lt;="&amp;DATE(2025,10,23),payment!A2:A1436,"=TW")</f>
        <v>0</v>
      </c>
      <c r="F21" s="52">
        <f>SUMIFS(payment!H2:H1436,payment!I2:I1436,"&gt;="&amp;DATE(2025,10,16),payment!I2:I1436,"&lt;="&amp;DATE(2025,10,23),payment!A2:A1436,"=VARNISHED")</f>
        <v>0</v>
      </c>
      <c r="G21" s="52">
        <f>SUMIFS(payment!H2:H1436,payment!I2:I1436,"&gt;="&amp;DATE(2025,10,16),payment!I2:I1436,"&lt;="&amp;DATE(2025,10,23),payment!A2:A1436,"=NBE")</f>
        <v>0</v>
      </c>
      <c r="H21" s="52">
        <f>SUMIFS(payment!H2:H1436,payment!I2:I1436,"&gt;="&amp;DATE(2025,10,16),payment!I2:I1436,"&lt;="&amp;DATE(2025,10,23),payment!A2:A1436,"=PT")</f>
        <v>0</v>
      </c>
      <c r="I21" s="52">
        <f>SUMIFS(payment!H2:H1436,payment!I2:I1436,"&gt;="&amp;DATE(2025,10,16),payment!I2:I1436,"&lt;="&amp;DATE(2025,10,23),payment!A2:A1436,"=IN")</f>
        <v>0</v>
      </c>
      <c r="J21" s="53">
        <f>SUMIFS(payment!H2:H1436,payment!I2:I1436,"&gt;="&amp;DATE(2025,10,16),payment!I2:I1436,"&lt;="&amp;DATE(2025,10,23),payment!A2:A1436,"=NF")</f>
        <v>0</v>
      </c>
      <c r="K21" s="52">
        <f t="shared" si="0"/>
        <v>0</v>
      </c>
      <c r="L21" s="52">
        <f>SUMIFS(payment!H2:H1453,payment!L2:L1453,"&gt;="&amp;DATE(2025,10,16),payment!L2:L1453,"&lt;="&amp;DATE(2025,10,23))</f>
        <v>0</v>
      </c>
      <c r="M21" s="54">
        <f t="shared" si="1"/>
        <v>3512729.05932</v>
      </c>
    </row>
    <row r="22" ht="15" customHeight="1" spans="1:13">
      <c r="B22" s="55" t="s">
        <v>1742</v>
      </c>
      <c r="C22" s="56">
        <f>SUMIFS(payment!H2:H1436,payment!I2:I1436,"&gt;="&amp;DATE(2025,10,24),payment!I2:I1436,"&lt;="&amp;DATE(2025,10,31))</f>
        <v>3580</v>
      </c>
      <c r="E22" s="57">
        <f>SUMIFS(payment!H2:H1436,payment!I2:I1436,"&gt;="&amp;DATE(2025,10,24),payment!I2:I1436,"&lt;="&amp;DATE(2025,10,31),payment!A2:A1436,"=TW")</f>
        <v>0</v>
      </c>
      <c r="F22" s="57">
        <f>SUMIFS(payment!H2:H1436,payment!I2:I1436,"&gt;="&amp;DATE(2025,10,24),payment!I2:I1436,"&lt;="&amp;DATE(2025,10,31),payment!A2:A1436,"=VARNISHED")</f>
        <v>0</v>
      </c>
      <c r="G22" s="57">
        <f>SUMIFS(payment!H2:H1436,payment!I2:I1436,"&gt;="&amp;DATE(2025,10,24),payment!I2:I1436,"&lt;="&amp;DATE(2025,10,31),payment!A2:A1436,"=NBE")</f>
        <v>0</v>
      </c>
      <c r="H22" s="57">
        <f>SUMIFS(payment!H2:H1436,payment!I2:I1436,"&gt;="&amp;DATE(2025,10,24),payment!I2:I1436,"&lt;="&amp;DATE(2025,10,31),payment!A2:A1436,"=PT")</f>
        <v>0</v>
      </c>
      <c r="I22" s="57">
        <f>SUMIFS(payment!H2:H1436,payment!I2:I1436,"&gt;="&amp;DATE(2025,10,24),payment!I2:I1436,"&lt;="&amp;DATE(2025,10,31),payment!A2:A1436,"=IN")</f>
        <v>3580</v>
      </c>
      <c r="J22" s="58">
        <f>SUMIFS(payment!H2:H1436,payment!I2:I1436,"&gt;="&amp;DATE(2025,10,24),payment!I2:I1436,"&lt;="&amp;DATE(2025,10,31),payment!A2:A1436,"=NF")</f>
        <v>0</v>
      </c>
      <c r="K22" s="57">
        <f t="shared" si="0"/>
        <v>0</v>
      </c>
      <c r="L22" s="57">
        <f>SUMIFS(payment!H2:H1453,payment!L2:L1453,"&gt;="&amp;DATE(2025,10,24),payment!L2:L1453,"&lt;="&amp;DATE(2025,10,31))</f>
        <v>0</v>
      </c>
      <c r="M22" s="59">
        <f t="shared" si="1"/>
        <v>3509149.05932</v>
      </c>
    </row>
    <row r="23" spans="1:13">
      <c r="B23" s="45" t="s">
        <v>1743</v>
      </c>
      <c r="C23" s="46">
        <f>SUMIFS(payment!H2:H1436,payment!I2:I1436,"&gt;="&amp;DATE(2025,11,1),payment!I2:I1436,"&lt;="&amp;DATE(2025,11,7))</f>
        <v>-0.00539999999455176</v>
      </c>
      <c r="E23" s="47">
        <f>SUMIFS(payment!H2:H1436,payment!I2:I1436,"&gt;="&amp;DATE(2025,11,1),payment!I2:I1436,"&lt;="&amp;DATE(2025,11,7),payment!A2:A1436,"=TW")</f>
        <v>0</v>
      </c>
      <c r="F23" s="47">
        <f>SUMIFS(payment!H2:H1436,payment!I2:I1436,"&gt;="&amp;DATE(2025,11,1),payment!I2:I1436,"&lt;="&amp;DATE(2025,11,7),payment!A2:A1436,"=VARNISHED")</f>
        <v>0.00099999998928979</v>
      </c>
      <c r="G23" s="47">
        <f>SUMIFS(payment!H2:H1436,payment!I2:I1436,"&gt;="&amp;DATE(2025,11,1),payment!I2:I1436,"&lt;="&amp;DATE(2025,11,7),payment!A2:A1436,"=NBE")</f>
        <v>-0.00399999998626299</v>
      </c>
      <c r="H23" s="47">
        <f>SUMIFS(payment!H2:H1436,payment!I2:I1436,"&gt;="&amp;DATE(2025,11,1),payment!I2:I1436,"&lt;="&amp;DATE(2025,11,7),payment!A2:A1436,"=PT")</f>
        <v>0</v>
      </c>
      <c r="I23" s="47">
        <f>SUMIFS(payment!H2:H1436,payment!I2:I1436,"&gt;="&amp;DATE(2025,11,1),payment!I2:I1436,"&lt;="&amp;DATE(2025,11,7),payment!A2:A1436,"=IN")</f>
        <v>-0.00239999999757856</v>
      </c>
      <c r="J23" s="48">
        <f>SUMIFS(payment!H2:H1436,payment!I2:I1436,"&gt;="&amp;DATE(2025,11,1),payment!I2:I1436,"&lt;="&amp;DATE(2025,11,7),payment!A2:A1436,"=NF")</f>
        <v>0</v>
      </c>
      <c r="K23" s="47">
        <f t="shared" si="0"/>
        <v>0</v>
      </c>
      <c r="L23" s="47">
        <f>SUMIFS(payment!H2:H1453,payment!L2:L1453,"&gt;="&amp;DATE(2025,11,1),payment!L2:L1453,"&lt;="&amp;DATE(2025,11,7))</f>
        <v>0</v>
      </c>
      <c r="M23" s="49">
        <f t="shared" si="1"/>
        <v>3509149.06472</v>
      </c>
    </row>
    <row r="24" spans="1:13">
      <c r="B24" s="50" t="s">
        <v>1744</v>
      </c>
      <c r="C24" s="51">
        <f>SUMIFS(payment!H2:H1436,payment!I2:I1436,"&gt;="&amp;DATE(2025,11,8),payment!I2:I1436,"&lt;="&amp;DATE(2025,11,15))</f>
        <v>0</v>
      </c>
      <c r="E24" s="52">
        <f>SUMIFS(payment!H2:H1436,payment!I2:I1436,"&gt;="&amp;DATE(2025,11,8),payment!I2:I1436,"&lt;="&amp;DATE(2025,11,15),payment!A2:A1436,"=TW")</f>
        <v>0</v>
      </c>
      <c r="F24" s="52">
        <f>SUMIFS(payment!H2:H1436,payment!I2:I1436,"&gt;="&amp;DATE(2025,11,8),payment!I2:I1436,"&lt;="&amp;DATE(2025,11,15),payment!A2:A1436,"=VARNISHED")</f>
        <v>0</v>
      </c>
      <c r="G24" s="52">
        <f>SUMIFS(payment!H2:H1436,payment!I2:I1436,"&gt;="&amp;DATE(2025,11,8),payment!I2:I1436,"&lt;="&amp;DATE(2025,11,15),payment!A2:A1436,"=NBE")</f>
        <v>0</v>
      </c>
      <c r="H24" s="52">
        <f>SUMIFS(payment!H2:H1436,payment!I2:I1436,"&gt;="&amp;DATE(2025,11,8),payment!I2:I1436,"&lt;="&amp;DATE(2025,11,15),payment!A2:A1436,"=PT")</f>
        <v>0</v>
      </c>
      <c r="I24" s="52">
        <f>SUMIFS(payment!H2:H1436,payment!I2:I1436,"&gt;="&amp;DATE(2025,11,8),payment!I2:I1436,"&lt;="&amp;DATE(2025,11,15),payment!A2:A1436,"=IN")</f>
        <v>0</v>
      </c>
      <c r="J24" s="53">
        <f>SUMIFS(payment!H2:H1436,payment!I2:I1436,"&gt;="&amp;DATE(2025,11,8),payment!I2:I1436,"&lt;="&amp;DATE(2025,11,15),payment!A2:A1436,"=NF")</f>
        <v>0</v>
      </c>
      <c r="K24" s="52">
        <f t="shared" si="0"/>
        <v>0</v>
      </c>
      <c r="L24" s="52">
        <f>SUMIFS(payment!H2:H1453,payment!L2:L1453,"&gt;="&amp;DATE(2025,11,8),payment!L2:L1453,"&lt;="&amp;DATE(2025,11,15))</f>
        <v>0</v>
      </c>
      <c r="M24" s="54">
        <f t="shared" si="1"/>
        <v>3509149.06472</v>
      </c>
    </row>
    <row r="25" spans="1:13">
      <c r="B25" s="50" t="s">
        <v>1745</v>
      </c>
      <c r="C25" s="51">
        <f>SUMIFS(payment!H2:H1436,payment!I2:I1436,"&gt;="&amp;DATE(2025,11,16),payment!I2:I1436,"&lt;="&amp;DATE(2025,11,23))</f>
        <v>0</v>
      </c>
      <c r="E25" s="52">
        <f>SUMIFS(payment!H2:H1436,payment!I2:I1436,"&gt;="&amp;DATE(2025,11,16),payment!I2:I1436,"&lt;="&amp;DATE(2025,11,23),payment!A2:A1436,"=TW")</f>
        <v>0</v>
      </c>
      <c r="F25" s="52">
        <f>SUMIFS(payment!H2:H1436,payment!I2:I1436,"&gt;="&amp;DATE(2025,11,16),payment!I2:I1436,"&lt;="&amp;DATE(2025,11,23),payment!A2:A1436,"=VARNISHED")</f>
        <v>0</v>
      </c>
      <c r="G25" s="52">
        <f>SUMIFS(payment!H2:H1436,payment!I2:I1436,"&gt;="&amp;DATE(2025,11,16),payment!I2:I1436,"&lt;="&amp;DATE(2025,11,23),payment!A2:A1436,"=NBE")</f>
        <v>0</v>
      </c>
      <c r="H25" s="52">
        <f>SUMIFS(payment!H2:H1436,payment!I2:I1436,"&gt;="&amp;DATE(2025,11,16),payment!I2:I1436,"&lt;="&amp;DATE(2025,11,23),payment!A2:A1436,"=PT")</f>
        <v>0</v>
      </c>
      <c r="I25" s="52">
        <f>SUMIFS(payment!H2:H1436,payment!I2:I1436,"&gt;="&amp;DATE(2025,11,16),payment!I2:I1436,"&lt;="&amp;DATE(2025,11,23),payment!A2:A1436,"=IN")</f>
        <v>0</v>
      </c>
      <c r="J25" s="53">
        <f>SUMIFS(payment!H2:H1436,payment!I2:I1436,"&gt;="&amp;DATE(2025,11,16),payment!I2:I1436,"&lt;="&amp;DATE(2025,11,23),payment!A2:A1436,"=NF")</f>
        <v>0</v>
      </c>
      <c r="K25" s="52">
        <f t="shared" si="0"/>
        <v>0</v>
      </c>
      <c r="L25" s="52">
        <f>SUMIFS(payment!H2:H1453,payment!L2:L1453,"&gt;="&amp;DATE(2025,11,16),payment!L2:L1453,"&lt;="&amp;DATE(2025,11,23))</f>
        <v>0</v>
      </c>
      <c r="M25" s="54">
        <f t="shared" si="1"/>
        <v>3509149.06472</v>
      </c>
    </row>
    <row r="26" ht="15" customHeight="1" spans="1:13">
      <c r="B26" s="55" t="s">
        <v>1746</v>
      </c>
      <c r="C26" s="56">
        <f>SUMIFS(payment!H2:H1436,payment!I2:I1436,"&gt;="&amp;DATE(2025,11,24),payment!I2:I1436,"&lt;="&amp;DATE(2025,11,30))</f>
        <v>0</v>
      </c>
      <c r="E26" s="57">
        <f>SUMIFS(payment!H2:H1436,payment!I2:I1436,"&gt;="&amp;DATE(2025,11,24),payment!I2:I1436,"&lt;="&amp;DATE(2025,11,30),payment!A2:A1436,"=TW")</f>
        <v>0</v>
      </c>
      <c r="F26" s="57">
        <f>SUMIFS(payment!H2:H1436,payment!I2:I1436,"&gt;="&amp;DATE(2025,11,24),payment!I2:I1436,"&lt;="&amp;DATE(2025,11,30),payment!A2:A1436,"=VARNISHED")</f>
        <v>0</v>
      </c>
      <c r="G26" s="57">
        <f>SUMIFS(payment!H2:H1436,payment!I2:I1436,"&gt;="&amp;DATE(2025,11,24),payment!I2:I1436,"&lt;="&amp;DATE(2025,11,30),payment!A2:A1436,"=NBE")</f>
        <v>0</v>
      </c>
      <c r="H26" s="57">
        <f>SUMIFS(payment!H2:H1436,payment!I2:I1436,"&gt;="&amp;DATE(2025,11,24),payment!I2:I1436,"&lt;="&amp;DATE(2025,11,30),payment!A2:A1436,"=PT")</f>
        <v>0</v>
      </c>
      <c r="I26" s="57">
        <f>SUMIFS(payment!H2:H1436,payment!I2:I1436,"&gt;="&amp;DATE(2025,11,24),payment!I2:I1436,"&lt;="&amp;DATE(2025,11,30),payment!A2:A1436,"=IN")</f>
        <v>0</v>
      </c>
      <c r="J26" s="58">
        <f>SUMIFS(payment!H2:H1436,payment!I2:I1436,"&gt;="&amp;DATE(2025,11,24),payment!I2:I1436,"&lt;="&amp;DATE(2025,11,30),payment!A2:A1436,"=NF")</f>
        <v>0</v>
      </c>
      <c r="K26" s="57">
        <f t="shared" si="0"/>
        <v>0</v>
      </c>
      <c r="L26" s="57">
        <f>SUMIFS(payment!H2:H1453,payment!L2:L1453,"&gt;="&amp;DATE(2025,11,24),payment!L2:L1453,"&lt;="&amp;DATE(2025,11,30))</f>
        <v>0</v>
      </c>
      <c r="M26" s="59">
        <f t="shared" si="1"/>
        <v>3509149.06472</v>
      </c>
    </row>
    <row r="27" spans="1:13">
      <c r="B27" s="45" t="s">
        <v>1747</v>
      </c>
      <c r="C27" s="46">
        <f>SUMIFS(payment!H2:H1436,payment!I2:I1436,"&gt;="&amp;DATE(2025,12,1),payment!I2:I1436,"&lt;="&amp;DATE(2025,12,7))</f>
        <v>0</v>
      </c>
      <c r="E27" s="47">
        <f>SUMIFS(payment!H2:H1436,payment!I2:I1436,"&gt;="&amp;DATE(2025,12,1),payment!I2:I1436,"&lt;="&amp;DATE(2025,12,7),payment!A2:A1436,"=TW")</f>
        <v>0</v>
      </c>
      <c r="F27" s="47">
        <f>SUMIFS(payment!H2:H1436,payment!I2:I1436,"&gt;="&amp;DATE(2025,12,1),payment!I2:I1436,"&lt;="&amp;DATE(2025,12,7),payment!A2:A1436,"=VARNISHED")</f>
        <v>0</v>
      </c>
      <c r="G27" s="47">
        <f>SUMIFS(payment!H2:H1436,payment!I2:I1436,"&gt;="&amp;DATE(2025,12,1),payment!I2:I1436,"&lt;="&amp;DATE(2025,12,7),payment!A2:A1436,"=NBE")</f>
        <v>0</v>
      </c>
      <c r="H27" s="47">
        <f>SUMIFS(payment!H2:H1436,payment!I2:I1436,"&gt;="&amp;DATE(2025,12,1),payment!I2:I1436,"&lt;="&amp;DATE(2025,12,7),payment!A2:A1436,"=PT")</f>
        <v>0</v>
      </c>
      <c r="I27" s="47">
        <f>SUMIFS(payment!H2:H1436,payment!I2:I1436,"&gt;="&amp;DATE(2025,12,1),payment!I2:I1436,"&lt;="&amp;DATE(2025,12,7),payment!A2:A1436,"=IN")</f>
        <v>0</v>
      </c>
      <c r="J27" s="48">
        <f>SUMIFS(payment!H2:H1436,payment!I2:I1436,"&gt;="&amp;DATE(2025,12,1),payment!I2:I1436,"&lt;="&amp;DATE(2025,12,7),payment!A2:A1436,"=NF")</f>
        <v>0</v>
      </c>
      <c r="K27" s="47">
        <f t="shared" si="0"/>
        <v>0</v>
      </c>
      <c r="L27" s="47">
        <f>SUMIFS(payment!H2:H1453,payment!L2:L1453,"&gt;="&amp;DATE(2025,12,1),payment!L2:L1453,"&lt;="&amp;DATE(2025,12,7))</f>
        <v>0</v>
      </c>
      <c r="M27" s="49">
        <f t="shared" si="1"/>
        <v>3509149.06472</v>
      </c>
    </row>
    <row r="28" spans="1:13">
      <c r="B28" s="50" t="s">
        <v>1748</v>
      </c>
      <c r="C28" s="51">
        <f>SUMIFS(payment!H2:H1436,payment!I2:I1436,"&gt;="&amp;DATE(2025,12,8),payment!I2:I1436,"&lt;="&amp;DATE(2025,12,15))</f>
        <v>0</v>
      </c>
      <c r="E28" s="52">
        <f>SUMIFS(payment!H2:H1436,payment!I2:I1436,"&gt;="&amp;DATE(2025,12,8),payment!I2:I1436,"&lt;="&amp;DATE(2025,12,15),payment!A2:A1436,"=TW")</f>
        <v>0</v>
      </c>
      <c r="F28" s="52">
        <f>SUMIFS(payment!H2:H1436,payment!I2:I1436,"&gt;="&amp;DATE(2025,12,8),payment!I2:I1436,"&lt;="&amp;DATE(2025,12,15),payment!A2:A1436,"=VARNISHED")</f>
        <v>0</v>
      </c>
      <c r="G28" s="52">
        <f>SUMIFS(payment!H2:H1436,payment!I2:I1436,"&gt;="&amp;DATE(2025,12,8),payment!I2:I1436,"&lt;="&amp;DATE(2025,12,15),payment!A2:A1436,"=NBE")</f>
        <v>0</v>
      </c>
      <c r="H28" s="52">
        <f>SUMIFS(payment!H2:H1436,payment!I2:I1436,"&gt;="&amp;DATE(2025,12,8),payment!I2:I1436,"&lt;="&amp;DATE(2025,12,15),payment!A2:A1436,"=PT")</f>
        <v>0</v>
      </c>
      <c r="I28" s="52">
        <f>SUMIFS(payment!H2:H1436,payment!I2:I1436,"&gt;="&amp;DATE(2025,12,8),payment!I2:I1436,"&lt;="&amp;DATE(2025,12,15),payment!A2:A1436,"=IN")</f>
        <v>0</v>
      </c>
      <c r="J28" s="53">
        <f>SUMIFS(payment!H2:H1436,payment!I2:I1436,"&gt;="&amp;DATE(2025,12,8),payment!I2:I1436,"&lt;="&amp;DATE(2025,12,15),payment!A2:A1436,"=NF")</f>
        <v>0</v>
      </c>
      <c r="K28" s="52">
        <f t="shared" si="0"/>
        <v>0</v>
      </c>
      <c r="L28" s="52">
        <f>SUMIFS(payment!H2:H1453,payment!L2:L1453,"&gt;="&amp;DATE(2025,12,8),payment!L2:L1453,"&lt;="&amp;DATE(2025,12,15))</f>
        <v>0</v>
      </c>
      <c r="M28" s="54">
        <f t="shared" si="1"/>
        <v>3509149.06472</v>
      </c>
    </row>
    <row r="29" spans="1:13">
      <c r="B29" s="50" t="s">
        <v>1749</v>
      </c>
      <c r="C29" s="51">
        <f>SUMIFS(payment!H2:H1436,payment!I2:I1436,"&gt;="&amp;DATE(2025,12,16),payment!I2:I1436,"&lt;="&amp;DATE(2025,12,23))</f>
        <v>0.00300000002607703</v>
      </c>
      <c r="E29" s="52">
        <f>SUMIFS(payment!H2:H1436,payment!I2:I1436,"&gt;="&amp;DATE(2025,12,16),payment!I2:I1436,"&lt;="&amp;DATE(2025,12,23),payment!A2:A1436,"=TW")</f>
        <v>0</v>
      </c>
      <c r="F29" s="52">
        <f>SUMIFS(payment!H2:H1436,payment!I2:I1436,"&gt;="&amp;DATE(2025,12,16),payment!I2:I1436,"&lt;="&amp;DATE(2025,12,23),payment!A2:A1436,"=VARNISHED")</f>
        <v>0</v>
      </c>
      <c r="G29" s="52">
        <f>SUMIFS(payment!H2:H1436,payment!I2:I1436,"&gt;="&amp;DATE(2025,12,16),payment!I2:I1436,"&lt;="&amp;DATE(2025,12,23),payment!A2:A1436,"=NBE")</f>
        <v>0</v>
      </c>
      <c r="H29" s="52">
        <f>SUMIFS(payment!H2:H1436,payment!I2:I1436,"&gt;="&amp;DATE(2025,12,16),payment!I2:I1436,"&lt;="&amp;DATE(2025,12,23),payment!A2:A1436,"=PT")</f>
        <v>0.00300000002607703</v>
      </c>
      <c r="I29" s="52">
        <f>SUMIFS(payment!H2:H1436,payment!I2:I1436,"&gt;="&amp;DATE(2025,12,16),payment!I2:I1436,"&lt;="&amp;DATE(2025,12,23),payment!A2:A1436,"=IN")</f>
        <v>0</v>
      </c>
      <c r="J29" s="53">
        <f>SUMIFS(payment!H2:H1436,payment!I2:I1436,"&gt;="&amp;DATE(2025,12,16),payment!I2:I1436,"&lt;="&amp;DATE(2025,12,23),payment!A2:A1436,"=NF")</f>
        <v>0</v>
      </c>
      <c r="K29" s="52">
        <f t="shared" si="0"/>
        <v>0</v>
      </c>
      <c r="L29" s="52">
        <f>SUMIFS(payment!H2:H1453,payment!L2:L1453,"&gt;="&amp;DATE(2025,12,16),payment!L2:L1453,"&lt;="&amp;DATE(2025,12,23))</f>
        <v>0</v>
      </c>
      <c r="M29" s="54">
        <f t="shared" si="1"/>
        <v>3509149.06172</v>
      </c>
    </row>
    <row r="30" ht="15" customHeight="1" spans="1:13">
      <c r="B30" s="55" t="s">
        <v>1750</v>
      </c>
      <c r="C30" s="56">
        <f>SUMIFS(payment!H2:H1436,payment!I2:I1436,"&gt;="&amp;DATE(2025,12,24),payment!I2:I1436,"&lt;="&amp;DATE(2025,12,31))</f>
        <v>114000</v>
      </c>
      <c r="E30" s="57">
        <f>SUMIFS(payment!H2:H1436,payment!I2:I1436,"&gt;="&amp;DATE(2025,12,24),payment!I2:I1436,"&lt;="&amp;DATE(2025,12,31),payment!A2:A1436,"=TW")</f>
        <v>4.91127138957381e-11</v>
      </c>
      <c r="F30" s="57">
        <f>SUMIFS(payment!H2:H1436,payment!I2:I1436,"&gt;="&amp;DATE(2025,12,24),payment!I2:I1436,"&lt;="&amp;DATE(2025,12,31),payment!A2:A1436,"=VARNISHED")</f>
        <v>0</v>
      </c>
      <c r="G30" s="57">
        <f>SUMIFS(payment!H2:H1436,payment!I2:I1436,"&gt;="&amp;DATE(2025,12,24),payment!I2:I1436,"&lt;="&amp;DATE(2025,12,31),payment!A2:A1436,"=NBE")</f>
        <v>0</v>
      </c>
      <c r="H30" s="57">
        <f>SUMIFS(payment!H2:H1436,payment!I2:I1436,"&gt;="&amp;DATE(2025,12,24),payment!I2:I1436,"&lt;="&amp;DATE(2025,12,31),payment!A2:A1436,"=PT")</f>
        <v>114000</v>
      </c>
      <c r="I30" s="57">
        <f>SUMIFS(payment!H2:H1436,payment!I2:I1436,"&gt;="&amp;DATE(2025,12,24),payment!I2:I1436,"&lt;="&amp;DATE(2025,12,31),payment!A2:A1436,"=IN")</f>
        <v>0</v>
      </c>
      <c r="J30" s="58">
        <f>SUMIFS(payment!H2:H1436,payment!I2:I1436,"&gt;="&amp;DATE(2025,12,24),payment!I2:I1436,"&lt;="&amp;DATE(2025,12,31),payment!A2:A1436,"=NF")</f>
        <v>0</v>
      </c>
      <c r="K30" s="57">
        <f t="shared" si="0"/>
        <v>0</v>
      </c>
      <c r="L30" s="57">
        <f>SUMIFS(payment!H2:H1453,payment!L2:L1453,"&gt;="&amp;DATE(2025,12,24),payment!L2:L1453,"&lt;="&amp;DATE(2025,12,31))</f>
        <v>0</v>
      </c>
      <c r="M30" s="59">
        <f t="shared" si="1"/>
        <v>3395149.06172</v>
      </c>
    </row>
    <row r="31" ht="15" customHeight="1" spans="1:13">
      <c r="A31">
        <v>2026</v>
      </c>
      <c r="B31" s="60" t="s">
        <v>1751</v>
      </c>
      <c r="C31" s="61">
        <f>SUMIFS(payment!H2:H1436,payment!I2:I1436,"&gt;="&amp;DATE(2026,1,1),payment!I2:I1436,"&lt;="&amp;DATE(2026,1,7))</f>
        <v>0</v>
      </c>
      <c r="D31" s="62"/>
      <c r="E31" s="63">
        <f>SUMIFS(payment!H2:H1436,payment!I2:I1436,"&gt;="&amp;DATE(2026,1,1),payment!I2:I1436,"&lt;="&amp;DATE(2026,1,7),payment!A2:A1436,"=TW")</f>
        <v>0</v>
      </c>
      <c r="F31" s="47">
        <f>SUMIFS(payment!H2:H1436,payment!I2:I1436,"&gt;="&amp;DATE(2026,1,1),payment!I2:I1436,"&lt;="&amp;DATE(2026,1,7),payment!A2:A1436,"=VARNISHED")</f>
        <v>0</v>
      </c>
      <c r="G31" s="47">
        <f>SUMIFS(payment!H2:H1436,payment!I2:I1436,"&gt;="&amp;DATE(2026,1,1),payment!I2:I1436,"&lt;="&amp;DATE(2026,1,7),payment!A2:A1436,"=NBE")</f>
        <v>0</v>
      </c>
      <c r="H31" s="63">
        <f>SUMIFS(payment!H2:H1436,payment!I2:I1436,"&gt;="&amp;DATE(2026,1,1),payment!I2:I1436,"&lt;="&amp;DATE(2026,1,7),payment!A2:A1436,"=PT")</f>
        <v>0</v>
      </c>
      <c r="I31" s="47">
        <f>SUMIFS(payment!H2:H1436,payment!I2:I1436,"&gt;="&amp;DATE(2026,1,1),payment!I2:I1436,"&lt;="&amp;DATE(2026,1,7),payment!A2:A1436,"=IN")</f>
        <v>0</v>
      </c>
      <c r="J31" s="47">
        <f>SUMIFS(payment!H2:H1436,payment!I2:I1436,"&gt;="&amp;DATE(2026,1,1),payment!I2:I1436,"&lt;="&amp;DATE(2026,1,7),payment!A2:A1436,"=NF")</f>
        <v>0</v>
      </c>
      <c r="K31" s="47">
        <f t="shared" si="0"/>
        <v>0</v>
      </c>
      <c r="L31" s="47">
        <f>SUMIFS(payment!H2:H1453,payment!L2:L1453,"&gt;="&amp;DATE(2026,1,1),payment!L2:L1453,"&lt;="&amp;DATE(2026,1,7))</f>
        <v>0</v>
      </c>
      <c r="M31" s="64">
        <f t="shared" si="1"/>
        <v>3395149.06172</v>
      </c>
    </row>
    <row r="32" ht="15" customHeight="1" spans="1:13">
      <c r="B32" s="65" t="s">
        <v>1752</v>
      </c>
      <c r="C32" s="66">
        <f>SUMIFS(payment!H2:H1436,payment!I2:I1436,"&gt;="&amp;DATE(2026,1,8),payment!I2:I1436,"&lt;="&amp;DATE(2026,1,15))</f>
        <v>-0.00399999998626299</v>
      </c>
      <c r="D32" s="62"/>
      <c r="E32" s="67">
        <f>SUMIFS(payment!H2:H1436,payment!I2:I1436,"&gt;="&amp;DATE(2026,1,8),payment!I2:I1436,"&lt;="&amp;DATE(2026,1,15),payment!A2:A1436,"=TW")</f>
        <v>0</v>
      </c>
      <c r="F32" s="52">
        <f>SUMIFS(payment!H2:H1436,payment!I2:I1436,"&gt;="&amp;DATE(2026,1,8),payment!I2:I1436,"&lt;="&amp;DATE(2026,1,15),payment!A2:A1436,"=VARNISHED")</f>
        <v>0</v>
      </c>
      <c r="G32" s="52">
        <f>SUMIFS(payment!H2:H1436,payment!I2:I1436,"&gt;="&amp;DATE(2026,1,8),payment!I2:I1436,"&lt;="&amp;DATE(2026,1,15),payment!A2:A1436,"=NBE")</f>
        <v>0</v>
      </c>
      <c r="H32" s="67">
        <f>SUMIFS(payment!H2:H1436,payment!I2:I1436,"&gt;="&amp;DATE(2026,1,8),payment!I2:I1436,"&lt;="&amp;DATE(2026,1,15),payment!A2:A1436,"=PT")</f>
        <v>-0.00399999998626299</v>
      </c>
      <c r="I32" s="52">
        <f>SUMIFS(payment!H2:H1436,payment!I2:I1436,"&gt;="&amp;DATE(2026,1,8),payment!I2:I1436,"&lt;="&amp;DATE(2026,1,15),payment!A2:A1436,"=IN")</f>
        <v>0</v>
      </c>
      <c r="J32" s="52">
        <f>SUMIFS(payment!H2:H1436,payment!I2:I1436,"&gt;="&amp;DATE(2026,1,8),payment!I2:I1436,"&lt;="&amp;DATE(2026,1,15),payment!A2:A1436,"=NF")</f>
        <v>0</v>
      </c>
      <c r="K32" s="52">
        <f t="shared" si="0"/>
        <v>0</v>
      </c>
      <c r="L32" s="52">
        <f>SUMIFS(payment!H2:H1453,payment!L2:L1453,"&gt;="&amp;DATE(2026,1,8),payment!L2:L1453,"&lt;="&amp;DATE(2026,1,15))</f>
        <v>0</v>
      </c>
      <c r="M32" s="68">
        <f t="shared" si="1"/>
        <v>3395149.06572</v>
      </c>
    </row>
    <row r="33" ht="15" customHeight="1" spans="2:13">
      <c r="B33" s="65" t="s">
        <v>1753</v>
      </c>
      <c r="C33" s="66">
        <f>SUMIFS(payment!H2:H1436,payment!I2:I1436,"&gt;="&amp;DATE(2026,1,16),payment!I2:I1436,"&lt;="&amp;DATE(2026,1,23))</f>
        <v>1.12777343019843e-10</v>
      </c>
      <c r="D33" s="62"/>
      <c r="E33" s="67">
        <f>SUMIFS(payment!H2:H1436,payment!I2:I1436,"&gt;="&amp;DATE(2026,1,16),payment!I2:I1436,"&lt;="&amp;DATE(2026,1,23),payment!A2:A1436,"=TW")</f>
        <v>1.12777343019843e-10</v>
      </c>
      <c r="F33" s="52">
        <f>SUMIFS(payment!H2:H1436,payment!I2:I1436,"&gt;="&amp;DATE(2026,1,16),payment!I2:I1436,"&lt;="&amp;DATE(2026,1,23),payment!A2:A1436,"=VARNISHED")</f>
        <v>0</v>
      </c>
      <c r="G33" s="52">
        <f>SUMIFS(payment!H2:H1436,payment!I2:I1436,"&gt;="&amp;DATE(2026,1,16),payment!I2:I1436,"&lt;="&amp;DATE(2026,1,23),payment!A2:A1436,"=NBE")</f>
        <v>0</v>
      </c>
      <c r="H33" s="67">
        <f>SUMIFS(payment!H2:H1436,payment!I2:I1436,"&gt;="&amp;DATE(2026,1,16),payment!I2:I1436,"&lt;="&amp;DATE(2026,1,23),payment!A2:A1436,"=PT")</f>
        <v>0</v>
      </c>
      <c r="I33" s="52">
        <f>SUMIFS(payment!H2:H1436,payment!I2:I1436,"&gt;="&amp;DATE(2026,1,16),payment!I2:I1436,"&lt;="&amp;DATE(2026,1,23),payment!A2:A1436,"=IN")</f>
        <v>0</v>
      </c>
      <c r="J33" s="52">
        <f>SUMIFS(payment!H2:H1436,payment!I2:I1436,"&gt;="&amp;DATE(2026,1,16),payment!I2:I1436,"&lt;="&amp;DATE(2026,1,23),payment!A2:A1436,"=NF")</f>
        <v>0</v>
      </c>
      <c r="K33" s="52">
        <f t="shared" si="0"/>
        <v>0</v>
      </c>
      <c r="L33" s="52">
        <f>SUMIFS(payment!H2:H1453,payment!L2:L1453,"&gt;="&amp;DATE(2026,1,16),payment!L2:L1453,"&lt;="&amp;DATE(2026,1,23))</f>
        <v>114000</v>
      </c>
      <c r="M33" s="68">
        <f t="shared" si="1"/>
        <v>3509149.06572</v>
      </c>
    </row>
    <row r="34" ht="15" customHeight="1" spans="2:13">
      <c r="B34" s="69" t="s">
        <v>1754</v>
      </c>
      <c r="C34" s="70">
        <f>SUMIFS(payment!H2:H1436,payment!I2:I1436,"&gt;="&amp;DATE(2026,1,24),payment!I2:I1436,"&lt;="&amp;DATE(2026,1,31))</f>
        <v>-0.00240000001213048</v>
      </c>
      <c r="D34" s="62"/>
      <c r="E34" s="71">
        <f>SUMIFS(payment!H2:H1436,payment!I2:I1436,"&gt;="&amp;DATE(2026,1,24),payment!I2:I1436,"&lt;="&amp;DATE(2026,1,31),payment!A2:A1436,"=TW")</f>
        <v>-0.00240000001213048</v>
      </c>
      <c r="F34" s="57">
        <f>SUMIFS(payment!H2:H1436,payment!I2:I1436,"&gt;="&amp;DATE(2026,1,24),payment!I2:I1436,"&lt;="&amp;DATE(2026,1,31),payment!A2:A1436,"=VARNISHED")</f>
        <v>0</v>
      </c>
      <c r="G34" s="57">
        <f>SUMIFS(payment!H2:H1436,payment!I2:I1436,"&gt;="&amp;DATE(2026,1,24),payment!I2:I1436,"&lt;="&amp;DATE(2026,1,31),payment!A2:A1436,"=NBE")</f>
        <v>0</v>
      </c>
      <c r="H34" s="71">
        <f>SUMIFS(payment!H2:H1436,payment!I2:I1436,"&gt;="&amp;DATE(2026,1,24),payment!I2:I1436,"&lt;="&amp;DATE(2026,1,31),payment!A2:A1436,"=PT")</f>
        <v>0</v>
      </c>
      <c r="I34" s="57">
        <f>SUMIFS(payment!H2:H1436,payment!I2:I1436,"&gt;="&amp;DATE(2026,1,24),payment!I2:I1436,"&lt;="&amp;DATE(2026,1,31),payment!A2:A1436,"=IN")</f>
        <v>0</v>
      </c>
      <c r="J34" s="57">
        <f>SUMIFS(payment!H2:H1436,payment!I2:I1436,"&gt;="&amp;DATE(2026,1,24),payment!I2:I1436,"&lt;="&amp;DATE(2026,1,31),payment!A2:A1436,"=NF")</f>
        <v>0</v>
      </c>
      <c r="K34" s="57">
        <f t="shared" si="0"/>
        <v>0</v>
      </c>
      <c r="L34" s="57">
        <f>SUMIFS(payment!H2:H1453,payment!L2:L1453,"&gt;="&amp;DATE(2026,1,24),payment!L2:L1453,"&lt;="&amp;DATE(2026,1,31))</f>
        <v>0</v>
      </c>
      <c r="M34" s="57">
        <f t="shared" si="1"/>
        <v>3509149.06812</v>
      </c>
    </row>
    <row r="35" ht="15" customHeight="1" spans="2:13">
      <c r="B35" s="60" t="s">
        <v>1755</v>
      </c>
      <c r="C35" s="61">
        <f>SUMIFS(payment!H6:H1440,payment!I6:I1440,"&gt;="&amp;DATE(2026,2,1),payment!I6:I1440,"&lt;="&amp;DATE(2026,2,7))</f>
        <v>4.49999934062362e-5</v>
      </c>
      <c r="E35" s="63">
        <f>SUMIFS(payment!H6:H1440,payment!I6:I1440,"&gt;="&amp;DATE(2026,2,1),payment!I6:I1440,"&lt;="&amp;DATE(2026,2,7),payment!A6:A1440,"=TW")</f>
        <v>4.49999934062362e-5</v>
      </c>
      <c r="F35" s="47">
        <f>SUMIFS(payment!H6:H1440,payment!I6:I1440,"&gt;="&amp;DATE(2026,2,1),payment!I6:I1440,"&lt;="&amp;DATE(2026,2,7),payment!A6:A1440,"=VARNISHED")</f>
        <v>0</v>
      </c>
      <c r="G35" s="47">
        <f>SUMIFS(payment!H6:H1440,payment!I6:I1440,"&gt;="&amp;DATE(2026,2,1),payment!I6:I1440,"&lt;="&amp;DATE(2026,2,7),payment!A6:A1440,"=NBE")</f>
        <v>0</v>
      </c>
      <c r="H35" s="63">
        <f>SUMIFS(payment!H6:H1440,payment!I6:I1440,"&gt;="&amp;DATE(2026,2,1),payment!I6:I1440,"&lt;="&amp;DATE(2026,2,7),payment!A6:A1440,"=PT")</f>
        <v>0</v>
      </c>
      <c r="I35" s="47">
        <f>SUMIFS(payment!H6:H1440,payment!I6:I1440,"&gt;="&amp;DATE(2026,2,1),payment!I6:I1440,"&lt;="&amp;DATE(2026,2,7),payment!A6:A1440,"=IN")</f>
        <v>0</v>
      </c>
      <c r="J35" s="47">
        <f>SUMIFS(payment!I6:I1440,payment!J6:J1440,"&gt;="&amp;DATE(2026,2,1),payment!J6:J1440,"&lt;="&amp;DATE(2026,2,7),payment!B6:B1440,"=NF")</f>
        <v>0</v>
      </c>
      <c r="K35" s="47">
        <f t="shared" si="0"/>
        <v>0</v>
      </c>
      <c r="L35" s="47">
        <f>SUMIFS(payment!H6:H1457,payment!L6:L1457,"&gt;="&amp;DATE(2026,2,1),payment!L6:L1457,"&lt;="&amp;DATE(2026,2,7))</f>
        <v>0</v>
      </c>
      <c r="M35" s="64">
        <f t="shared" si="1"/>
        <v>3509149.068075</v>
      </c>
    </row>
    <row r="36" ht="15" customHeight="1" spans="2:13">
      <c r="B36" s="65" t="s">
        <v>1756</v>
      </c>
      <c r="C36" s="66">
        <f>SUMIFS(payment!H6:H1440,payment!I6:I1440,"&gt;="&amp;DATE(2026,2,8),payment!I6:I1440,"&lt;="&amp;DATE(2026,2,15))</f>
        <v>-0.00150000001303852</v>
      </c>
      <c r="E36" s="67">
        <f>SUMIFS(payment!H6:H1440,payment!I6:I1440,"&gt;="&amp;DATE(2026,2,8),payment!I6:I1440,"&lt;="&amp;DATE(2026,2,15),payment!A6:A1440,"=TW")</f>
        <v>0</v>
      </c>
      <c r="F36" s="52">
        <f>SUMIFS(payment!H6:H1440,payment!I6:I1440,"&gt;="&amp;DATE(2026,2,8),payment!I6:I1440,"&lt;="&amp;DATE(2026,2,15),payment!A6:A1440,"=VARNISHED")</f>
        <v>0</v>
      </c>
      <c r="G36" s="52">
        <f>SUMIFS(payment!H6:H1440,payment!I6:I1440,"&gt;="&amp;DATE(2026,2,8),payment!I6:I1440,"&lt;="&amp;DATE(2026,2,15),payment!A6:A1440,"=NBE")</f>
        <v>0</v>
      </c>
      <c r="H36" s="67">
        <f>SUMIFS(payment!H6:H1440,payment!I6:I1440,"&gt;="&amp;DATE(2026,2,8),payment!I6:I1440,"&lt;="&amp;DATE(2026,2,15),payment!A6:A1440,"=PT")</f>
        <v>-0.00150000001303852</v>
      </c>
      <c r="I36" s="52">
        <f>SUMIFS(payment!H6:H1440,payment!I6:I1440,"&gt;="&amp;DATE(2026,2,8),payment!I6:I1440,"&lt;="&amp;DATE(2026,2,15),payment!A6:A1440,"=IN")</f>
        <v>0</v>
      </c>
      <c r="J36" s="52">
        <f>SUMIFS(payment!I6:I1440,payment!J6:J1440,"&gt;="&amp;DATE(2026,2,8),payment!J6:J1440,"&lt;="&amp;DATE(2026,2,15),payment!B6:B1440,"=NF")</f>
        <v>0</v>
      </c>
      <c r="K36" s="52">
        <f t="shared" si="0"/>
        <v>0</v>
      </c>
      <c r="L36" s="52">
        <f>SUMIFS(payment!H6:H1457,payment!L6:L1457,"&gt;="&amp;DATE(2026,2,8),payment!L6:L1457,"&lt;="&amp;DATE(2026,2,15))</f>
        <v>0</v>
      </c>
      <c r="M36" s="68">
        <f t="shared" si="1"/>
        <v>3509149.069575</v>
      </c>
    </row>
    <row r="37" ht="15" customHeight="1" spans="2:13">
      <c r="B37" s="65" t="s">
        <v>1757</v>
      </c>
      <c r="C37" s="66">
        <f>SUMIFS(payment!H6:H1440,payment!I6:I1440,"&gt;="&amp;DATE(2026,2,16),payment!I6:I1440,"&lt;="&amp;DATE(2026,2,23))</f>
        <v>0.00360000040382147</v>
      </c>
      <c r="E37" s="67">
        <f>SUMIFS(payment!H6:H1440,payment!I6:I1440,"&gt;="&amp;DATE(2026,2,16),payment!I6:I1440,"&lt;="&amp;DATE(2026,2,23),payment!A6:A1440,"=TW")</f>
        <v>0</v>
      </c>
      <c r="F37" s="52">
        <f>SUMIFS(payment!H6:H1440,payment!I6:I1440,"&gt;="&amp;DATE(2026,2,16),payment!I6:I1440,"&lt;="&amp;DATE(2026,2,23),payment!A6:A1440,"=VARNISHED")</f>
        <v>0</v>
      </c>
      <c r="G37" s="52">
        <f>SUMIFS(payment!H6:H1440,payment!I6:I1440,"&gt;="&amp;DATE(2026,2,16),payment!I6:I1440,"&lt;="&amp;DATE(2026,2,23),payment!A6:A1440,"=NBE")</f>
        <v>0</v>
      </c>
      <c r="H37" s="67">
        <f>SUMIFS(payment!H6:H1440,payment!I6:I1440,"&gt;="&amp;DATE(2026,2,16),payment!I6:I1440,"&lt;="&amp;DATE(2026,2,23),payment!A6:A1440,"=PT")</f>
        <v>0.00360000040382147</v>
      </c>
      <c r="I37" s="52">
        <f>SUMIFS(payment!H6:H1440,payment!I6:I1440,"&gt;="&amp;DATE(2026,2,16),payment!I6:I1440,"&lt;="&amp;DATE(2026,2,23),payment!A6:A1440,"=IN")</f>
        <v>0</v>
      </c>
      <c r="J37" s="52">
        <f>SUMIFS(payment!I6:I1440,payment!J6:J1440,"&gt;="&amp;DATE(2026,2,16),payment!J6:J1440,"&lt;="&amp;DATE(2026,2,23),payment!B6:B1440,"=NF")</f>
        <v>0</v>
      </c>
      <c r="K37" s="52">
        <f t="shared" si="0"/>
        <v>0</v>
      </c>
      <c r="L37" s="52">
        <f>SUMIFS(payment!H6:H1457,payment!L6:L1457,"&gt;="&amp;DATE(2026,2,16),payment!L6:L1457,"&lt;="&amp;DATE(2026,2,23))</f>
        <v>0</v>
      </c>
      <c r="M37" s="68">
        <f t="shared" si="1"/>
        <v>3509149.065975</v>
      </c>
    </row>
    <row r="38" ht="15" customHeight="1" spans="2:13">
      <c r="B38" s="69" t="s">
        <v>1758</v>
      </c>
      <c r="C38" s="70">
        <f>SUMIFS(payment!H6:H1440,payment!I6:I1440,"&gt;="&amp;DATE(2026,2,24),payment!I6:I1440,"&lt;="&amp;DATE(2026,2,31))</f>
        <v>-0.00399999998626299</v>
      </c>
      <c r="E38" s="71">
        <f>SUMIFS(payment!H6:H1440,payment!I6:I1440,"&gt;="&amp;DATE(2026,2,24),payment!I6:I1440,"&lt;="&amp;DATE(2026,2,28),payment!A6:A1440,"=TW")</f>
        <v>0</v>
      </c>
      <c r="F38" s="57">
        <f>SUMIFS(payment!H6:H1440,payment!I6:I1440,"&gt;="&amp;DATE(2026,2,24),payment!I6:I1440,"&lt;="&amp;DATE(2026,2,28),payment!A6:A1440,"=VARNISHED")</f>
        <v>0</v>
      </c>
      <c r="G38" s="57">
        <f>SUMIFS(payment!H6:H1440,payment!I6:I1440,"&gt;="&amp;DATE(2026,2,24),payment!I6:I1440,"&lt;="&amp;DATE(2026,2,28),payment!A6:A1440,"=NBE")</f>
        <v>0</v>
      </c>
      <c r="H38" s="71">
        <f>SUMIFS(payment!H6:H1440,payment!I6:I1440,"&gt;="&amp;DATE(2026,2,24),payment!I6:I1440,"&lt;="&amp;DATE(2026,2,28),payment!A6:A1440,"=PT")</f>
        <v>0</v>
      </c>
      <c r="I38" s="57">
        <f>SUMIFS(payment!H6:H1440,payment!I6:I1440,"&gt;="&amp;DATE(2026,2,24),payment!I6:I1440,"&lt;="&amp;DATE(2026,2,28),payment!A6:A1440,"=IN")</f>
        <v>0</v>
      </c>
      <c r="J38" s="57">
        <f>SUMIFS(payment!I6:I1440,payment!J6:J1440,"&gt;="&amp;DATE(2026,2,24),payment!J6:J1440,"&lt;="&amp;DATE(2026,2,28),payment!B6:B1440,"=NF")</f>
        <v>0</v>
      </c>
      <c r="K38" s="57">
        <f t="shared" si="0"/>
        <v>0</v>
      </c>
      <c r="L38" s="57">
        <f>SUMIFS(payment!H6:H1457,payment!L6:L1457,"&gt;="&amp;DATE(2026,2,24),payment!L6:L1457,"&lt;="&amp;DATE(2026,2,28))</f>
        <v>-0.00099999996018596</v>
      </c>
      <c r="M38" s="57">
        <f t="shared" si="1"/>
        <v>3509149.068975</v>
      </c>
    </row>
    <row r="39" ht="15" customHeight="1" spans="2:13">
      <c r="B39" s="60" t="s">
        <v>1759</v>
      </c>
      <c r="C39" s="61">
        <f>SUMIFS(payment!H10:H1444,payment!I10:I1444,"&gt;="&amp;DATE(2026,3,1),payment!I10:I1444,"&lt;="&amp;DATE(2026,3,7))</f>
        <v>-0.00399999998626299</v>
      </c>
      <c r="E39" s="63">
        <f>SUMIFS(payment!H10:H1444,payment!I10:I1444,"&gt;="&amp;DATE(2026,3,1),payment!I10:I1444,"&lt;="&amp;DATE(2026,3,7),payment!A10:A1444,"=TW")</f>
        <v>0</v>
      </c>
      <c r="F39" s="47">
        <f>SUMIFS(payment!H10:H1444,payment!I10:I1444,"&gt;="&amp;DATE(2026,3,1),payment!I10:I1444,"&lt;="&amp;DATE(2026,3,7),payment!A10:A1444,"=VARNISHED")</f>
        <v>0</v>
      </c>
      <c r="G39" s="47">
        <f>SUMIFS(payment!H10:H1444,payment!I10:I1444,"&gt;="&amp;DATE(2026,3,1),payment!I10:I1444,"&lt;="&amp;DATE(2026,3,7),payment!A10:A1444,"=NBE")</f>
        <v>-0.00399999998626299</v>
      </c>
      <c r="H39" s="63">
        <f>SUMIFS(payment!H10:H1444,payment!I10:I1444,"&gt;="&amp;DATE(2026,3,1),payment!I10:I1444,"&lt;="&amp;DATE(2026,3,7),payment!A10:A1444,"=PT")</f>
        <v>0</v>
      </c>
      <c r="I39" s="47">
        <f>SUMIFS(payment!H10:H1444,payment!I10:I1444,"&gt;="&amp;DATE(2026,3,1),payment!I10:I1444,"&lt;="&amp;DATE(2026,3,7),payment!A10:A1444,"=IN")</f>
        <v>0</v>
      </c>
      <c r="J39" s="47">
        <f>SUMIFS(payment!I10:I1444,payment!J10:J1444,"&gt;="&amp;DATE(2026,3,1),payment!J10:J1444,"&lt;="&amp;DATE(2026,3,7),payment!B10:B1444,"=NF")</f>
        <v>0</v>
      </c>
      <c r="K39" s="47">
        <f t="shared" si="0"/>
        <v>0</v>
      </c>
      <c r="L39" s="47">
        <f>SUMIFS(payment!H10:H1461,payment!L10:L1461,"&gt;="&amp;DATE(2026,3,1),payment!L10:L1461,"&lt;="&amp;DATE(2026,2,7))</f>
        <v>0</v>
      </c>
      <c r="M39" s="64">
        <f t="shared" si="1"/>
        <v>3509149.072975</v>
      </c>
    </row>
    <row r="40" ht="15" customHeight="1" spans="2:13">
      <c r="B40" s="65" t="s">
        <v>1760</v>
      </c>
      <c r="C40" s="66">
        <f>SUMIFS(payment!H10:H1444,payment!I10:I1444,"&gt;="&amp;DATE(2026,3,8),payment!I10:I1444,"&lt;="&amp;DATE(2026,3,15))</f>
        <v>-0.00907500000903383</v>
      </c>
      <c r="E40" s="67">
        <f>SUMIFS(payment!H10:H1444,payment!I10:I1444,"&gt;="&amp;DATE(2026,3,8),payment!I10:I1444,"&lt;="&amp;DATE(2026,3,15),payment!A10:A1444,"=TW")</f>
        <v>0</v>
      </c>
      <c r="F40" s="52">
        <f>SUMIFS(payment!H10:H1444,payment!I10:I1444,"&gt;="&amp;DATE(2026,3,8),payment!I10:I1444,"&lt;="&amp;DATE(2026,3,15),payment!A10:A1444,"=VARNISHED")</f>
        <v>0</v>
      </c>
      <c r="G40" s="52">
        <f>SUMIFS(payment!H10:H1444,payment!I10:I1444,"&gt;="&amp;DATE(2026,3,8),payment!I10:I1444,"&lt;="&amp;DATE(2026,3,15),payment!A10:A1444,"=NBE")</f>
        <v>0</v>
      </c>
      <c r="H40" s="67">
        <f>SUMIFS(payment!H10:H1444,payment!I10:I1444,"&gt;="&amp;DATE(2026,3,8),payment!I10:I1444,"&lt;="&amp;DATE(2026,3,15),payment!A10:A1444,"=PT")</f>
        <v>-0.00907500000903383</v>
      </c>
      <c r="I40" s="52">
        <f>SUMIFS(payment!H10:H1444,payment!I10:I1444,"&gt;="&amp;DATE(2026,3,8),payment!I10:I1444,"&lt;="&amp;DATE(2026,3,15),payment!A10:A1444,"=IN")</f>
        <v>0</v>
      </c>
      <c r="J40" s="52">
        <f>SUMIFS(payment!I10:I1444,payment!J10:J1444,"&gt;="&amp;DATE(2026,3,8),payment!J10:J1444,"&lt;="&amp;DATE(2026,3,15),payment!B10:B1444,"=NF")</f>
        <v>0</v>
      </c>
      <c r="K40" s="52">
        <f t="shared" si="0"/>
        <v>0</v>
      </c>
      <c r="L40" s="52">
        <f>SUMIFS(payment!H10:H1461,payment!L10:L1461,"&gt;="&amp;DATE(2026,3,8),payment!L10:L1461,"&lt;="&amp;DATE(2026,3,15))</f>
        <v>0</v>
      </c>
      <c r="M40" s="68">
        <f t="shared" si="1"/>
        <v>3509149.08205</v>
      </c>
    </row>
    <row r="41" ht="15" customHeight="1" spans="2:13">
      <c r="B41" s="65" t="s">
        <v>1761</v>
      </c>
      <c r="C41" s="66">
        <f>SUMIFS(payment!H10:H1444,payment!I10:I1444,"&gt;="&amp;DATE(2026,3,16),payment!I10:I1444,"&lt;="&amp;DATE(2026,3,23))</f>
        <v>0</v>
      </c>
      <c r="E41" s="67">
        <f>SUMIFS(payment!H10:H1444,payment!I10:I1444,"&gt;="&amp;DATE(2026,3,16),payment!I10:I1444,"&lt;="&amp;DATE(2026,3,23),payment!A10:A1444,"=TW")</f>
        <v>0</v>
      </c>
      <c r="F41" s="52">
        <f>SUMIFS(payment!H10:H1444,payment!I10:I1444,"&gt;="&amp;DATE(2026,3,16),payment!I10:I1444,"&lt;="&amp;DATE(2026,3,23),payment!A10:A1444,"=VARNISHED")</f>
        <v>0</v>
      </c>
      <c r="G41" s="52">
        <f>SUMIFS(payment!H10:H1444,payment!I10:I1444,"&gt;="&amp;DATE(2026,3,16),payment!I10:I1444,"&lt;="&amp;DATE(2026,3,23),payment!A10:A1444,"=NBE")</f>
        <v>0</v>
      </c>
      <c r="H41" s="67">
        <f>SUMIFS(payment!H10:H1444,payment!I10:I1444,"&gt;="&amp;DATE(2026,3,16),payment!I10:I1444,"&lt;="&amp;DATE(2026,3,23),payment!A10:A1444,"=PT")</f>
        <v>0</v>
      </c>
      <c r="I41" s="52">
        <f>SUMIFS(payment!H10:H1444,payment!I10:I1444,"&gt;="&amp;DATE(2026,3,16),payment!I10:I1444,"&lt;="&amp;DATE(2026,3,23),payment!A10:A1444,"=IN")</f>
        <v>0</v>
      </c>
      <c r="J41" s="52">
        <f>SUMIFS(payment!I10:I1444,payment!J10:J1444,"&gt;="&amp;DATE(2026,3,16),payment!J10:J1444,"&lt;="&amp;DATE(2026,3,23),payment!B10:B1444,"=NF")</f>
        <v>0</v>
      </c>
      <c r="K41" s="52">
        <f t="shared" si="0"/>
        <v>0</v>
      </c>
      <c r="L41" s="52">
        <f>SUMIFS(payment!H10:H1461,payment!L10:L1461,"&gt;="&amp;DATE(2026,3,16),payment!L10:L1461,"&lt;="&amp;DATE(2026,3,23))</f>
        <v>0</v>
      </c>
      <c r="M41" s="68">
        <f t="shared" si="1"/>
        <v>3509149.08205</v>
      </c>
    </row>
    <row r="42" ht="15" customHeight="1" spans="2:13">
      <c r="B42" s="69" t="s">
        <v>1762</v>
      </c>
      <c r="C42" s="70">
        <f>SUMIFS(payment!H10:H1444,payment!I10:I1444,"&gt;="&amp;DATE(2026,3,24),payment!I10:I1444,"&lt;="&amp;DATE(2026,3,31))</f>
        <v>0</v>
      </c>
      <c r="E42" s="71">
        <f>SUMIFS(payment!H10:H1444,payment!I10:I1444,"&gt;="&amp;DATE(2026,3,24),payment!I10:I1444,"&lt;="&amp;DATE(2026,3,31),payment!A10:A1444,"=TW")</f>
        <v>0</v>
      </c>
      <c r="F42" s="57">
        <f>SUMIFS(payment!H10:H1444,payment!I10:I1444,"&gt;="&amp;DATE(2026,3,24),payment!I10:I1444,"&lt;="&amp;DATE(2026,3,31),payment!A10:A1444,"=VARNISHED")</f>
        <v>0</v>
      </c>
      <c r="G42" s="57">
        <f>SUMIFS(payment!H10:H1444,payment!I10:I1444,"&gt;="&amp;DATE(2026,3,24),payment!I10:I1444,"&lt;="&amp;DATE(2026,3,31),payment!A10:A1444,"=NBE")</f>
        <v>0</v>
      </c>
      <c r="H42" s="71">
        <f>SUMIFS(payment!H10:H1444,payment!I10:I1444,"&gt;="&amp;DATE(2026,3,24),payment!I10:I1444,"&lt;="&amp;DATE(2026,3,31),payment!A10:A1444,"=PT")</f>
        <v>0</v>
      </c>
      <c r="I42" s="57">
        <f>SUMIFS(payment!H10:H1444,payment!I10:I1444,"&gt;="&amp;DATE(2026,3,24),payment!I10:I1444,"&lt;="&amp;DATE(2026,3,31),payment!A10:A1444,"=IN")</f>
        <v>0</v>
      </c>
      <c r="J42" s="57">
        <f>SUMIFS(payment!I10:I1444,payment!J10:J1444,"&gt;="&amp;DATE(2026,3,24),payment!J10:J1444,"&lt;="&amp;DATE(2026,3,31),payment!B10:B1444,"=NF")</f>
        <v>0</v>
      </c>
      <c r="K42" s="57">
        <f t="shared" si="0"/>
        <v>0</v>
      </c>
      <c r="L42" s="57">
        <f>SUMIFS(payment!H10:H1461,payment!L10:L1461,"&gt;="&amp;DATE(2026,3,24),payment!L10:L1461,"&lt;="&amp;DATE(2026,3,31))</f>
        <v>-0.00150000001303852</v>
      </c>
      <c r="M42" s="57">
        <f t="shared" si="1"/>
        <v>3509149.08055</v>
      </c>
    </row>
    <row r="43" ht="15" customHeight="1" spans="2:13">
      <c r="B43" s="60" t="s">
        <v>1763</v>
      </c>
      <c r="C43" s="61">
        <f>SUMIFS(payment!H14:H1448,payment!I14:I1448,"&gt;="&amp;DATE(2026,4,1),payment!I14:I1448,"&lt;="&amp;DATE(2026,4,7))</f>
        <v>0.307999999989988</v>
      </c>
      <c r="E43" s="63">
        <f>SUMIFS(payment!H14:H1448,payment!I14:I1448,"&gt;="&amp;DATE(2026,4,1),payment!I14:I1448,"&lt;="&amp;DATE(2026,4,7),payment!A14:A1448,"=TW")</f>
        <v>0</v>
      </c>
      <c r="F43" s="47">
        <f>SUMIFS(payment!H14:H1448,payment!I14:I1448,"&gt;="&amp;DATE(2026,4,1),payment!I14:I1448,"&lt;="&amp;DATE(2026,4,7),payment!A14:A1448,"=VARNISHED")</f>
        <v>0</v>
      </c>
      <c r="G43" s="47">
        <f>SUMIFS(payment!H14:H1448,payment!I14:I1448,"&gt;="&amp;DATE(2026,4,1),payment!I14:I1448,"&lt;="&amp;DATE(2026,4,7),payment!A14:A1448,"=NBE")</f>
        <v>0.304000000003725</v>
      </c>
      <c r="H43" s="63">
        <f>SUMIFS(payment!H14:H1448,payment!I14:I1448,"&gt;="&amp;DATE(2026,4,1),payment!I14:I1448,"&lt;="&amp;DATE(2026,4,7),payment!A14:A1448,"=PT")</f>
        <v>0</v>
      </c>
      <c r="I43" s="47">
        <f>SUMIFS(payment!H14:H1448,payment!I14:I1448,"&gt;="&amp;DATE(2026,4,1),payment!I14:I1448,"&lt;="&amp;DATE(2026,4,7),payment!A14:A1448,"=IN")</f>
        <v>0.00399999998626299</v>
      </c>
      <c r="J43" s="47">
        <f>SUMIFS(payment!I14:I1448,payment!J14:J1448,"&gt;="&amp;DATE(2026,4,1),payment!J14:J1448,"&lt;="&amp;DATE(2026,4,7),payment!B14:B1448,"=NF")</f>
        <v>0</v>
      </c>
      <c r="K43" s="47">
        <f t="shared" si="0"/>
        <v>0</v>
      </c>
      <c r="L43" s="47">
        <f>SUMIFS(payment!H14:H1465,payment!L14:L1465,"&gt;="&amp;DATE(2026,4,1),payment!L14:L1465,"&lt;="&amp;DATE(2026,4,7))</f>
        <v>0</v>
      </c>
      <c r="M43" s="64">
        <f t="shared" si="1"/>
        <v>3509148.77255</v>
      </c>
    </row>
    <row r="44" ht="15" customHeight="1" spans="2:13">
      <c r="B44" s="65" t="s">
        <v>1764</v>
      </c>
      <c r="C44" s="66">
        <f>SUMIFS(payment!H14:H1448,payment!I14:I1448,"&gt;="&amp;DATE(2026,4,8),payment!I14:I1448,"&lt;="&amp;DATE(2026,4,15))</f>
        <v>0.00399999998626299</v>
      </c>
      <c r="E44" s="67">
        <f>SUMIFS(payment!H14:H1448,payment!I14:I1448,"&gt;="&amp;DATE(2026,4,8),payment!I14:I1448,"&lt;="&amp;DATE(2026,4,15),payment!A14:A1448,"=TW")</f>
        <v>0</v>
      </c>
      <c r="F44" s="52">
        <f>SUMIFS(payment!H14:H1448,payment!I14:I1448,"&gt;="&amp;DATE(2026,4,8),payment!I14:I1448,"&lt;="&amp;DATE(2026,4,15),payment!A14:A1448,"=VARNISHED")</f>
        <v>0</v>
      </c>
      <c r="G44" s="52">
        <f>SUMIFS(payment!H14:H1448,payment!I14:I1448,"&gt;="&amp;DATE(2026,4,8),payment!I14:I1448,"&lt;="&amp;DATE(2026,4,15),payment!A14:A1448,"=NBE")</f>
        <v>0</v>
      </c>
      <c r="H44" s="67">
        <f>SUMIFS(payment!H14:H1448,payment!I14:I1448,"&gt;="&amp;DATE(2026,4,8),payment!I14:I1448,"&lt;="&amp;DATE(2026,4,15),payment!A14:A1448,"=PT")</f>
        <v>0</v>
      </c>
      <c r="I44" s="52">
        <f>SUMIFS(payment!H14:H1448,payment!I14:I1448,"&gt;="&amp;DATE(2026,4,8),payment!I14:I1448,"&lt;="&amp;DATE(2026,4,15),payment!A14:A1448,"=IN")</f>
        <v>0.00399999998626299</v>
      </c>
      <c r="J44" s="52">
        <f>SUMIFS(payment!I14:I1448,payment!J14:J1448,"&gt;="&amp;DATE(2026,4,8),payment!J14:J1448,"&lt;="&amp;DATE(2026,4,15),payment!B14:B1448,"=NF")</f>
        <v>0</v>
      </c>
      <c r="K44" s="52">
        <f t="shared" si="0"/>
        <v>0</v>
      </c>
      <c r="L44" s="52">
        <f>SUMIFS(payment!H14:H1465,payment!L14:L1465,"&gt;="&amp;DATE(2026,4,8),payment!L14:L1465,"&lt;="&amp;DATE(2026,4,15))</f>
        <v>0</v>
      </c>
      <c r="M44" s="68">
        <f t="shared" si="1"/>
        <v>3509148.76855</v>
      </c>
    </row>
    <row r="45" ht="15" customHeight="1" spans="2:13">
      <c r="B45" s="65" t="s">
        <v>1765</v>
      </c>
      <c r="C45" s="66">
        <f>SUMIFS(payment!H14:H1448,payment!I14:I1448,"&gt;="&amp;DATE(2026,4,16),payment!I14:I1448,"&lt;="&amp;DATE(2026,4,23))</f>
        <v>21506.2499999999</v>
      </c>
      <c r="E45" s="67">
        <f>SUMIFS(payment!H14:H1448,payment!I14:I1448,"&gt;="&amp;DATE(2026,4,16),payment!I14:I1448,"&lt;="&amp;DATE(2026,4,23),payment!A14:A1448,"=TW")</f>
        <v>21506.2499999999</v>
      </c>
      <c r="F45" s="52">
        <f>SUMIFS(payment!H14:H1448,payment!I14:I1448,"&gt;="&amp;DATE(2026,4,16),payment!I14:I1448,"&lt;="&amp;DATE(2026,4,23),payment!A14:A1448,"=VARNISHED")</f>
        <v>0</v>
      </c>
      <c r="G45" s="52">
        <f>SUMIFS(payment!H14:H1448,payment!I14:I1448,"&gt;="&amp;DATE(2026,4,16),payment!I14:I1448,"&lt;="&amp;DATE(2026,4,23),payment!A14:A1448,"=NBE")</f>
        <v>0</v>
      </c>
      <c r="H45" s="67">
        <f>SUMIFS(payment!H14:H1448,payment!I14:I1448,"&gt;="&amp;DATE(2026,4,16),payment!I14:I1448,"&lt;="&amp;DATE(2026,4,23),payment!A14:A1448,"=PT")</f>
        <v>0</v>
      </c>
      <c r="I45" s="52">
        <f>SUMIFS(payment!H14:H1448,payment!I14:I1448,"&gt;="&amp;DATE(2026,4,16),payment!I14:I1448,"&lt;="&amp;DATE(2026,4,23),payment!A14:A1448,"=IN")</f>
        <v>0</v>
      </c>
      <c r="J45" s="52">
        <f>SUMIFS(payment!I14:I1448,payment!J14:J1448,"&gt;="&amp;DATE(2026,4,16),payment!J14:J1448,"&lt;="&amp;DATE(2026,4,23),payment!B14:B1448,"=NF")</f>
        <v>0</v>
      </c>
      <c r="K45" s="52">
        <f t="shared" si="0"/>
        <v>0</v>
      </c>
      <c r="L45" s="52">
        <f>SUMIFS(payment!H14:H1465,payment!L14:L1465,"&gt;="&amp;DATE(2026,4,16),payment!L14:L1465,"&lt;="&amp;DATE(2026,4,23))</f>
        <v>0</v>
      </c>
      <c r="M45" s="68">
        <f t="shared" si="1"/>
        <v>3487642.51855</v>
      </c>
    </row>
    <row r="46" ht="15" customHeight="1" spans="2:13">
      <c r="B46" s="69" t="s">
        <v>1766</v>
      </c>
      <c r="C46" s="70">
        <f>SUMIFS(payment!H14:H1448,payment!I14:I1448,"&gt;="&amp;DATE(2026,4,24),payment!I14:I1448,"&lt;="&amp;DATE(2026,4,31))</f>
        <v>41474.1650000001</v>
      </c>
      <c r="E46" s="71">
        <f>SUMIFS(payment!H14:H1448,payment!I14:I1448,"&gt;="&amp;DATE(2026,4,24),payment!I14:I1448,"&lt;="&amp;DATE(2026,4,30),payment!A14:A1448,"=TW")</f>
        <v>0</v>
      </c>
      <c r="F46" s="57">
        <f>SUMIFS(payment!H14:H1448,payment!I14:I1448,"&gt;="&amp;DATE(2026,4,24),payment!I14:I1448,"&lt;="&amp;DATE(2026,4,30),payment!A14:A1448,"=VARNISHED")</f>
        <v>0</v>
      </c>
      <c r="G46" s="57">
        <f>SUMIFS(payment!H14:H1448,payment!I14:I1448,"&gt;="&amp;DATE(2026,4,24),payment!I14:I1448,"&lt;="&amp;DATE(2026,4,30),payment!A14:A1448,"=NBE")</f>
        <v>0</v>
      </c>
      <c r="H46" s="71">
        <f>SUMIFS(payment!H14:H1448,payment!I14:I1448,"&gt;="&amp;DATE(2026,4,24),payment!I14:I1448,"&lt;="&amp;DATE(2026,4,30),payment!A14:A1448,"=PT")</f>
        <v>41474.1650000001</v>
      </c>
      <c r="I46" s="57">
        <f>SUMIFS(payment!H14:H1448,payment!I14:I1448,"&gt;="&amp;DATE(2026,4,24),payment!I14:I1448,"&lt;="&amp;DATE(2026,4,30),payment!A14:A1448,"=IN")</f>
        <v>0</v>
      </c>
      <c r="J46" s="57">
        <f>SUMIFS(payment!I14:I1448,payment!J14:J1448,"&gt;="&amp;DATE(2026,4,24),payment!J14:J1448,"&lt;="&amp;DATE(2026,4,30),payment!B14:B1448,"=NF")</f>
        <v>0</v>
      </c>
      <c r="K46" s="57">
        <f t="shared" si="0"/>
        <v>0</v>
      </c>
      <c r="L46" s="57">
        <f>SUMIFS(payment!H14:H1465,payment!L14:L1465,"&gt;="&amp;DATE(2026,4,24),payment!L14:L1465,"&lt;="&amp;DATE(2026,4,30))</f>
        <v>-0.00547499960521236</v>
      </c>
      <c r="M46" s="57">
        <f t="shared" si="1"/>
        <v>3446168.348075</v>
      </c>
    </row>
    <row r="47" ht="15" customHeight="1" spans="2:13">
      <c r="B47" s="60" t="s">
        <v>1767</v>
      </c>
      <c r="C47" s="61">
        <f>SUMIFS(payment!H18:H1452,payment!I18:I1452,"&gt;="&amp;DATE(2026,5,1),payment!I18:I1452,"&lt;="&amp;DATE(2026,5,7))</f>
        <v>-0.000999999931082129</v>
      </c>
      <c r="E47" s="63">
        <f>SUMIFS(payment!H18:H1452,payment!I18:I1452,"&gt;="&amp;DATE(2026,5,1),payment!I18:I1452,"&lt;="&amp;DATE(2026,5,7),payment!A18:A1452,"=TW")</f>
        <v>0</v>
      </c>
      <c r="F47" s="47">
        <f>SUMIFS(payment!H18:H1452,payment!I18:I1452,"&gt;="&amp;DATE(2026,5,1),payment!I18:I1452,"&lt;="&amp;DATE(2026,5,7),payment!A18:A1452,"=VARNISHED")</f>
        <v>0</v>
      </c>
      <c r="G47" s="47">
        <f>SUMIFS(payment!H18:H1452,payment!I18:I1452,"&gt;="&amp;DATE(2026,5,1),payment!I18:I1452,"&lt;="&amp;DATE(2026,5,7),payment!A18:A1452,"=NBE")</f>
        <v>0</v>
      </c>
      <c r="H47" s="63">
        <f>SUMIFS(payment!H18:H1452,payment!I18:I1452,"&gt;="&amp;DATE(2026,5,1),payment!I18:I1452,"&lt;="&amp;DATE(2026,5,7),payment!A18:A1452,"=PT")</f>
        <v>-0.000999999931082129</v>
      </c>
      <c r="I47" s="47">
        <f>SUMIFS(payment!H18:H1452,payment!I18:I1452,"&gt;="&amp;DATE(2026,5,1),payment!I18:I1452,"&lt;="&amp;DATE(2026,5,7),payment!A18:A1452,"=IN")</f>
        <v>0</v>
      </c>
      <c r="J47" s="47">
        <f>SUMIFS(payment!I18:I1452,payment!J18:J1452,"&gt;="&amp;DATE(2026,5,1),payment!J18:J1452,"&lt;="&amp;DATE(2026,5,7),payment!B18:B1452,"=NF")</f>
        <v>0</v>
      </c>
      <c r="K47" s="47">
        <f t="shared" si="0"/>
        <v>0</v>
      </c>
      <c r="L47" s="47">
        <f>SUMIFS(payment!H18:H1469,payment!L18:L1469,"&gt;="&amp;DATE(2026,5,1),payment!L18:L1469,"&lt;="&amp;DATE(2026,5,7))</f>
        <v>0</v>
      </c>
      <c r="M47" s="64">
        <f t="shared" si="1"/>
        <v>3446168.349075</v>
      </c>
    </row>
    <row r="48" ht="15" customHeight="1" spans="2:13">
      <c r="B48" s="65" t="s">
        <v>1768</v>
      </c>
      <c r="C48" s="66">
        <f>SUMIFS(payment!H18:H1452,payment!I18:I1452,"&gt;="&amp;DATE(2026,5,8),payment!I18:I1452,"&lt;="&amp;DATE(2026,5,15))</f>
        <v>239250</v>
      </c>
      <c r="E48" s="67">
        <f>SUMIFS(payment!H18:H1452,payment!I18:I1452,"&gt;="&amp;DATE(2026,5,8),payment!I18:I1452,"&lt;="&amp;DATE(2026,5,15),payment!A18:A1452,"=TW")</f>
        <v>239250</v>
      </c>
      <c r="F48" s="52">
        <f>SUMIFS(payment!H18:H1452,payment!I18:I1452,"&gt;="&amp;DATE(2026,5,8),payment!I18:I1452,"&lt;="&amp;DATE(2026,5,15),payment!A18:A1452,"=VARNISHED")</f>
        <v>0</v>
      </c>
      <c r="G48" s="52">
        <f>SUMIFS(payment!H18:H1452,payment!I18:I1452,"&gt;="&amp;DATE(2026,5,8),payment!I18:I1452,"&lt;="&amp;DATE(2026,5,15),payment!A18:A1452,"=NBE")</f>
        <v>0</v>
      </c>
      <c r="H48" s="67">
        <f>SUMIFS(payment!H18:H1452,payment!I18:I1452,"&gt;="&amp;DATE(2026,5,8),payment!I18:I1452,"&lt;="&amp;DATE(2026,5,15),payment!A18:A1452,"=PT")</f>
        <v>0</v>
      </c>
      <c r="I48" s="52">
        <f>SUMIFS(payment!H18:H1452,payment!I18:I1452,"&gt;="&amp;DATE(2026,5,8),payment!I18:I1452,"&lt;="&amp;DATE(2026,5,15),payment!A18:A1452,"=IN")</f>
        <v>0</v>
      </c>
      <c r="J48" s="52">
        <f>SUMIFS(payment!I18:I1452,payment!J18:J1452,"&gt;="&amp;DATE(2026,5,8),payment!J18:J1452,"&lt;="&amp;DATE(2026,5,15),payment!B18:B1452,"=NF")</f>
        <v>0</v>
      </c>
      <c r="K48" s="52">
        <f t="shared" si="0"/>
        <v>0</v>
      </c>
      <c r="L48" s="52">
        <f>SUMIFS(payment!H18:H1469,payment!L18:L1469,"&gt;="&amp;DATE(2026,5,8),payment!L18:L1469,"&lt;="&amp;DATE(2026,5,15))</f>
        <v>0</v>
      </c>
      <c r="M48" s="68">
        <f t="shared" si="1"/>
        <v>3206918.349075</v>
      </c>
    </row>
    <row r="49" ht="15" customHeight="1" spans="2:13">
      <c r="B49" s="65" t="s">
        <v>1769</v>
      </c>
      <c r="C49" s="66">
        <f>SUMIFS(payment!H18:H1452,payment!I18:I1452,"&gt;="&amp;DATE(2026,5,16),payment!I18:I1452,"&lt;="&amp;DATE(2026,5,23))</f>
        <v>8965.88800000016</v>
      </c>
      <c r="E49" s="67">
        <f>SUMIFS(payment!H18:H1452,payment!I18:I1452,"&gt;="&amp;DATE(2026,5,16),payment!I18:I1452,"&lt;="&amp;DATE(2026,5,23),payment!A18:A1452,"=TW")</f>
        <v>8965.88000000001</v>
      </c>
      <c r="F49" s="52">
        <f>SUMIFS(payment!H18:H1452,payment!I18:I1452,"&gt;="&amp;DATE(2026,5,16),payment!I18:I1452,"&lt;="&amp;DATE(2026,5,23),payment!A18:A1452,"=VARNISHED")</f>
        <v>0</v>
      </c>
      <c r="G49" s="52">
        <f>SUMIFS(payment!H18:H1452,payment!I18:I1452,"&gt;="&amp;DATE(2026,5,16),payment!I18:I1452,"&lt;="&amp;DATE(2026,5,23),payment!A18:A1452,"=NBE")</f>
        <v>0</v>
      </c>
      <c r="H49" s="67">
        <f>SUMIFS(payment!H18:H1452,payment!I18:I1452,"&gt;="&amp;DATE(2026,5,16),payment!I18:I1452,"&lt;="&amp;DATE(2026,5,23),payment!A18:A1452,"=PT")</f>
        <v>0.00800000014714897</v>
      </c>
      <c r="I49" s="52">
        <f>SUMIFS(payment!H18:H1452,payment!I18:I1452,"&gt;="&amp;DATE(2026,5,16),payment!I18:I1452,"&lt;="&amp;DATE(2026,5,23),payment!A18:A1452,"=IN")</f>
        <v>0</v>
      </c>
      <c r="J49" s="52">
        <f>SUMIFS(payment!I18:I1452,payment!J18:J1452,"&gt;="&amp;DATE(2026,5,16),payment!J18:J1452,"&lt;="&amp;DATE(2026,5,23),payment!B18:B1452,"=NF")</f>
        <v>0</v>
      </c>
      <c r="K49" s="52">
        <f t="shared" si="0"/>
        <v>0</v>
      </c>
      <c r="L49" s="52">
        <f>SUMIFS(payment!H18:H1469,payment!L18:L1469,"&gt;="&amp;DATE(2026,5,16),payment!L18:L1469,"&lt;="&amp;DATE(2026,5,23))</f>
        <v>0</v>
      </c>
      <c r="M49" s="68">
        <f t="shared" si="1"/>
        <v>3197952.461075</v>
      </c>
    </row>
    <row r="50" ht="15" customHeight="1" spans="2:13">
      <c r="B50" s="69" t="s">
        <v>1770</v>
      </c>
      <c r="C50" s="70">
        <f>SUMIFS(payment!H18:H1452,payment!I18:I1452,"&gt;="&amp;DATE(2026,5,24),payment!I18:I1452,"&lt;="&amp;DATE(2026,5,31))</f>
        <v>512008.4</v>
      </c>
      <c r="E50" s="71">
        <f>SUMIFS(payment!H18:H1452,payment!I18:I1452,"&gt;="&amp;DATE(2026,5,24),payment!I18:I1452,"&lt;="&amp;DATE(2026,5,31),payment!A18:A1452,"=TW")</f>
        <v>29750.004</v>
      </c>
      <c r="F50" s="57">
        <f>SUMIFS(payment!H18:H1452,payment!I18:I1452,"&gt;="&amp;DATE(2026,5,24),payment!I18:I1452,"&lt;="&amp;DATE(2026,5,31),payment!A18:A1452,"=VARNISHED")</f>
        <v>0</v>
      </c>
      <c r="G50" s="57">
        <f>SUMIFS(payment!H18:H1452,payment!I18:I1452,"&gt;="&amp;DATE(2026,5,24),payment!I18:I1452,"&lt;="&amp;DATE(2026,5,31),payment!A18:A1452,"=NBE")</f>
        <v>0</v>
      </c>
      <c r="H50" s="71">
        <f>SUMIFS(payment!H18:H1452,payment!I18:I1452,"&gt;="&amp;DATE(2026,5,24),payment!I18:I1452,"&lt;="&amp;DATE(2026,5,31),payment!A18:A1452,"=PT")</f>
        <v>0</v>
      </c>
      <c r="I50" s="57">
        <f>SUMIFS(payment!H18:H1452,payment!I18:I1452,"&gt;="&amp;DATE(2026,5,24),payment!I18:I1452,"&lt;="&amp;DATE(2026,5,31),payment!A18:A1452,"=IN")</f>
        <v>482258.396</v>
      </c>
      <c r="J50" s="57">
        <f>SUMIFS(payment!I18:I1452,payment!J18:J1452,"&gt;="&amp;DATE(2026,5,24),payment!J18:J1452,"&lt;="&amp;DATE(2026,5,31),payment!B18:B1452,"=NF")</f>
        <v>0</v>
      </c>
      <c r="K50" s="57">
        <f t="shared" si="0"/>
        <v>0</v>
      </c>
      <c r="L50" s="57">
        <f>SUMIFS(payment!H18:H1469,payment!L18:L1469,"&gt;="&amp;DATE(2026,5,24),payment!L18:L1469,"&lt;="&amp;DATE(2026,5,31))</f>
        <v>0</v>
      </c>
      <c r="M50" s="57">
        <f t="shared" si="1"/>
        <v>2685944.061075</v>
      </c>
    </row>
    <row r="51" ht="15" customHeight="1" spans="2:13">
      <c r="B51" s="45" t="s">
        <v>1723</v>
      </c>
      <c r="C51" s="61">
        <f>SUMIFS(payment!H22:H1456,payment!I22:I1456,"&gt;="&amp;DATE(2026,6,1),payment!I22:I1456,"&lt;="&amp;DATE(2026,6,7))</f>
        <v>83059.2925</v>
      </c>
      <c r="E51" s="63">
        <f>SUMIFS(payment!H22:H1456,payment!I22:I1456,"&gt;="&amp;DATE(2026,6,1),payment!I22:I1456,"&lt;="&amp;DATE(2026,6,7),payment!A22:A1456,"=TW")</f>
        <v>56312.4955</v>
      </c>
      <c r="F51" s="47">
        <f>SUMIFS(payment!H22:H1456,payment!I22:I1456,"&gt;="&amp;DATE(2026,6,1),payment!I22:I1456,"&lt;="&amp;DATE(2026,6,7),payment!A22:A1456,"=VARNISHED")</f>
        <v>0</v>
      </c>
      <c r="G51" s="47">
        <f>SUMIFS(payment!H22:H1456,payment!I22:I1456,"&gt;="&amp;DATE(2026,6,1),payment!I22:I1456,"&lt;="&amp;DATE(2026,6,7),payment!A22:A1456,"=NBE")</f>
        <v>26746.797</v>
      </c>
      <c r="H51" s="63">
        <f>SUMIFS(payment!H22:H1456,payment!I22:I1456,"&gt;="&amp;DATE(2026,6,1),payment!I22:I1456,"&lt;="&amp;DATE(2026,6,7),payment!A22:A1456,"=PT")</f>
        <v>0</v>
      </c>
      <c r="I51" s="47">
        <f>SUMIFS(payment!H22:H1456,payment!I22:I1456,"&gt;="&amp;DATE(2026,6,1),payment!I22:I1456,"&lt;="&amp;DATE(2026,6,7),payment!A22:A1456,"=IN")</f>
        <v>0</v>
      </c>
      <c r="J51" s="47">
        <f>SUMIFS(payment!I22:I1456,payment!J22:J1456,"&gt;="&amp;DATE(2026,6,1),payment!J22:J1456,"&lt;="&amp;DATE(2026,6,7),payment!B22:B1456,"=NF")</f>
        <v>0</v>
      </c>
      <c r="K51" s="47">
        <f t="shared" si="0"/>
        <v>0</v>
      </c>
      <c r="L51" s="47">
        <f>SUMIFS(payment!H22:H1473,payment!L22:L1473,"&gt;="&amp;DATE(2026,6,1),payment!L22:L1473,"&lt;="&amp;DATE(2026,6,7))</f>
        <v>0</v>
      </c>
      <c r="M51" s="64">
        <f t="shared" si="1"/>
        <v>2602884.768575</v>
      </c>
    </row>
    <row r="52" ht="15" customHeight="1" spans="2:13">
      <c r="B52" s="50" t="s">
        <v>1724</v>
      </c>
      <c r="C52" s="66">
        <f>SUMIFS(payment!H22:H1456,payment!I22:I1456,"&gt;="&amp;DATE(2026,6,8),payment!I22:I1456,"&lt;="&amp;DATE(2026,6,15))</f>
        <v>332989.94</v>
      </c>
      <c r="E52" s="67">
        <f>SUMIFS(payment!H22:H1456,payment!I22:I1456,"&gt;="&amp;DATE(2026,6,8),payment!I22:I1456,"&lt;="&amp;DATE(2026,6,15),payment!A22:A1456,"=TW")</f>
        <v>332989.94</v>
      </c>
      <c r="F52" s="52">
        <f>SUMIFS(payment!H22:H1456,payment!I22:I1456,"&gt;="&amp;DATE(2026,6,8),payment!I22:I1456,"&lt;="&amp;DATE(2026,6,15),payment!A22:A1456,"=VARNISHED")</f>
        <v>0</v>
      </c>
      <c r="G52" s="52">
        <f>SUMIFS(payment!H22:H1456,payment!I22:I1456,"&gt;="&amp;DATE(2026,6,8),payment!I22:I1456,"&lt;="&amp;DATE(2026,6,15),payment!A22:A1456,"=NBE")</f>
        <v>0</v>
      </c>
      <c r="H52" s="67">
        <f>SUMIFS(payment!H22:H1456,payment!I22:I1456,"&gt;="&amp;DATE(2026,6,8),payment!I22:I1456,"&lt;="&amp;DATE(2026,6,15),payment!A22:A1456,"=PT")</f>
        <v>0</v>
      </c>
      <c r="I52" s="52">
        <f>SUMIFS(payment!H22:H1456,payment!I22:I1456,"&gt;="&amp;DATE(2026,6,8),payment!I22:I1456,"&lt;="&amp;DATE(2026,6,15),payment!A22:A1456,"=IN")</f>
        <v>0</v>
      </c>
      <c r="J52" s="52">
        <f>SUMIFS(payment!I22:I1456,payment!J22:J1456,"&gt;="&amp;DATE(2026,6,8),payment!J22:J1456,"&lt;="&amp;DATE(2026,6,15),payment!B22:B1456,"=NF")</f>
        <v>0</v>
      </c>
      <c r="K52" s="52">
        <f t="shared" si="0"/>
        <v>0</v>
      </c>
      <c r="L52" s="52">
        <f>SUMIFS(payment!H22:H1473,payment!L22:L1473,"&gt;="&amp;DATE(2026,6,8),payment!L22:L1473,"&lt;="&amp;DATE(2026,6,15))</f>
        <v>0</v>
      </c>
      <c r="M52" s="68">
        <f t="shared" si="1"/>
        <v>2269894.828575</v>
      </c>
    </row>
    <row r="53" ht="15" customHeight="1" spans="2:13">
      <c r="B53" s="50" t="s">
        <v>1725</v>
      </c>
      <c r="C53" s="66">
        <f>SUMIFS(payment!H22:H1456,payment!I22:I1456,"&gt;="&amp;DATE(2026,6,16),payment!I22:I1456,"&lt;="&amp;DATE(2026,6,23))</f>
        <v>0</v>
      </c>
      <c r="E53" s="67">
        <f>SUMIFS(payment!H22:H1456,payment!I22:I1456,"&gt;="&amp;DATE(2026,6,16),payment!I22:I1456,"&lt;="&amp;DATE(2026,6,23),payment!A22:A1456,"=TW")</f>
        <v>0</v>
      </c>
      <c r="F53" s="52">
        <f>SUMIFS(payment!H22:H1456,payment!I22:I1456,"&gt;="&amp;DATE(2026,6,16),payment!I22:I1456,"&lt;="&amp;DATE(2026,6,23),payment!A22:A1456,"=VARNISHED")</f>
        <v>0</v>
      </c>
      <c r="G53" s="52">
        <f>SUMIFS(payment!H22:H1456,payment!I22:I1456,"&gt;="&amp;DATE(2026,6,16),payment!I22:I1456,"&lt;="&amp;DATE(2026,6,23),payment!A22:A1456,"=NBE")</f>
        <v>0</v>
      </c>
      <c r="H53" s="67">
        <f>SUMIFS(payment!H22:H1456,payment!I22:I1456,"&gt;="&amp;DATE(2026,6,16),payment!I22:I1456,"&lt;="&amp;DATE(2026,6,23),payment!A22:A1456,"=PT")</f>
        <v>0</v>
      </c>
      <c r="I53" s="52">
        <f>SUMIFS(payment!H22:H1456,payment!I22:I1456,"&gt;="&amp;DATE(2026,6,16),payment!I22:I1456,"&lt;="&amp;DATE(2026,6,23),payment!A22:A1456,"=IN")</f>
        <v>0</v>
      </c>
      <c r="J53" s="52">
        <f>SUMIFS(payment!I22:I1456,payment!J22:J1456,"&gt;="&amp;DATE(2026,6,16),payment!J22:J1456,"&lt;="&amp;DATE(2026,6,23),payment!B22:B1456,"=NF")</f>
        <v>0</v>
      </c>
      <c r="K53" s="52">
        <f t="shared" si="0"/>
        <v>0</v>
      </c>
      <c r="L53" s="52">
        <f>SUMIFS(payment!H22:H1473,payment!L22:L1473,"&gt;="&amp;DATE(2026,6,16),payment!L22:L1473,"&lt;="&amp;DATE(2026,6,23))</f>
        <v>0</v>
      </c>
      <c r="M53" s="68">
        <f t="shared" si="1"/>
        <v>2269894.828575</v>
      </c>
    </row>
    <row r="54" ht="15" customHeight="1" spans="2:13">
      <c r="B54" s="55" t="s">
        <v>1726</v>
      </c>
      <c r="C54" s="70">
        <f>SUMIFS(payment!H22:H1456,payment!I22:I1456,"&gt;="&amp;DATE(2026,6,24),payment!I22:I1456,"&lt;="&amp;DATE(2026,6,31))</f>
        <v>1143821.9945</v>
      </c>
      <c r="E54" s="71">
        <f>SUMIFS(payment!H22:H1456,payment!I22:I1456,"&gt;="&amp;DATE(2026,6,24),payment!I22:I1456,"&lt;="&amp;DATE(2026,6,30),payment!A22:A1456,"=TW")</f>
        <v>650748.8745</v>
      </c>
      <c r="F54" s="57">
        <f>SUMIFS(payment!H22:H1456,payment!I22:I1456,"&gt;="&amp;DATE(2026,6,24),payment!I22:I1456,"&lt;="&amp;DATE(2026,6,30),payment!A22:A1456,"=VARNISHED")</f>
        <v>0</v>
      </c>
      <c r="G54" s="57">
        <f>SUMIFS(payment!H22:H1456,payment!I22:I1456,"&gt;="&amp;DATE(2026,6,24),payment!I22:I1456,"&lt;="&amp;DATE(2026,6,30),payment!A22:A1456,"=NBE")</f>
        <v>0</v>
      </c>
      <c r="H54" s="71">
        <f>SUMIFS(payment!H22:H1456,payment!I22:I1456,"&gt;="&amp;DATE(2026,6,24),payment!I22:I1456,"&lt;="&amp;DATE(2026,6,30),payment!A22:A1456,"=PT")</f>
        <v>0</v>
      </c>
      <c r="I54" s="57">
        <f>SUMIFS(payment!H22:H1456,payment!I22:I1456,"&gt;="&amp;DATE(2026,6,24),payment!I22:I1456,"&lt;="&amp;DATE(2026,6,30),payment!A22:A1456,"=IN")</f>
        <v>482258.4</v>
      </c>
      <c r="J54" s="57">
        <f>SUMIFS(payment!I22:I1456,payment!J22:J1456,"&gt;="&amp;DATE(2026,6,24),payment!J22:J1456,"&lt;="&amp;DATE(2026,6,30),payment!B22:B1456,"=NF")</f>
        <v>0</v>
      </c>
      <c r="K54" s="57">
        <f t="shared" si="0"/>
        <v>0</v>
      </c>
      <c r="L54" s="57">
        <f>SUMIFS(payment!H22:H1473,payment!L22:L1473,"&gt;="&amp;DATE(2026,6,24),payment!L22:L1473,"&lt;="&amp;DATE(2026,6,30))</f>
        <v>0</v>
      </c>
      <c r="M54" s="57">
        <f t="shared" si="1"/>
        <v>1126072.834075</v>
      </c>
    </row>
    <row r="55" ht="15" customHeight="1" spans="2:13">
      <c r="B55" s="45" t="s">
        <v>1727</v>
      </c>
      <c r="C55" s="61">
        <f>SUMIFS(payment!H26:H1460,payment!I26:I1460,"&gt;="&amp;DATE(2026,7,1),payment!I26:I1460,"&lt;="&amp;DATE(2026,7,7))</f>
        <v>77540.495</v>
      </c>
      <c r="E55" s="63">
        <f>SUMIFS(payment!H26:H1460,payment!I26:I1460,"&gt;="&amp;DATE(2026,7,1),payment!I26:I1460,"&lt;="&amp;DATE(2026,7,7),payment!A26:A1460,"=TW")</f>
        <v>77540.495</v>
      </c>
      <c r="F55" s="47">
        <f>SUMIFS(payment!H26:H1460,payment!I26:I1460,"&gt;="&amp;DATE(2026,7,1),payment!I26:I1460,"&lt;="&amp;DATE(2026,7,7),payment!A26:A1460,"=VARNISHED")</f>
        <v>0</v>
      </c>
      <c r="G55" s="47">
        <f>SUMIFS(payment!H26:H1460,payment!I26:I1460,"&gt;="&amp;DATE(2026,7,1),payment!I26:I1460,"&lt;="&amp;DATE(2026,7,7),payment!A26:A1460,"=NBE")</f>
        <v>0</v>
      </c>
      <c r="H55" s="63">
        <f>SUMIFS(payment!H26:H1460,payment!I26:I1460,"&gt;="&amp;DATE(2026,7,1),payment!I26:I1460,"&lt;="&amp;DATE(2026,7,7),payment!A26:A1460,"=PT")</f>
        <v>0</v>
      </c>
      <c r="I55" s="47">
        <f>SUMIFS(payment!H26:H1460,payment!I26:I1460,"&gt;="&amp;DATE(2026,7,1),payment!I26:I1460,"&lt;="&amp;DATE(2026,7,7),payment!A26:A1460,"=IN")</f>
        <v>0</v>
      </c>
      <c r="J55" s="47">
        <f>SUMIFS(payment!I26:I1460,payment!J26:J1460,"&gt;="&amp;DATE(2026,7,1),payment!J26:J1460,"&lt;="&amp;DATE(2026,7,7),payment!B26:B1460,"=NF")</f>
        <v>0</v>
      </c>
      <c r="K55" s="47">
        <f t="shared" si="0"/>
        <v>0</v>
      </c>
      <c r="L55" s="47">
        <f>SUMIFS(payment!H26:H1477,payment!L26:L1477,"&gt;="&amp;DATE(2026,7,1),payment!L26:L1477,"&lt;="&amp;DATE(2026,7,7))</f>
        <v>0</v>
      </c>
      <c r="M55" s="64">
        <f t="shared" si="1"/>
        <v>1048532.339075</v>
      </c>
    </row>
    <row r="56" ht="15" customHeight="1" spans="2:13">
      <c r="B56" s="50" t="s">
        <v>1728</v>
      </c>
      <c r="C56" s="66">
        <f>SUMIFS(payment!H26:H1460,payment!I26:I1460,"&gt;="&amp;DATE(2026,7,8),payment!I26:I1460,"&lt;="&amp;DATE(2026,7,15))</f>
        <v>566486.378</v>
      </c>
      <c r="E56" s="67">
        <f>SUMIFS(payment!H26:H1460,payment!I26:I1460,"&gt;="&amp;DATE(2026,7,8),payment!I26:I1460,"&lt;="&amp;DATE(2026,7,15),payment!A26:A1460,"=TW")</f>
        <v>553575</v>
      </c>
      <c r="F56" s="52">
        <f>SUMIFS(payment!H26:H1460,payment!I26:I1460,"&gt;="&amp;DATE(2026,7,8),payment!I26:I1460,"&lt;="&amp;DATE(2026,7,15),payment!A26:A1460,"=VARNISHED")</f>
        <v>0</v>
      </c>
      <c r="G56" s="52">
        <f>SUMIFS(payment!H26:H1460,payment!I26:I1460,"&gt;="&amp;DATE(2026,7,8),payment!I26:I1460,"&lt;="&amp;DATE(2026,7,15),payment!A26:A1460,"=NBE")</f>
        <v>12911.38</v>
      </c>
      <c r="H56" s="67">
        <f>SUMIFS(payment!H26:H1460,payment!I26:I1460,"&gt;="&amp;DATE(2026,7,8),payment!I26:I1460,"&lt;="&amp;DATE(2026,7,15),payment!A26:A1460,"=PT")</f>
        <v>-0.0020000000949949</v>
      </c>
      <c r="I56" s="52">
        <f>SUMIFS(payment!H26:H1460,payment!I26:I1460,"&gt;="&amp;DATE(2026,7,8),payment!I26:I1460,"&lt;="&amp;DATE(2026,7,15),payment!A26:A1460,"=IN")</f>
        <v>0</v>
      </c>
      <c r="J56" s="52">
        <f>SUMIFS(payment!I26:I1460,payment!J26:J1460,"&gt;="&amp;DATE(2026,7,8),payment!J26:J1460,"&lt;="&amp;DATE(2026,7,15),payment!B26:B1460,"=NF")</f>
        <v>0</v>
      </c>
      <c r="K56" s="52">
        <f t="shared" si="0"/>
        <v>0</v>
      </c>
      <c r="L56" s="52">
        <f>SUMIFS(payment!H26:H1477,payment!L26:L1477,"&gt;="&amp;DATE(2026,7,8),payment!L26:L1477,"&lt;="&amp;DATE(2026,7,15))</f>
        <v>0</v>
      </c>
      <c r="M56" s="68">
        <f t="shared" si="1"/>
        <v>482045.961075</v>
      </c>
    </row>
    <row r="57" ht="15" customHeight="1" spans="2:13">
      <c r="B57" s="50" t="s">
        <v>1729</v>
      </c>
      <c r="C57" s="66">
        <f>SUMIFS(payment!H26:H1460,payment!I26:I1460,"&gt;="&amp;DATE(2026,7,16),payment!I26:I1460,"&lt;="&amp;DATE(2026,7,23))</f>
        <v>144982.838</v>
      </c>
      <c r="E57" s="67">
        <f>SUMIFS(payment!H26:H1460,payment!I26:I1460,"&gt;="&amp;DATE(2026,7,16),payment!I26:I1460,"&lt;="&amp;DATE(2026,7,23),payment!A26:A1460,"=TW")</f>
        <v>0</v>
      </c>
      <c r="F57" s="52">
        <f>SUMIFS(payment!H26:H1460,payment!I26:I1460,"&gt;="&amp;DATE(2026,7,16),payment!I26:I1460,"&lt;="&amp;DATE(2026,7,23),payment!A26:A1460,"=VARNISHED")</f>
        <v>0</v>
      </c>
      <c r="G57" s="52">
        <f>SUMIFS(payment!H26:H1460,payment!I26:I1460,"&gt;="&amp;DATE(2026,7,16),payment!I26:I1460,"&lt;="&amp;DATE(2026,7,23),payment!A26:A1460,"=NBE")</f>
        <v>144982.838</v>
      </c>
      <c r="H57" s="67">
        <f>SUMIFS(payment!H26:H1460,payment!I26:I1460,"&gt;="&amp;DATE(2026,7,16),payment!I26:I1460,"&lt;="&amp;DATE(2026,7,23),payment!A26:A1460,"=PT")</f>
        <v>0</v>
      </c>
      <c r="I57" s="52">
        <f>SUMIFS(payment!H26:H1460,payment!I26:I1460,"&gt;="&amp;DATE(2026,7,16),payment!I26:I1460,"&lt;="&amp;DATE(2026,7,23),payment!A26:A1460,"=IN")</f>
        <v>0</v>
      </c>
      <c r="J57" s="52">
        <f>SUMIFS(payment!I26:I1460,payment!J26:J1460,"&gt;="&amp;DATE(2026,7,16),payment!J26:J1460,"&lt;="&amp;DATE(2026,7,23),payment!B26:B1460,"=NF")</f>
        <v>0</v>
      </c>
      <c r="K57" s="52">
        <f t="shared" si="0"/>
        <v>0</v>
      </c>
      <c r="L57" s="52">
        <f>SUMIFS(payment!H26:H1477,payment!L26:L1477,"&gt;="&amp;DATE(2026,7,16),payment!L26:L1477,"&lt;="&amp;DATE(2026,7,23))</f>
        <v>0</v>
      </c>
      <c r="M57" s="68">
        <f t="shared" si="1"/>
        <v>337063.123075</v>
      </c>
    </row>
    <row r="58" ht="15" customHeight="1" spans="2:13">
      <c r="B58" s="55" t="s">
        <v>1730</v>
      </c>
      <c r="C58" s="70">
        <f>SUMIFS(payment!H26:H1460,payment!I26:I1460,"&gt;="&amp;DATE(2026,7,24),payment!I26:I1460,"&lt;="&amp;DATE(2026,7,31))</f>
        <v>2018205.498</v>
      </c>
      <c r="E58" s="71">
        <f>SUMIFS(payment!H26:H1460,payment!I26:I1460,"&gt;="&amp;DATE(2026,7,24),payment!I26:I1460,"&lt;="&amp;DATE(2026,7,31),payment!A26:A1460,"=TW")</f>
        <v>0</v>
      </c>
      <c r="F58" s="57">
        <f>SUMIFS(payment!H26:H1460,payment!I26:I1460,"&gt;="&amp;DATE(2026,7,24),payment!I26:I1460,"&lt;="&amp;DATE(2026,7,31),payment!A26:A1460,"=VARNISHED")</f>
        <v>0</v>
      </c>
      <c r="G58" s="57">
        <f>SUMIFS(payment!H26:H1460,payment!I26:I1460,"&gt;="&amp;DATE(2026,7,24),payment!I26:I1460,"&lt;="&amp;DATE(2026,7,31),payment!A26:A1460,"=NBE")</f>
        <v>1535947.098</v>
      </c>
      <c r="H58" s="71">
        <f>SUMIFS(payment!H26:H1460,payment!I26:I1460,"&gt;="&amp;DATE(2026,7,24),payment!I26:I1460,"&lt;="&amp;DATE(2026,7,31),payment!A26:A1460,"=PT")</f>
        <v>0</v>
      </c>
      <c r="I58" s="57">
        <f>SUMIFS(payment!H26:H1460,payment!I26:I1460,"&gt;="&amp;DATE(2026,7,24),payment!I26:I1460,"&lt;="&amp;DATE(2026,7,31),payment!A26:A1460,"=IN")</f>
        <v>482258.4</v>
      </c>
      <c r="J58" s="57">
        <f>SUMIFS(payment!I26:I1460,payment!J26:J1460,"&gt;="&amp;DATE(2026,7,24),payment!J26:J1460,"&lt;="&amp;DATE(2026,7,31),payment!B26:B1460,"=NF")</f>
        <v>0</v>
      </c>
      <c r="K58" s="57">
        <f t="shared" si="0"/>
        <v>0</v>
      </c>
      <c r="L58" s="57">
        <f>SUMIFS(payment!H26:H1477,payment!L26:L1477,"&gt;="&amp;DATE(2026,7,24),payment!L26:L1477,"&lt;="&amp;DATE(2026,7,31))</f>
        <v>0.0120000003371388</v>
      </c>
      <c r="M58" s="57">
        <f t="shared" si="1"/>
        <v>-1681142.362925</v>
      </c>
    </row>
    <row r="59" ht="15" customHeight="1" spans="2:13">
      <c r="B59" s="45" t="s">
        <v>1731</v>
      </c>
      <c r="C59" s="61">
        <f>SUMIFS(payment!H30:H1464,payment!I30:I1464,"&gt;="&amp;DATE(2026,8,1),payment!I30:I1464,"&lt;="&amp;DATE(2026,8,7))</f>
        <v>4436495.0085</v>
      </c>
      <c r="E59" s="63">
        <f>SUMIFS(payment!H30:H1464,payment!I30:I1464,"&gt;="&amp;DATE(2026,8,1),payment!I30:I1464,"&lt;="&amp;DATE(2026,8,7),payment!A30:A1464,"=TW")</f>
        <v>2548544.52</v>
      </c>
      <c r="F59" s="47">
        <f>SUMIFS(payment!H30:H1464,payment!I30:I1464,"&gt;="&amp;DATE(2026,8,1),payment!I30:I1464,"&lt;="&amp;DATE(2026,8,7),payment!A30:A1464,"=VARNISHED")</f>
        <v>0</v>
      </c>
      <c r="G59" s="47">
        <f>SUMIFS(payment!H30:H1464,payment!I30:I1464,"&gt;="&amp;DATE(2026,8,1),payment!I30:I1464,"&lt;="&amp;DATE(2026,8,7),payment!A30:A1464,"=NBE")</f>
        <v>0</v>
      </c>
      <c r="H59" s="63">
        <f>SUMIFS(payment!H30:H1464,payment!I30:I1464,"&gt;="&amp;DATE(2026,8,1),payment!I30:I1464,"&lt;="&amp;DATE(2026,8,7),payment!A30:A1464,"=PT")</f>
        <v>1887950.4885</v>
      </c>
      <c r="I59" s="47">
        <f>SUMIFS(payment!H30:H1464,payment!I30:I1464,"&gt;="&amp;DATE(2026,8,1),payment!I30:I1464,"&lt;="&amp;DATE(2026,8,7),payment!A30:A1464,"=IN")</f>
        <v>0</v>
      </c>
      <c r="J59" s="47">
        <f>SUMIFS(payment!I30:I1464,payment!J30:J1464,"&gt;="&amp;DATE(2026,8,1),payment!J30:J1464,"&lt;="&amp;DATE(2026,8,7),payment!B30:B1464,"=NF")</f>
        <v>0</v>
      </c>
      <c r="K59" s="47">
        <f t="shared" si="0"/>
        <v>0</v>
      </c>
      <c r="L59" s="47">
        <f>SUMIFS(payment!H30:H1481,payment!L30:L1481,"&gt;="&amp;DATE(2026,8,1),payment!L30:L1481,"&lt;="&amp;DATE(2026,8,7))</f>
        <v>0</v>
      </c>
      <c r="M59" s="64">
        <f t="shared" si="1"/>
        <v>-6117637.371425</v>
      </c>
    </row>
    <row r="60" ht="15" customHeight="1" spans="2:13">
      <c r="B60" s="50" t="s">
        <v>1732</v>
      </c>
      <c r="C60" s="66">
        <f>SUMIFS(payment!H30:H1464,payment!I30:I1464,"&gt;="&amp;DATE(2026,8,8),payment!I30:I1464,"&lt;="&amp;DATE(2026,8,15))</f>
        <v>538383.685175</v>
      </c>
      <c r="E60" s="67">
        <f>SUMIFS(payment!H30:H1464,payment!I30:I1464,"&gt;="&amp;DATE(2026,8,8),payment!I30:I1464,"&lt;="&amp;DATE(2026,8,15),payment!A30:A1464,"=TW")</f>
        <v>311850</v>
      </c>
      <c r="F60" s="52">
        <f>SUMIFS(payment!H30:H1464,payment!I30:I1464,"&gt;="&amp;DATE(2026,8,8),payment!I30:I1464,"&lt;="&amp;DATE(2026,8,15),payment!A30:A1464,"=VARNISHED")</f>
        <v>0</v>
      </c>
      <c r="G60" s="52">
        <f>SUMIFS(payment!H30:H1464,payment!I30:I1464,"&gt;="&amp;DATE(2026,8,8),payment!I30:I1464,"&lt;="&amp;DATE(2026,8,15),payment!A30:A1464,"=NBE")</f>
        <v>0</v>
      </c>
      <c r="H60" s="67">
        <f>SUMIFS(payment!H30:H1464,payment!I30:I1464,"&gt;="&amp;DATE(2026,8,8),payment!I30:I1464,"&lt;="&amp;DATE(2026,8,15),payment!A30:A1464,"=PT")</f>
        <v>226533.685175</v>
      </c>
      <c r="I60" s="52">
        <f>SUMIFS(payment!H30:H1464,payment!I30:I1464,"&gt;="&amp;DATE(2026,8,8),payment!I30:I1464,"&lt;="&amp;DATE(2026,8,15),payment!A30:A1464,"=IN")</f>
        <v>0</v>
      </c>
      <c r="J60" s="52">
        <f>SUMIFS(payment!I30:I1464,payment!J30:J1464,"&gt;="&amp;DATE(2026,8,8),payment!J30:J1464,"&lt;="&amp;DATE(2026,8,15),payment!B30:B1464,"=NF")</f>
        <v>0</v>
      </c>
      <c r="K60" s="52">
        <f t="shared" si="0"/>
        <v>0</v>
      </c>
      <c r="L60" s="52">
        <f>SUMIFS(payment!H30:H1481,payment!L30:L1481,"&gt;="&amp;DATE(2026,8,8),payment!L30:L1481,"&lt;="&amp;DATE(2026,8,15))</f>
        <v>0</v>
      </c>
      <c r="M60" s="68">
        <f t="shared" si="1"/>
        <v>-6656021.0566</v>
      </c>
    </row>
    <row r="61" ht="15" customHeight="1" spans="2:13">
      <c r="B61" s="50" t="s">
        <v>1733</v>
      </c>
      <c r="C61" s="66">
        <f>SUMIFS(payment!H30:H1464,payment!I30:I1464,"&gt;="&amp;DATE(2026,8,16),payment!I30:I1464,"&lt;="&amp;DATE(2026,8,23))</f>
        <v>1195837.92</v>
      </c>
      <c r="E61" s="67">
        <f>SUMIFS(payment!H30:H1464,payment!I30:I1464,"&gt;="&amp;DATE(2026,8,16),payment!I30:I1464,"&lt;="&amp;DATE(2026,8,23),payment!A30:A1464,"=TW")</f>
        <v>1195837.92</v>
      </c>
      <c r="F61" s="52">
        <f>SUMIFS(payment!H30:H1464,payment!I30:I1464,"&gt;="&amp;DATE(2026,8,16),payment!I30:I1464,"&lt;="&amp;DATE(2026,8,23),payment!A30:A1464,"=VARNISHED")</f>
        <v>0</v>
      </c>
      <c r="G61" s="52">
        <f>SUMIFS(payment!H30:H1464,payment!I30:I1464,"&gt;="&amp;DATE(2026,8,16),payment!I30:I1464,"&lt;="&amp;DATE(2026,8,23),payment!A30:A1464,"=NBE")</f>
        <v>0</v>
      </c>
      <c r="H61" s="67">
        <f>SUMIFS(payment!H30:H1464,payment!I30:I1464,"&gt;="&amp;DATE(2026,8,16),payment!I30:I1464,"&lt;="&amp;DATE(2026,8,23),payment!A30:A1464,"=PT")</f>
        <v>0</v>
      </c>
      <c r="I61" s="52">
        <f>SUMIFS(payment!H30:H1464,payment!I30:I1464,"&gt;="&amp;DATE(2026,8,16),payment!I30:I1464,"&lt;="&amp;DATE(2026,8,23),payment!A30:A1464,"=IN")</f>
        <v>0</v>
      </c>
      <c r="J61" s="52">
        <f>SUMIFS(payment!I30:I1464,payment!J30:J1464,"&gt;="&amp;DATE(2026,8,16),payment!J30:J1464,"&lt;="&amp;DATE(2026,8,23),payment!B30:B1464,"=NF")</f>
        <v>0</v>
      </c>
      <c r="K61" s="52">
        <f t="shared" si="0"/>
        <v>0</v>
      </c>
      <c r="L61" s="52">
        <f>SUMIFS(payment!H30:H1481,payment!L30:L1481,"&gt;="&amp;DATE(2026,8,16),payment!L30:L1481,"&lt;="&amp;DATE(2026,8,23))</f>
        <v>0</v>
      </c>
      <c r="M61" s="68">
        <f t="shared" si="1"/>
        <v>-7851858.9766</v>
      </c>
    </row>
    <row r="62" ht="15" customHeight="1" spans="2:13">
      <c r="B62" s="55" t="s">
        <v>1734</v>
      </c>
      <c r="C62" s="70">
        <f>SUMIFS(payment!H30:H1464,payment!I30:I1464,"&gt;="&amp;DATE(2026,8,24),payment!I30:I1464,"&lt;="&amp;DATE(2026,8,31))</f>
        <v>3522593.752</v>
      </c>
      <c r="E62" s="71">
        <f>SUMIFS(payment!H30:H1464,payment!I30:I1464,"&gt;="&amp;DATE(2026,8,24),payment!I30:I1464,"&lt;="&amp;DATE(2026,8,31),payment!A30:A1464,"=TW")</f>
        <v>1781586.88</v>
      </c>
      <c r="F62" s="57">
        <f>SUMIFS(payment!H30:H1464,payment!I30:I1464,"&gt;="&amp;DATE(2026,8,24),payment!I30:I1464,"&lt;="&amp;DATE(2026,8,31),payment!A30:A1464,"=VARNISHED")</f>
        <v>0</v>
      </c>
      <c r="G62" s="57">
        <f>SUMIFS(payment!H30:H1464,payment!I30:I1464,"&gt;="&amp;DATE(2026,8,24),payment!I30:I1464,"&lt;="&amp;DATE(2026,8,31),payment!A30:A1464,"=NBE")</f>
        <v>0</v>
      </c>
      <c r="H62" s="71">
        <f>SUMIFS(payment!H30:H1464,payment!I30:I1464,"&gt;="&amp;DATE(2026,8,24),payment!I30:I1464,"&lt;="&amp;DATE(2026,8,31),payment!A30:A1464,"=PT")</f>
        <v>0</v>
      </c>
      <c r="I62" s="57">
        <f>SUMIFS(payment!H30:H1464,payment!I30:I1464,"&gt;="&amp;DATE(2026,8,24),payment!I30:I1464,"&lt;="&amp;DATE(2026,8,31),payment!A30:A1464,"=IN")</f>
        <v>146124</v>
      </c>
      <c r="J62" s="57">
        <f>SUMIFS(payment!I30:I1464,payment!J30:J1464,"&gt;="&amp;DATE(2026,8,24),payment!J30:J1464,"&lt;="&amp;DATE(2026,8,31),payment!B30:B1464,"=NF")</f>
        <v>0</v>
      </c>
      <c r="K62" s="57">
        <f t="shared" si="0"/>
        <v>0</v>
      </c>
      <c r="L62" s="57">
        <f>SUMIFS(payment!H30:H1481,payment!L30:L1481,"&gt;="&amp;DATE(2026,8,24),payment!L30:L1481,"&lt;="&amp;DATE(2026,8,31))</f>
        <v>0</v>
      </c>
      <c r="M62" s="57">
        <f t="shared" si="1"/>
        <v>-11374452.7286</v>
      </c>
    </row>
    <row r="63" ht="15" customHeight="1" spans="2:13">
      <c r="B63" s="45" t="s">
        <v>1735</v>
      </c>
      <c r="C63" s="61">
        <f>SUMIFS(payment!H34:H1468,payment!I34:I1468,"&gt;="&amp;DATE(2026,9,1),payment!I34:I1468,"&lt;="&amp;DATE(2026,9,7))</f>
        <v>639158</v>
      </c>
      <c r="E63" s="63">
        <f>SUMIFS(payment!H34:H1468,payment!I34:I1468,"&gt;="&amp;DATE(2026,9,1),payment!I34:I1468,"&lt;="&amp;DATE(2026,9,7),payment!A34:A1468,"=TW")</f>
        <v>639158</v>
      </c>
      <c r="F63" s="47">
        <f>SUMIFS(payment!H34:H1468,payment!I34:I1468,"&gt;="&amp;DATE(2026,9,1),payment!I34:I1468,"&lt;="&amp;DATE(2026,9,7),payment!A34:A1468,"=VARNISHED")</f>
        <v>0</v>
      </c>
      <c r="G63" s="47">
        <f>SUMIFS(payment!H34:H1468,payment!I34:I1468,"&gt;="&amp;DATE(2026,9,1),payment!I34:I1468,"&lt;="&amp;DATE(2026,9,7),payment!A34:A1468,"=NBE")</f>
        <v>0</v>
      </c>
      <c r="H63" s="63">
        <f>SUMIFS(payment!H34:H1468,payment!I34:I1468,"&gt;="&amp;DATE(2026,9,1),payment!I34:I1468,"&lt;="&amp;DATE(2026,9,7),payment!A34:A1468,"=PT")</f>
        <v>0</v>
      </c>
      <c r="I63" s="47">
        <f>SUMIFS(payment!H34:H1468,payment!I34:I1468,"&gt;="&amp;DATE(2026,9,1),payment!I34:I1468,"&lt;="&amp;DATE(2026,9,7),payment!A34:A1468,"=IN")</f>
        <v>0</v>
      </c>
      <c r="J63" s="47">
        <f>SUMIFS(payment!I34:I1468,payment!J34:J1468,"&gt;="&amp;DATE(2026,9,1),payment!J34:J1468,"&lt;="&amp;DATE(2026,9,7),payment!B34:B1468,"=NF")</f>
        <v>0</v>
      </c>
      <c r="K63" s="47">
        <f t="shared" si="0"/>
        <v>0</v>
      </c>
      <c r="L63" s="47">
        <f>SUMIFS(payment!H34:H1485,payment!L34:L1485,"&gt;="&amp;DATE(2026,9,1),payment!L34:L1485,"&lt;="&amp;DATE(2026,9,7))</f>
        <v>0</v>
      </c>
      <c r="M63" s="64">
        <f t="shared" si="1"/>
        <v>-12013610.7286</v>
      </c>
    </row>
    <row r="64" ht="15" customHeight="1" spans="2:13">
      <c r="B64" s="50" t="s">
        <v>1736</v>
      </c>
      <c r="C64" s="66">
        <f>SUMIFS(payment!H34:H1468,payment!I34:I1468,"&gt;="&amp;DATE(2026,9,8),payment!I34:I1468,"&lt;="&amp;DATE(2026,9,15))</f>
        <v>3282384.8</v>
      </c>
      <c r="E64" s="67">
        <f>SUMIFS(payment!H34:H1468,payment!I34:I1468,"&gt;="&amp;DATE(2026,9,8),payment!I34:I1468,"&lt;="&amp;DATE(2026,9,15),payment!A34:A1468,"=TW")</f>
        <v>1579536.81</v>
      </c>
      <c r="F64" s="52">
        <f>SUMIFS(payment!H34:H1468,payment!I34:I1468,"&gt;="&amp;DATE(2026,9,8),payment!I34:I1468,"&lt;="&amp;DATE(2026,9,15),payment!A34:A1468,"=VARNISHED")</f>
        <v>1702847.99</v>
      </c>
      <c r="G64" s="52">
        <f>SUMIFS(payment!H34:H1468,payment!I34:I1468,"&gt;="&amp;DATE(2026,9,8),payment!I34:I1468,"&lt;="&amp;DATE(2026,9,15),payment!A34:A1468,"=NBE")</f>
        <v>0</v>
      </c>
      <c r="H64" s="67">
        <f>SUMIFS(payment!H34:H1468,payment!I34:I1468,"&gt;="&amp;DATE(2026,9,8),payment!I34:I1468,"&lt;="&amp;DATE(2026,9,15),payment!A34:A1468,"=PT")</f>
        <v>0</v>
      </c>
      <c r="I64" s="52">
        <f>SUMIFS(payment!H34:H1468,payment!I34:I1468,"&gt;="&amp;DATE(2026,9,8),payment!I34:I1468,"&lt;="&amp;DATE(2026,9,15),payment!A34:A1468,"=IN")</f>
        <v>0</v>
      </c>
      <c r="J64" s="52">
        <f>SUMIFS(payment!I34:I1468,payment!J34:J1468,"&gt;="&amp;DATE(2026,9,8),payment!J34:J1468,"&lt;="&amp;DATE(2026,9,15),payment!B34:B1468,"=NF")</f>
        <v>0</v>
      </c>
      <c r="K64" s="52">
        <f t="shared" si="0"/>
        <v>0</v>
      </c>
      <c r="L64" s="52">
        <f>SUMIFS(payment!H34:H1485,payment!L34:L1485,"&gt;="&amp;DATE(2026,9,8),payment!L34:L1485,"&lt;="&amp;DATE(2026,9,15))</f>
        <v>0</v>
      </c>
      <c r="M64" s="68">
        <f t="shared" si="1"/>
        <v>-15295995.5286</v>
      </c>
    </row>
    <row r="65" ht="15" customHeight="1" spans="2:13">
      <c r="B65" s="50" t="s">
        <v>1737</v>
      </c>
      <c r="C65" s="66">
        <f>SUMIFS(payment!H34:H1468,payment!I34:I1468,"&gt;="&amp;DATE(2026,9,16),payment!I34:I1468,"&lt;="&amp;DATE(2026,9,23))</f>
        <v>0</v>
      </c>
      <c r="E65" s="67">
        <f>SUMIFS(payment!H34:H1468,payment!I34:I1468,"&gt;="&amp;DATE(2026,9,16),payment!I34:I1468,"&lt;="&amp;DATE(2026,9,23),payment!A34:A1468,"=TW")</f>
        <v>0</v>
      </c>
      <c r="F65" s="52">
        <f>SUMIFS(payment!H34:H1468,payment!I34:I1468,"&gt;="&amp;DATE(2026,9,16),payment!I34:I1468,"&lt;="&amp;DATE(2026,9,23),payment!A34:A1468,"=VARNISHED")</f>
        <v>0</v>
      </c>
      <c r="G65" s="52">
        <f>SUMIFS(payment!H34:H1468,payment!I34:I1468,"&gt;="&amp;DATE(2026,9,16),payment!I34:I1468,"&lt;="&amp;DATE(2026,9,23),payment!A34:A1468,"=NBE")</f>
        <v>0</v>
      </c>
      <c r="H65" s="67">
        <f>SUMIFS(payment!H34:H1468,payment!I34:I1468,"&gt;="&amp;DATE(2026,9,16),payment!I34:I1468,"&lt;="&amp;DATE(2026,9,23),payment!A34:A1468,"=PT")</f>
        <v>0</v>
      </c>
      <c r="I65" s="52">
        <f>SUMIFS(payment!H34:H1468,payment!I34:I1468,"&gt;="&amp;DATE(2026,9,16),payment!I34:I1468,"&lt;="&amp;DATE(2026,9,23),payment!A34:A1468,"=IN")</f>
        <v>0</v>
      </c>
      <c r="J65" s="52">
        <f>SUMIFS(payment!I34:I1468,payment!J34:J1468,"&gt;="&amp;DATE(2026,9,16),payment!J34:J1468,"&lt;="&amp;DATE(2026,9,23),payment!B34:B1468,"=NF")</f>
        <v>0</v>
      </c>
      <c r="K65" s="52">
        <f t="shared" si="0"/>
        <v>0</v>
      </c>
      <c r="L65" s="52">
        <f>SUMIFS(payment!H34:H1485,payment!L34:L1485,"&gt;="&amp;DATE(2026,9,16),payment!L34:L1485,"&lt;="&amp;DATE(2026,9,23))</f>
        <v>0</v>
      </c>
      <c r="M65" s="68">
        <f t="shared" si="1"/>
        <v>-15295995.5286</v>
      </c>
    </row>
    <row r="66" ht="15" customHeight="1" spans="2:13">
      <c r="B66" s="55" t="s">
        <v>1738</v>
      </c>
      <c r="C66" s="70">
        <f>SUMIFS(payment!H34:H1468,payment!I34:I1468,"&gt;="&amp;DATE(2026,9,24),payment!I34:I1468,"&lt;="&amp;DATE(2026,9,31))</f>
        <v>1770835.92</v>
      </c>
      <c r="E66" s="71">
        <f>SUMIFS(payment!H34:H1468,payment!I34:I1468,"&gt;="&amp;DATE(2026,9,24),payment!I34:I1468,"&lt;="&amp;DATE(2026,9,31),payment!A34:A1468,"=TW")</f>
        <v>1050166.35</v>
      </c>
      <c r="F66" s="57">
        <f>SUMIFS(payment!H34:H1468,payment!I34:I1468,"&gt;="&amp;DATE(2026,9,24),payment!I34:I1468,"&lt;="&amp;DATE(2026,9,31),payment!A34:A1468,"=VARNISHED")</f>
        <v>0</v>
      </c>
      <c r="G66" s="57">
        <f>SUMIFS(payment!H34:H1468,payment!I34:I1468,"&gt;="&amp;DATE(2026,9,24),payment!I34:I1468,"&lt;="&amp;DATE(2026,9,31),payment!A34:A1468,"=NBE")</f>
        <v>0</v>
      </c>
      <c r="H66" s="71">
        <f>SUMIFS(payment!H34:H1468,payment!I34:I1468,"&gt;="&amp;DATE(2026,9,24),payment!I34:I1468,"&lt;="&amp;DATE(2026,9,31),payment!A34:A1468,"=PT")</f>
        <v>0</v>
      </c>
      <c r="I66" s="57">
        <f>SUMIFS(payment!H34:H1468,payment!I34:I1468,"&gt;="&amp;DATE(2026,9,24),payment!I34:I1468,"&lt;="&amp;DATE(2026,9,31),payment!A34:A1468,"=IN")</f>
        <v>720669.57</v>
      </c>
      <c r="J66" s="57">
        <f>SUMIFS(payment!I34:I1468,payment!J34:J1468,"&gt;="&amp;DATE(2026,9,24),payment!J34:J1468,"&lt;="&amp;DATE(2026,9,31),payment!B34:B1468,"=NF")</f>
        <v>0</v>
      </c>
      <c r="K66" s="57">
        <f t="shared" ref="K66:K78" si="2">J66*7.1</f>
        <v>0</v>
      </c>
      <c r="L66" s="57">
        <f>SUMIFS(payment!H34:H1485,payment!L34:L1485,"&gt;="&amp;DATE(2026,9,24),payment!L34:L1485,"&lt;="&amp;DATE(2026,9,31))</f>
        <v>1887950.4865</v>
      </c>
      <c r="M66" s="57">
        <f t="shared" si="1"/>
        <v>-15178880.9621</v>
      </c>
    </row>
    <row r="67" ht="15" customHeight="1" spans="2:13">
      <c r="B67" s="45" t="s">
        <v>1739</v>
      </c>
      <c r="C67" s="61">
        <f>SUMIFS(payment!H38:H1472,payment!I38:I1472,"&gt;="&amp;DATE(2026,10,1),payment!I38:I1472,"&lt;="&amp;DATE(2026,10,7))</f>
        <v>720669.57</v>
      </c>
      <c r="E67" s="63">
        <f>SUMIFS(payment!H38:H1472,payment!I38:I1472,"&gt;="&amp;DATE(2026,10,1),payment!I38:I1472,"&lt;="&amp;DATE(2026,10,7),payment!A38:A1472,"=TW")</f>
        <v>0</v>
      </c>
      <c r="F67" s="47">
        <f>SUMIFS(payment!H38:H1472,payment!I38:I1472,"&gt;="&amp;DATE(2026,10,1),payment!I38:I1472,"&lt;="&amp;DATE(2026,10,7),payment!A38:A1472,"=VARNISHED")</f>
        <v>0</v>
      </c>
      <c r="G67" s="47">
        <f>SUMIFS(payment!H38:H1472,payment!I38:I1472,"&gt;="&amp;DATE(2026,10,1),payment!I38:I1472,"&lt;="&amp;DATE(2026,10,7),payment!A38:A1472,"=NBE")</f>
        <v>0</v>
      </c>
      <c r="H67" s="63">
        <f>SUMIFS(payment!H38:H1472,payment!I38:I1472,"&gt;="&amp;DATE(2026,10,1),payment!I38:I1472,"&lt;="&amp;DATE(2026,10,7),payment!A38:A1472,"=PT")</f>
        <v>0</v>
      </c>
      <c r="I67" s="47">
        <f>SUMIFS(payment!H38:H1472,payment!I38:I1472,"&gt;="&amp;DATE(2026,10,1),payment!I38:I1472,"&lt;="&amp;DATE(2026,10,7),payment!A38:A1472,"=IN")</f>
        <v>720669.57</v>
      </c>
      <c r="J67" s="47">
        <f>SUMIFS(payment!I38:I1472,payment!J38:J1472,"&gt;="&amp;DATE(2026,10,1),payment!J38:J1472,"&lt;="&amp;DATE(2026,10,7),payment!B38:B1472,"=NF")</f>
        <v>0</v>
      </c>
      <c r="K67" s="47">
        <f t="shared" si="2"/>
        <v>0</v>
      </c>
      <c r="L67" s="47">
        <f>SUMIFS(payment!H38:H1489,payment!L38:L1489,"&gt;="&amp;DATE(2026,10,1),payment!L38:L1489,"&lt;="&amp;DATE(2026,10,7))</f>
        <v>0</v>
      </c>
      <c r="M67" s="64">
        <f t="shared" si="1"/>
        <v>-15899550.5321</v>
      </c>
    </row>
    <row r="68" ht="15" customHeight="1" spans="2:13">
      <c r="B68" s="50" t="s">
        <v>1740</v>
      </c>
      <c r="C68" s="66">
        <f>SUMIFS(payment!H38:H1472,payment!I38:I1472,"&gt;="&amp;DATE(2026,10,8),payment!I38:I1472,"&lt;="&amp;DATE(2026,10,15))</f>
        <v>29798.08</v>
      </c>
      <c r="E68" s="67">
        <f>SUMIFS(payment!H38:H1472,payment!I38:I1472,"&gt;="&amp;DATE(2026,10,8),payment!I38:I1472,"&lt;="&amp;DATE(2026,10,15),payment!A38:A1472,"=TW")</f>
        <v>0</v>
      </c>
      <c r="F68" s="52">
        <f>SUMIFS(payment!H38:H1472,payment!I38:I1472,"&gt;="&amp;DATE(2026,10,8),payment!I38:I1472,"&lt;="&amp;DATE(2026,10,15),payment!A38:A1472,"=VARNISHED")</f>
        <v>0</v>
      </c>
      <c r="G68" s="52">
        <f>SUMIFS(payment!H38:H1472,payment!I38:I1472,"&gt;="&amp;DATE(2026,10,8),payment!I38:I1472,"&lt;="&amp;DATE(2026,10,15),payment!A38:A1472,"=NBE")</f>
        <v>0</v>
      </c>
      <c r="H68" s="67">
        <f>SUMIFS(payment!H38:H1472,payment!I38:I1472,"&gt;="&amp;DATE(2026,10,8),payment!I38:I1472,"&lt;="&amp;DATE(2026,10,15),payment!A38:A1472,"=PT")</f>
        <v>0</v>
      </c>
      <c r="I68" s="52">
        <f>SUMIFS(payment!H38:H1472,payment!I38:I1472,"&gt;="&amp;DATE(2026,10,8),payment!I38:I1472,"&lt;="&amp;DATE(2026,10,15),payment!A38:A1472,"=IN")</f>
        <v>0</v>
      </c>
      <c r="J68" s="52">
        <f>SUMIFS(payment!I38:I1472,payment!J38:J1472,"&gt;="&amp;DATE(2026,10,8),payment!J38:J1472,"&lt;="&amp;DATE(2026,10,15),payment!B38:B1472,"=NF")</f>
        <v>0</v>
      </c>
      <c r="K68" s="52">
        <f t="shared" si="2"/>
        <v>0</v>
      </c>
      <c r="L68" s="52">
        <f>SUMIFS(payment!H38:H1489,payment!L38:L1489,"&gt;="&amp;DATE(2026,10,8),payment!L38:L1489,"&lt;="&amp;DATE(2026,10,15))</f>
        <v>0</v>
      </c>
      <c r="M68" s="68">
        <f t="shared" si="1"/>
        <v>-15929348.6121</v>
      </c>
    </row>
    <row r="69" ht="15" customHeight="1" spans="2:13">
      <c r="B69" s="50" t="s">
        <v>1741</v>
      </c>
      <c r="C69" s="66">
        <f>SUMIFS(payment!H38:H1472,payment!I38:I1472,"&gt;="&amp;DATE(2026,10,16),payment!I38:I1472,"&lt;="&amp;DATE(2026,10,23))</f>
        <v>0</v>
      </c>
      <c r="E69" s="67">
        <f>SUMIFS(payment!H38:H1472,payment!I38:I1472,"&gt;="&amp;DATE(2026,10,16),payment!I38:I1472,"&lt;="&amp;DATE(2026,10,23),payment!A38:A1472,"=TW")</f>
        <v>0</v>
      </c>
      <c r="F69" s="52">
        <f>SUMIFS(payment!H38:H1472,payment!I38:I1472,"&gt;="&amp;DATE(2026,10,16),payment!I38:I1472,"&lt;="&amp;DATE(2026,10,23),payment!A38:A1472,"=VARNISHED")</f>
        <v>0</v>
      </c>
      <c r="G69" s="52">
        <f>SUMIFS(payment!H38:H1472,payment!I38:I1472,"&gt;="&amp;DATE(2026,10,16),payment!I38:I1472,"&lt;="&amp;DATE(2026,10,23),payment!A38:A1472,"=NBE")</f>
        <v>0</v>
      </c>
      <c r="H69" s="67">
        <f>SUMIFS(payment!H38:H1472,payment!I38:I1472,"&gt;="&amp;DATE(2026,10,16),payment!I38:I1472,"&lt;="&amp;DATE(2026,10,23),payment!A38:A1472,"=PT")</f>
        <v>0</v>
      </c>
      <c r="I69" s="52">
        <f>SUMIFS(payment!H38:H1472,payment!I38:I1472,"&gt;="&amp;DATE(2026,10,16),payment!I38:I1472,"&lt;="&amp;DATE(2026,10,23),payment!A38:A1472,"=IN")</f>
        <v>0</v>
      </c>
      <c r="J69" s="52">
        <f>SUMIFS(payment!I38:I1472,payment!J38:J1472,"&gt;="&amp;DATE(2026,10,16),payment!J38:J1472,"&lt;="&amp;DATE(2026,10,23),payment!B38:B1472,"=NF")</f>
        <v>0</v>
      </c>
      <c r="K69" s="52">
        <f t="shared" si="2"/>
        <v>0</v>
      </c>
      <c r="L69" s="52">
        <f>SUMIFS(payment!H38:H1489,payment!L38:L1489,"&gt;="&amp;DATE(2026,10,16),payment!L38:L1489,"&lt;="&amp;DATE(2026,10,23))</f>
        <v>0</v>
      </c>
      <c r="M69" s="68">
        <f t="shared" ref="M69:M78" si="3">M68-C69+L69</f>
        <v>-15929348.6121</v>
      </c>
    </row>
    <row r="70" ht="15" customHeight="1" spans="2:13">
      <c r="B70" s="55" t="s">
        <v>1742</v>
      </c>
      <c r="C70" s="70">
        <f>SUMIFS(payment!H38:H1472,payment!I38:I1472,"&gt;="&amp;DATE(2026,10,24),payment!I38:I1472,"&lt;="&amp;DATE(2026,10,31))</f>
        <v>0</v>
      </c>
      <c r="E70" s="71">
        <f>SUMIFS(payment!H38:H1472,payment!I38:I1472,"&gt;="&amp;DATE(2026,10,24),payment!I38:I1472,"&lt;="&amp;DATE(2026,10,31),payment!A38:A1472,"=TW")</f>
        <v>0</v>
      </c>
      <c r="F70" s="57">
        <f>SUMIFS(payment!H38:H1472,payment!I38:I1472,"&gt;="&amp;DATE(2026,10,24),payment!I38:I1472,"&lt;="&amp;DATE(2026,10,31),payment!A38:A1472,"=VARNISHED")</f>
        <v>0</v>
      </c>
      <c r="G70" s="57">
        <f>SUMIFS(payment!H38:H1472,payment!I38:I1472,"&gt;="&amp;DATE(2026,10,24),payment!I38:I1472,"&lt;="&amp;DATE(2026,10,31),payment!A38:A1472,"=NBE")</f>
        <v>0</v>
      </c>
      <c r="H70" s="71">
        <f>SUMIFS(payment!H38:H1472,payment!I38:I1472,"&gt;="&amp;DATE(2026,10,24),payment!I38:I1472,"&lt;="&amp;DATE(2026,10,31),payment!A38:A1472,"=PT")</f>
        <v>0</v>
      </c>
      <c r="I70" s="57">
        <f>SUMIFS(payment!H38:H1472,payment!I38:I1472,"&gt;="&amp;DATE(2026,10,24),payment!I38:I1472,"&lt;="&amp;DATE(2026,10,31),payment!A38:A1472,"=IN")</f>
        <v>0</v>
      </c>
      <c r="J70" s="57">
        <f>SUMIFS(payment!I38:I1472,payment!J38:J1472,"&gt;="&amp;DATE(2026,10,24),payment!J38:J1472,"&lt;="&amp;DATE(2026,10,31),payment!B38:B1472,"=NF")</f>
        <v>0</v>
      </c>
      <c r="K70" s="57">
        <f t="shared" si="2"/>
        <v>0</v>
      </c>
      <c r="L70" s="57">
        <f>SUMIFS(payment!H38:H1489,payment!L38:L1489,"&gt;="&amp;DATE(2026,10,24),payment!L38:L1489,"&lt;="&amp;DATE(2026,10,31))</f>
        <v>226533.685175</v>
      </c>
      <c r="M70" s="57">
        <f t="shared" si="3"/>
        <v>-15702814.926925</v>
      </c>
    </row>
    <row r="71" ht="15" customHeight="1" spans="2:13">
      <c r="B71" s="45" t="s">
        <v>1743</v>
      </c>
      <c r="C71" s="61">
        <f>SUMIFS(payment!H42:H1476,payment!I42:I1476,"&gt;="&amp;DATE(2026,11,1),payment!I42:I1476,"&lt;="&amp;DATE(2026,11,7))</f>
        <v>900218</v>
      </c>
      <c r="E71" s="63">
        <f>SUMIFS(payment!H42:H1476,payment!I42:I1476,"&gt;="&amp;DATE(2026,11,1),payment!I42:I1476,"&lt;="&amp;DATE(2026,11,7),payment!A42:A1476,"=TW")</f>
        <v>0</v>
      </c>
      <c r="F71" s="47">
        <f>SUMIFS(payment!H42:H1476,payment!I42:I1476,"&gt;="&amp;DATE(2026,11,1),payment!I42:I1476,"&lt;="&amp;DATE(2026,11,7),payment!A42:A1476,"=VARNISHED")</f>
        <v>0</v>
      </c>
      <c r="G71" s="47">
        <f>SUMIFS(payment!H42:H1476,payment!I42:I1476,"&gt;="&amp;DATE(2026,11,1),payment!I42:I1476,"&lt;="&amp;DATE(2026,11,7),payment!A42:A1476,"=NBE")</f>
        <v>0</v>
      </c>
      <c r="H71" s="63">
        <f>SUMIFS(payment!H42:H1476,payment!I42:I1476,"&gt;="&amp;DATE(2026,11,1),payment!I42:I1476,"&lt;="&amp;DATE(2026,11,7),payment!A42:A1476,"=PT")</f>
        <v>0</v>
      </c>
      <c r="I71" s="47">
        <f>SUMIFS(payment!H42:H1476,payment!I42:I1476,"&gt;="&amp;DATE(2026,11,1),payment!I42:I1476,"&lt;="&amp;DATE(2026,11,7),payment!A42:A1476,"=IN")</f>
        <v>900218</v>
      </c>
      <c r="J71" s="47">
        <f>SUMIFS(payment!I42:I1476,payment!J42:J1476,"&gt;="&amp;DATE(2026,11,1),payment!J42:J1476,"&lt;="&amp;DATE(2026,11,7),payment!B42:B1476,"=NF")</f>
        <v>0</v>
      </c>
      <c r="K71" s="47">
        <f t="shared" si="2"/>
        <v>0</v>
      </c>
      <c r="L71" s="47">
        <f>SUMIFS(payment!H42:H1493,payment!L42:L1493,"&gt;="&amp;DATE(2026,11,1),payment!L42:L1493,"&lt;="&amp;DATE(2026,11,7))</f>
        <v>0</v>
      </c>
      <c r="M71" s="64">
        <f t="shared" si="3"/>
        <v>-16603032.926925</v>
      </c>
    </row>
    <row r="72" ht="15" customHeight="1" spans="2:13">
      <c r="B72" s="50" t="s">
        <v>1744</v>
      </c>
      <c r="C72" s="66">
        <f>SUMIFS(payment!H42:H1476,payment!I42:I1476,"&gt;="&amp;DATE(2026,11,8),payment!I42:I1476,"&lt;="&amp;DATE(2026,11,15))</f>
        <v>154000</v>
      </c>
      <c r="E72" s="67">
        <f>SUMIFS(payment!H42:H1476,payment!I42:I1476,"&gt;="&amp;DATE(2026,11,8),payment!I42:I1476,"&lt;="&amp;DATE(2026,11,15),payment!A42:A1476,"=TW")</f>
        <v>154000</v>
      </c>
      <c r="F72" s="52">
        <f>SUMIFS(payment!H42:H1476,payment!I42:I1476,"&gt;="&amp;DATE(2026,11,8),payment!I42:I1476,"&lt;="&amp;DATE(2026,11,15),payment!A42:A1476,"=VARNISHED")</f>
        <v>0</v>
      </c>
      <c r="G72" s="52">
        <f>SUMIFS(payment!H42:H1476,payment!I42:I1476,"&gt;="&amp;DATE(2026,11,8),payment!I42:I1476,"&lt;="&amp;DATE(2026,11,15),payment!A42:A1476,"=NBE")</f>
        <v>0</v>
      </c>
      <c r="H72" s="67">
        <f>SUMIFS(payment!H42:H1476,payment!I42:I1476,"&gt;="&amp;DATE(2026,11,8),payment!I42:I1476,"&lt;="&amp;DATE(2026,11,15),payment!A42:A1476,"=PT")</f>
        <v>0</v>
      </c>
      <c r="I72" s="52">
        <f>SUMIFS(payment!H42:H1476,payment!I42:I1476,"&gt;="&amp;DATE(2026,11,8),payment!I42:I1476,"&lt;="&amp;DATE(2026,11,15),payment!A42:A1476,"=IN")</f>
        <v>0</v>
      </c>
      <c r="J72" s="52">
        <f>SUMIFS(payment!I42:I1476,payment!J42:J1476,"&gt;="&amp;DATE(2026,11,8),payment!J42:J1476,"&lt;="&amp;DATE(2026,11,15),payment!B42:B1476,"=NF")</f>
        <v>0</v>
      </c>
      <c r="K72" s="52">
        <f t="shared" si="2"/>
        <v>0</v>
      </c>
      <c r="L72" s="52">
        <f>SUMIFS(payment!H42:H1493,payment!L42:L1493,"&gt;="&amp;DATE(2026,11,8),payment!L42:L1493,"&lt;="&amp;DATE(2026,11,15))</f>
        <v>0</v>
      </c>
      <c r="M72" s="68">
        <f t="shared" si="3"/>
        <v>-16757032.926925</v>
      </c>
    </row>
    <row r="73" ht="15" customHeight="1" spans="2:13">
      <c r="B73" s="50" t="s">
        <v>1745</v>
      </c>
      <c r="C73" s="66">
        <f>SUMIFS(payment!H42:H1476,payment!I42:I1476,"&gt;="&amp;DATE(2026,11,16),payment!I42:I1476,"&lt;="&amp;DATE(2026,11,23))</f>
        <v>0</v>
      </c>
      <c r="E73" s="67">
        <f>SUMIFS(payment!H42:H1476,payment!I42:I1476,"&gt;="&amp;DATE(2026,11,16),payment!I42:I1476,"&lt;="&amp;DATE(2026,11,23),payment!A42:A1476,"=TW")</f>
        <v>0</v>
      </c>
      <c r="F73" s="52">
        <f>SUMIFS(payment!H42:H1476,payment!I42:I1476,"&gt;="&amp;DATE(2026,11,16),payment!I42:I1476,"&lt;="&amp;DATE(2026,11,23),payment!A42:A1476,"=VARNISHED")</f>
        <v>0</v>
      </c>
      <c r="G73" s="52">
        <f>SUMIFS(payment!H42:H1476,payment!I42:I1476,"&gt;="&amp;DATE(2026,11,16),payment!I42:I1476,"&lt;="&amp;DATE(2026,11,23),payment!A42:A1476,"=NBE")</f>
        <v>0</v>
      </c>
      <c r="H73" s="67">
        <f>SUMIFS(payment!H42:H1476,payment!I42:I1476,"&gt;="&amp;DATE(2026,11,16),payment!I42:I1476,"&lt;="&amp;DATE(2026,11,23),payment!A42:A1476,"=PT")</f>
        <v>0</v>
      </c>
      <c r="I73" s="52">
        <f>SUMIFS(payment!H42:H1476,payment!I42:I1476,"&gt;="&amp;DATE(2026,11,16),payment!I42:I1476,"&lt;="&amp;DATE(2026,11,23),payment!A42:A1476,"=IN")</f>
        <v>0</v>
      </c>
      <c r="J73" s="52">
        <f>SUMIFS(payment!I42:I1476,payment!J42:J1476,"&gt;="&amp;DATE(2026,11,16),payment!J42:J1476,"&lt;="&amp;DATE(2026,11,23),payment!B42:B1476,"=NF")</f>
        <v>0</v>
      </c>
      <c r="K73" s="52">
        <f t="shared" si="2"/>
        <v>0</v>
      </c>
      <c r="L73" s="52">
        <f>SUMIFS(payment!H42:H1493,payment!L42:L1493,"&gt;="&amp;DATE(2026,11,16),payment!L42:L1493,"&lt;="&amp;DATE(2026,11,23))</f>
        <v>0</v>
      </c>
      <c r="M73" s="68">
        <f t="shared" si="3"/>
        <v>-16757032.926925</v>
      </c>
    </row>
    <row r="74" ht="15" customHeight="1" spans="2:13">
      <c r="B74" s="55" t="s">
        <v>1746</v>
      </c>
      <c r="C74" s="70">
        <f>SUMIFS(payment!H42:H1476,payment!I42:I1476,"&gt;="&amp;DATE(2026,11,24),payment!I42:I1476,"&lt;="&amp;DATE(2026,11,31))</f>
        <v>900218</v>
      </c>
      <c r="E74" s="71">
        <f>SUMIFS(payment!H42:H1476,payment!I42:I1476,"&gt;="&amp;DATE(2026,11,24),payment!I42:I1476,"&lt;="&amp;DATE(2026,11,31),payment!A42:A1476,"=TW")</f>
        <v>0</v>
      </c>
      <c r="F74" s="57">
        <f>SUMIFS(payment!H42:H1476,payment!I42:I1476,"&gt;="&amp;DATE(2026,12,24),payment!I42:I1476,"&lt;="&amp;DATE(2026,12,31),payment!A42:A1476,"=VARNISHED")</f>
        <v>0</v>
      </c>
      <c r="G74" s="57">
        <f>SUMIFS(payment!H42:H1476,payment!I42:I1476,"&gt;="&amp;DATE(2026,11,24),payment!I42:I1476,"&lt;="&amp;DATE(2026,11,31),payment!A42:A1476,"=NBE")</f>
        <v>0</v>
      </c>
      <c r="H74" s="71">
        <f>SUMIFS(payment!H42:H1476,payment!I42:I1476,"&gt;="&amp;DATE(2026,11,24),payment!I42:I1476,"&lt;="&amp;DATE(2026,11,31),payment!A42:A1476,"=PT")</f>
        <v>0</v>
      </c>
      <c r="I74" s="57">
        <f>SUMIFS(payment!H42:H1476,payment!I42:I1476,"&gt;="&amp;DATE(2026,11,24),payment!I42:I1476,"&lt;="&amp;DATE(2026,11,31),payment!A42:A1476,"=IN")</f>
        <v>900218</v>
      </c>
      <c r="J74" s="57">
        <f>SUMIFS(payment!I42:I1476,payment!J42:J1476,"&gt;="&amp;DATE(2026,11,24),payment!J42:J1476,"&lt;="&amp;DATE(2026,11,31),payment!B42:B1476,"=NF")</f>
        <v>0</v>
      </c>
      <c r="K74" s="57">
        <f t="shared" si="2"/>
        <v>0</v>
      </c>
      <c r="L74" s="57">
        <f>SUMIFS(payment!H42:H1493,payment!L42:L1493,"&gt;="&amp;DATE(2026,11,24),payment!L42:L1493,"&lt;="&amp;DATE(2026,11,31))</f>
        <v>0</v>
      </c>
      <c r="M74" s="57">
        <f t="shared" si="3"/>
        <v>-17657250.926925</v>
      </c>
    </row>
    <row r="75" ht="15" customHeight="1" spans="2:13">
      <c r="B75" s="45" t="s">
        <v>1747</v>
      </c>
      <c r="C75" s="61">
        <f>SUMIFS(payment!H46:H1480,payment!I46:I1480,"&gt;="&amp;DATE(2026,12,1),payment!I46:I1480,"&lt;="&amp;DATE(2026,12,7))</f>
        <v>900218</v>
      </c>
      <c r="E75" s="63">
        <f>SUMIFS(payment!H46:H1480,payment!I46:I1480,"&gt;="&amp;DATE(2026,12,1),payment!I46:I1480,"&lt;="&amp;DATE(2026,12,7),payment!A46:A1480,"=TW")</f>
        <v>0</v>
      </c>
      <c r="F75" s="47">
        <f>SUMIFS(payment!H46:H1480,payment!I46:I1480,"&gt;="&amp;DATE(2026,12,1),payment!I46:I1480,"&lt;="&amp;DATE(2026,12,7),payment!A46:A1480,"=VARNISHED")</f>
        <v>0</v>
      </c>
      <c r="G75" s="47">
        <f>SUMIFS(payment!H46:H1480,payment!I46:I1480,"&gt;="&amp;DATE(2026,12,1),payment!I46:I1480,"&lt;="&amp;DATE(2026,12,7),payment!A46:A1480,"=NBE")</f>
        <v>0</v>
      </c>
      <c r="H75" s="63">
        <f>SUMIFS(payment!H46:H1480,payment!I46:I1480,"&gt;="&amp;DATE(2026,12,1),payment!I46:I1480,"&lt;="&amp;DATE(2026,12,7),payment!A46:A1480,"=PT")</f>
        <v>0</v>
      </c>
      <c r="I75" s="47">
        <f>SUMIFS(payment!H46:H1480,payment!I46:I1480,"&gt;="&amp;DATE(2026,12,1),payment!I46:I1480,"&lt;="&amp;DATE(2026,12,7),payment!A46:A1480,"=IN")</f>
        <v>900218</v>
      </c>
      <c r="J75" s="47">
        <f>SUMIFS(payment!I46:I1480,payment!J46:J1480,"&gt;="&amp;DATE(2026,12,1),payment!J46:J1480,"&lt;="&amp;DATE(2026,12,7),payment!B46:B1480,"=NF")</f>
        <v>0</v>
      </c>
      <c r="K75" s="47">
        <f t="shared" si="2"/>
        <v>0</v>
      </c>
      <c r="L75" s="47">
        <f>SUMIFS(payment!H46:H1497,payment!L46:L1497,"&gt;="&amp;DATE(2026,12,1),payment!L46:L1497,"&lt;="&amp;DATE(2026,12,7))</f>
        <v>0</v>
      </c>
      <c r="M75" s="64">
        <f t="shared" si="3"/>
        <v>-18557468.926925</v>
      </c>
    </row>
    <row r="76" ht="15" customHeight="1" spans="2:13">
      <c r="B76" s="50" t="s">
        <v>1748</v>
      </c>
      <c r="C76" s="66">
        <f>SUMIFS(payment!H46:H1480,payment!I46:I1480,"&gt;="&amp;DATE(2026,12,8),payment!I46:I1480,"&lt;="&amp;DATE(2026,12,15))</f>
        <v>154000</v>
      </c>
      <c r="E76" s="67">
        <f>SUMIFS(payment!H46:H1480,payment!I46:I1480,"&gt;="&amp;DATE(2026,12,8),payment!I46:I1480,"&lt;="&amp;DATE(2026,12,15),payment!A46:A1480,"=TW")</f>
        <v>154000</v>
      </c>
      <c r="F76" s="52">
        <f>SUMIFS(payment!H46:H1480,payment!I46:I1480,"&gt;="&amp;DATE(2026,12,8),payment!I46:I1480,"&lt;="&amp;DATE(2026,12,15),payment!A46:A1480,"=VARNISHED")</f>
        <v>0</v>
      </c>
      <c r="G76" s="52">
        <f>SUMIFS(payment!H46:H1480,payment!I46:I1480,"&gt;="&amp;DATE(2026,12,8),payment!I46:I1480,"&lt;="&amp;DATE(2026,12,15),payment!A46:A1480,"=NBE")</f>
        <v>0</v>
      </c>
      <c r="H76" s="67">
        <f>SUMIFS(payment!H46:H1480,payment!I46:I1480,"&gt;="&amp;DATE(2026,12,8),payment!I46:I1480,"&lt;="&amp;DATE(2026,12,15),payment!A46:A1480,"=PT")</f>
        <v>0</v>
      </c>
      <c r="I76" s="52">
        <f>SUMIFS(payment!H46:H1480,payment!I46:I1480,"&gt;="&amp;DATE(2026,12,8),payment!I46:I1480,"&lt;="&amp;DATE(2026,12,15),payment!A46:A1480,"=IN")</f>
        <v>0</v>
      </c>
      <c r="J76" s="52">
        <f>SUMIFS(payment!I46:I1480,payment!J46:J1480,"&gt;="&amp;DATE(2026,12,8),payment!J46:J1480,"&lt;="&amp;DATE(2026,12,15),payment!B46:B1480,"=NF")</f>
        <v>0</v>
      </c>
      <c r="K76" s="52">
        <f t="shared" si="2"/>
        <v>0</v>
      </c>
      <c r="L76" s="52">
        <f>SUMIFS(payment!H46:H1497,payment!L46:L1497,"&gt;="&amp;DATE(2026,12,8),payment!L46:L1497,"&lt;="&amp;DATE(2026,12,15))</f>
        <v>0</v>
      </c>
      <c r="M76" s="68">
        <f t="shared" si="3"/>
        <v>-18711468.926925</v>
      </c>
    </row>
    <row r="77" ht="15" customHeight="1" spans="2:13">
      <c r="B77" s="50" t="s">
        <v>1749</v>
      </c>
      <c r="C77" s="66">
        <f>SUMIFS(payment!H46:H1480,payment!I46:I1480,"&gt;="&amp;DATE(2026,12,16),payment!I46:I1480,"&lt;="&amp;DATE(2026,12,23))</f>
        <v>0</v>
      </c>
      <c r="E77" s="67">
        <f>SUMIFS(payment!H46:H1480,payment!I46:I1480,"&gt;="&amp;DATE(2026,12,16),payment!I46:I1480,"&lt;="&amp;DATE(2026,12,23),payment!A46:A1480,"=TW")</f>
        <v>0</v>
      </c>
      <c r="F77" s="52">
        <f>SUMIFS(payment!H46:H1480,payment!I46:I1480,"&gt;="&amp;DATE(2026,12,16),payment!I46:I1480,"&lt;="&amp;DATE(2026,12,23),payment!A46:A1480,"=VARNISHED")</f>
        <v>0</v>
      </c>
      <c r="G77" s="52">
        <f>SUMIFS(payment!H46:H1480,payment!I46:I1480,"&gt;="&amp;DATE(2026,12,16),payment!I46:I1480,"&lt;="&amp;DATE(2026,12,23),payment!A46:A1480,"=NBE")</f>
        <v>0</v>
      </c>
      <c r="H77" s="67">
        <f>SUMIFS(payment!H46:H1480,payment!I46:I1480,"&gt;="&amp;DATE(2026,12,16),payment!I46:I1480,"&lt;="&amp;DATE(2026,12,23),payment!A46:A1480,"=PT")</f>
        <v>0</v>
      </c>
      <c r="I77" s="52">
        <f>SUMIFS(payment!H46:H1480,payment!I46:I1480,"&gt;="&amp;DATE(2026,12,16),payment!I46:I1480,"&lt;="&amp;DATE(2026,12,23),payment!A46:A1480,"=IN")</f>
        <v>0</v>
      </c>
      <c r="J77" s="52">
        <f>SUMIFS(payment!I46:I1480,payment!J46:J1480,"&gt;="&amp;DATE(2026,12,16),payment!J46:J1480,"&lt;="&amp;DATE(2026,12,23),payment!B46:B1480,"=NF")</f>
        <v>0</v>
      </c>
      <c r="K77" s="52">
        <f t="shared" si="2"/>
        <v>0</v>
      </c>
      <c r="L77" s="52">
        <f>SUMIFS(payment!H46:H1497,payment!L46:L1497,"&gt;="&amp;DATE(2026,12,16),payment!L46:L1497,"&lt;="&amp;DATE(2026,12,23))</f>
        <v>0</v>
      </c>
      <c r="M77" s="68">
        <f t="shared" si="3"/>
        <v>-18711468.926925</v>
      </c>
    </row>
    <row r="78" ht="15" customHeight="1" spans="2:13">
      <c r="B78" s="55" t="s">
        <v>1750</v>
      </c>
      <c r="C78" s="70">
        <f>SUMIFS(payment!H46:H1480,payment!I46:I1480,"&gt;="&amp;DATE(2026,12,24),payment!I46:I1480,"&lt;="&amp;DATE(2026,12,31))</f>
        <v>0</v>
      </c>
      <c r="E78" s="71">
        <f>SUMIFS(payment!H46:H1480,payment!I46:I1480,"&gt;="&amp;DATE(2026,12,24),payment!I46:I1480,"&lt;="&amp;DATE(2026,12,31),payment!A46:A1480,"=TW")</f>
        <v>0</v>
      </c>
      <c r="F78" s="57">
        <f>SUMIFS(payment!H46:H1480,payment!I46:I1480,"&gt;="&amp;DATE(2026,12,24),payment!I46:I1480,"&lt;="&amp;DATE(2026,12,31),payment!A46:A1480,"=VARNISHED")</f>
        <v>0</v>
      </c>
      <c r="G78" s="57">
        <f>SUMIFS(payment!H46:H1480,payment!I46:I1480,"&gt;="&amp;DATE(2026,12,24),payment!I46:I1480,"&lt;="&amp;DATE(2026,12,31),payment!A46:A1480,"=NBE")</f>
        <v>0</v>
      </c>
      <c r="H78" s="71">
        <f>SUMIFS(payment!H46:H1480,payment!I46:I1480,"&gt;="&amp;DATE(2026,12,24),payment!I46:I1480,"&lt;="&amp;DATE(2026,12,31),payment!A46:A1480,"=PT")</f>
        <v>0</v>
      </c>
      <c r="I78" s="57">
        <f>SUMIFS(payment!H46:H1480,payment!I46:I1480,"&gt;="&amp;DATE(2026,12,24),payment!I46:I1480,"&lt;="&amp;DATE(2026,12,31),payment!A46:A1480,"=IN")</f>
        <v>0</v>
      </c>
      <c r="J78" s="57">
        <f>SUMIFS(payment!I46:I1480,payment!J46:J1480,"&gt;="&amp;DATE(2026,12,24),payment!J46:J1480,"&lt;="&amp;DATE(2026,12,31),payment!B46:B1480,"=NF")</f>
        <v>0</v>
      </c>
      <c r="K78" s="57">
        <f t="shared" si="2"/>
        <v>0</v>
      </c>
      <c r="L78" s="57">
        <f>SUMIFS(payment!H46:H1497,payment!L46:L1497,"&gt;="&amp;DATE(2026,12,24),payment!L46:L1497,"&lt;="&amp;DATE(2026,12,31))</f>
        <v>0</v>
      </c>
      <c r="M78" s="57">
        <f t="shared" si="3"/>
        <v>-18711468.926925</v>
      </c>
    </row>
    <row r="79" spans="2:13">
      <c r="E79" s="72">
        <f t="shared" ref="E79:L79" si="4">SUM(E2:E78)</f>
        <v>11385319.428145</v>
      </c>
      <c r="F79" s="72">
        <f t="shared" si="4"/>
        <v>2199615.431</v>
      </c>
      <c r="G79" s="72">
        <f t="shared" si="4"/>
        <v>1720588.413</v>
      </c>
      <c r="H79" s="72">
        <f t="shared" si="4"/>
        <v>2269958.32858</v>
      </c>
      <c r="I79" s="72">
        <f t="shared" si="4"/>
        <v>5738472.3459</v>
      </c>
      <c r="J79" s="72">
        <f t="shared" si="4"/>
        <v>0</v>
      </c>
      <c r="K79" s="72">
        <f t="shared" si="4"/>
        <v>0</v>
      </c>
      <c r="L79" s="72">
        <f t="shared" si="4"/>
        <v>2228484.1777</v>
      </c>
      <c r="M79" s="33"/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J13"/>
  <sheetViews>
    <sheetView workbookViewId="0">
      <selection activeCell="E12" sqref="E12"/>
    </sheetView>
  </sheetViews>
  <sheetFormatPr defaultColWidth="9" defaultRowHeight="30" customHeight="1"/>
  <cols>
    <col min="1" max="1" width="17.75" style="1" customWidth="1"/>
    <col min="2" max="2" width="53.8796296296296" style="1" customWidth="1"/>
    <col min="3" max="3" width="12.1296296296296" style="1" customWidth="1"/>
    <col min="4" max="4" width="14.8796296296296" style="1" customWidth="1"/>
    <col min="5" max="5" width="17" style="1" customWidth="1"/>
    <col min="6" max="6" width="17.6296296296296" style="1" customWidth="1"/>
    <col min="7" max="7" width="16.25" style="1" customWidth="1"/>
    <col min="8" max="8" width="17.75" style="1" customWidth="1"/>
    <col min="9" max="9" width="13.5" style="1" customWidth="1"/>
    <col min="10" max="10" width="13.25" style="1" customWidth="1"/>
    <col min="11" max="16384" width="9" style="1"/>
  </cols>
  <sheetData>
    <row r="1" ht="51" customHeight="1" spans="1:10">
      <c r="A1" s="2" t="s">
        <v>1771</v>
      </c>
      <c r="B1" s="2" t="s">
        <v>1772</v>
      </c>
      <c r="C1" s="2" t="s">
        <v>1773</v>
      </c>
      <c r="D1" s="2" t="s">
        <v>1774</v>
      </c>
      <c r="E1" s="2" t="s">
        <v>1775</v>
      </c>
      <c r="F1" s="2" t="s">
        <v>1776</v>
      </c>
      <c r="G1" s="2" t="s">
        <v>1777</v>
      </c>
      <c r="H1" s="2" t="s">
        <v>1778</v>
      </c>
      <c r="I1" s="2" t="s">
        <v>1779</v>
      </c>
      <c r="J1" s="2" t="s">
        <v>1780</v>
      </c>
    </row>
    <row r="2" customHeight="1" spans="1:10">
      <c r="A2" s="3" t="s">
        <v>1781</v>
      </c>
      <c r="B2" s="3" t="s">
        <v>1782</v>
      </c>
      <c r="C2" s="4">
        <v>5</v>
      </c>
      <c r="D2" s="5">
        <v>55991</v>
      </c>
      <c r="E2" s="5">
        <f t="shared" ref="E2:E12" si="0">D2*C2</f>
        <v>279955</v>
      </c>
      <c r="F2" s="3">
        <v>279955</v>
      </c>
      <c r="G2" s="5">
        <f>F2-E2</f>
        <v>0</v>
      </c>
      <c r="H2" s="6"/>
      <c r="I2" s="7"/>
      <c r="J2" s="3"/>
    </row>
    <row r="3" customHeight="1" spans="1:10">
      <c r="A3" s="3" t="s">
        <v>1783</v>
      </c>
      <c r="B3" s="3" t="s">
        <v>1782</v>
      </c>
      <c r="C3" s="4">
        <v>25.536</v>
      </c>
      <c r="D3" s="5">
        <v>65333.4</v>
      </c>
      <c r="E3" s="5">
        <f t="shared" si="0"/>
        <v>1668353.7024</v>
      </c>
      <c r="F3" s="8">
        <f>100000+1518353.7+50000</f>
        <v>1668353.7</v>
      </c>
      <c r="G3" s="5">
        <f>F3-E3</f>
        <v>-0.00240000011399388</v>
      </c>
      <c r="H3" s="6"/>
      <c r="I3" s="7"/>
      <c r="J3" s="3"/>
    </row>
    <row r="4" customHeight="1" spans="1:10">
      <c r="A4" s="9" t="s">
        <v>1784</v>
      </c>
      <c r="B4" s="10" t="s">
        <v>1785</v>
      </c>
      <c r="C4" s="11">
        <v>3.5</v>
      </c>
      <c r="D4" s="12">
        <f>8600*7.19</f>
        <v>61834</v>
      </c>
      <c r="E4" s="12">
        <f t="shared" si="0"/>
        <v>216419</v>
      </c>
      <c r="F4" s="9">
        <v>1502249.84</v>
      </c>
      <c r="G4" s="9">
        <f>SUM(E4:E5)-F4</f>
        <v>0</v>
      </c>
      <c r="H4" s="13">
        <v>45789</v>
      </c>
      <c r="I4" s="14">
        <f>H4+14</f>
        <v>45803</v>
      </c>
      <c r="J4" s="10"/>
    </row>
    <row r="5" customHeight="1" spans="1:10">
      <c r="A5" s="15"/>
      <c r="B5" s="10" t="s">
        <v>1786</v>
      </c>
      <c r="C5" s="11">
        <v>21.29</v>
      </c>
      <c r="D5" s="12">
        <f>8400*7.19</f>
        <v>60396</v>
      </c>
      <c r="E5" s="12">
        <f t="shared" si="0"/>
        <v>1285830.84</v>
      </c>
      <c r="F5" s="15"/>
      <c r="G5" s="15"/>
      <c r="H5" s="16"/>
      <c r="I5" s="14"/>
      <c r="J5" s="10"/>
    </row>
    <row r="6" customHeight="1" spans="1:10">
      <c r="A6" s="17" t="s">
        <v>1787</v>
      </c>
      <c r="B6" s="17"/>
      <c r="C6" s="18"/>
      <c r="D6" s="19"/>
      <c r="E6" s="19">
        <f t="shared" si="0"/>
        <v>0</v>
      </c>
      <c r="F6" s="17"/>
      <c r="G6" s="17"/>
      <c r="H6" s="20"/>
      <c r="I6" s="21"/>
      <c r="J6" s="22" t="s">
        <v>1788</v>
      </c>
    </row>
    <row r="7" customHeight="1" spans="1:10">
      <c r="A7" s="9" t="s">
        <v>1789</v>
      </c>
      <c r="B7" s="10" t="s">
        <v>1785</v>
      </c>
      <c r="C7" s="11">
        <v>11.171</v>
      </c>
      <c r="D7" s="12">
        <v>61920</v>
      </c>
      <c r="E7" s="12">
        <f t="shared" si="0"/>
        <v>691708.32</v>
      </c>
      <c r="F7" s="9">
        <f>1751691.3+100000+900000+83972.54</f>
        <v>2835663.84</v>
      </c>
      <c r="G7" s="9">
        <f>SUM(E7:E8)-F7</f>
        <v>0</v>
      </c>
      <c r="H7" s="13">
        <v>45744</v>
      </c>
      <c r="I7" s="14">
        <f>H7+14</f>
        <v>45758</v>
      </c>
      <c r="J7" s="10"/>
    </row>
    <row r="8" customHeight="1" spans="1:10">
      <c r="A8" s="15"/>
      <c r="B8" s="10" t="s">
        <v>1786</v>
      </c>
      <c r="C8" s="11">
        <v>35.449</v>
      </c>
      <c r="D8" s="12">
        <v>60480</v>
      </c>
      <c r="E8" s="12">
        <f t="shared" si="0"/>
        <v>2143955.52</v>
      </c>
      <c r="F8" s="15"/>
      <c r="G8" s="15"/>
      <c r="H8" s="16"/>
      <c r="I8" s="14"/>
      <c r="J8" s="10"/>
    </row>
    <row r="9" customHeight="1" spans="1:10">
      <c r="A9" s="9" t="s">
        <v>1790</v>
      </c>
      <c r="B9" s="10" t="s">
        <v>1785</v>
      </c>
      <c r="C9" s="23">
        <v>9.7895</v>
      </c>
      <c r="D9" s="12">
        <f>8600*7.18</f>
        <v>61748</v>
      </c>
      <c r="E9" s="12">
        <f t="shared" si="0"/>
        <v>604482.046</v>
      </c>
      <c r="F9" s="9">
        <f>2000000+1482175+750000+199736.72</f>
        <v>4431911.72</v>
      </c>
      <c r="G9" s="24">
        <f>SUM(E9:E10)-F9</f>
        <v>0.00200000032782555</v>
      </c>
      <c r="H9" s="13">
        <v>45812</v>
      </c>
      <c r="I9" s="14">
        <f>H9+14</f>
        <v>45826</v>
      </c>
      <c r="J9" s="10"/>
    </row>
    <row r="10" customHeight="1" spans="1:10">
      <c r="A10" s="15"/>
      <c r="B10" s="10" t="s">
        <v>1786</v>
      </c>
      <c r="C10" s="10">
        <v>63.4605</v>
      </c>
      <c r="D10" s="12">
        <f>8400*7.18</f>
        <v>60312</v>
      </c>
      <c r="E10" s="12">
        <f t="shared" si="0"/>
        <v>3827429.676</v>
      </c>
      <c r="F10" s="15"/>
      <c r="G10" s="25"/>
      <c r="H10" s="16"/>
      <c r="I10" s="14"/>
      <c r="J10" s="10"/>
    </row>
    <row r="11" customHeight="1" spans="1:10">
      <c r="A11" s="10" t="s">
        <v>1791</v>
      </c>
      <c r="B11" s="10" t="s">
        <v>1792</v>
      </c>
      <c r="C11" s="10">
        <v>6.11</v>
      </c>
      <c r="D11" s="12">
        <v>65140</v>
      </c>
      <c r="E11" s="12">
        <f t="shared" si="0"/>
        <v>398005.4</v>
      </c>
      <c r="F11" s="9">
        <f>1500000+29956.22</f>
        <v>1529956.22</v>
      </c>
      <c r="G11" s="24">
        <f>SUM(E11:E12)-F11</f>
        <v>0</v>
      </c>
      <c r="H11" s="26">
        <v>45947</v>
      </c>
      <c r="I11" s="27">
        <v>45966</v>
      </c>
      <c r="J11" s="10"/>
    </row>
    <row r="12" customHeight="1" spans="1:10">
      <c r="A12" s="10"/>
      <c r="B12" s="10" t="s">
        <v>1793</v>
      </c>
      <c r="C12" s="10">
        <v>18.33</v>
      </c>
      <c r="D12" s="12">
        <v>61754</v>
      </c>
      <c r="E12" s="12">
        <f t="shared" si="0"/>
        <v>1131950.82</v>
      </c>
      <c r="F12" s="15"/>
      <c r="G12" s="25"/>
      <c r="H12" s="28"/>
      <c r="I12" s="29"/>
      <c r="J12" s="10"/>
    </row>
    <row r="13" customHeight="1" spans="1:10">
      <c r="F13" s="30">
        <f>SUM(F2:F12)</f>
        <v>12248090.32</v>
      </c>
      <c r="G13" s="1">
        <f>SUM(G2:G12)</f>
        <v>-0.000399999786168337</v>
      </c>
    </row>
  </sheetData>
  <mergeCells count="20">
    <mergeCell ref="A4:A5"/>
    <mergeCell ref="A7:A8"/>
    <mergeCell ref="A9:A10"/>
    <mergeCell ref="A11:A12"/>
    <mergeCell ref="F4:F5"/>
    <mergeCell ref="F7:F8"/>
    <mergeCell ref="F9:F10"/>
    <mergeCell ref="F11:F12"/>
    <mergeCell ref="G4:G5"/>
    <mergeCell ref="G7:G8"/>
    <mergeCell ref="G9:G10"/>
    <mergeCell ref="G11:G12"/>
    <mergeCell ref="H4:H5"/>
    <mergeCell ref="H7:H8"/>
    <mergeCell ref="H9:H10"/>
    <mergeCell ref="H11:H12"/>
    <mergeCell ref="I4:I5"/>
    <mergeCell ref="I7:I8"/>
    <mergeCell ref="I9:I10"/>
    <mergeCell ref="I11:I12"/>
  </mergeCells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e4b175-0ccb-42b5-9c44-ba1ba2f04b18" xsi:nil="true"/>
    <lcf76f155ced4ddcb4097134ff3c332f xmlns="aad2d8c2-1f0b-4aff-8829-49ba68381b0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B89EA81F129DA4995D5B5C74540915C" ma:contentTypeVersion="12" ma:contentTypeDescription="新建文档。" ma:contentTypeScope="" ma:versionID="83549deadb05164adec2db7f27c5e315">
  <xsd:schema xmlns:xsd="http://www.w3.org/2001/XMLSchema" xmlns:xs="http://www.w3.org/2001/XMLSchema" xmlns:p="http://schemas.microsoft.com/office/2006/metadata/properties" xmlns:ns2="aad2d8c2-1f0b-4aff-8829-49ba68381b08" xmlns:ns3="50e4b175-0ccb-42b5-9c44-ba1ba2f04b18" targetNamespace="http://schemas.microsoft.com/office/2006/metadata/properties" ma:root="true" ma:fieldsID="ec306a4a490e41510d721457e814078e" ns2:_="" ns3:_="">
    <xsd:import namespace="aad2d8c2-1f0b-4aff-8829-49ba68381b08"/>
    <xsd:import namespace="50e4b175-0ccb-42b5-9c44-ba1ba2f04b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d2d8c2-1f0b-4aff-8829-49ba68381b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图像标记" ma:readOnly="false" ma:fieldId="{5cf76f15-5ced-4ddc-b409-7134ff3c332f}" ma:taxonomyMulti="true" ma:sspId="73326c8d-4ee5-459b-8251-4a19900238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e4b175-0ccb-42b5-9c44-ba1ba2f04b1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0f1b14a-210d-4d7d-81c4-0048fd7ad871}" ma:internalName="TaxCatchAll" ma:showField="CatchAllData" ma:web="50e4b175-0ccb-42b5-9c44-ba1ba2f04b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D5D2EC-0C03-41D7-9772-C0FE7F4104EB}">
  <ds:schemaRefs/>
</ds:datastoreItem>
</file>

<file path=customXml/itemProps2.xml><?xml version="1.0" encoding="utf-8"?>
<ds:datastoreItem xmlns:ds="http://schemas.openxmlformats.org/officeDocument/2006/customXml" ds:itemID="{7055120E-E67D-4EE6-8AAF-FEDA1BDCA39C}"/>
</file>

<file path=customXml/itemProps3.xml><?xml version="1.0" encoding="utf-8"?>
<ds:datastoreItem xmlns:ds="http://schemas.openxmlformats.org/officeDocument/2006/customXml" ds:itemID="{E47D6265-8025-4F00-B156-34F83C4422B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Sheet7 (2)</vt:lpstr>
      <vt:lpstr>knife</vt:lpstr>
      <vt:lpstr>payment</vt:lpstr>
      <vt:lpstr>Varnish</vt:lpstr>
      <vt:lpstr>payment1</vt:lpstr>
      <vt:lpstr>copper payment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iPhone</dc:creator>
  <cp:lastModifiedBy>张文博</cp:lastModifiedBy>
  <dcterms:created xsi:type="dcterms:W3CDTF">2024-10-19T09:34:00Z</dcterms:created>
  <dcterms:modified xsi:type="dcterms:W3CDTF">2026-10-14T01:28:37Z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6C34C9B0515D4A989F17CF978B238DDB_13</vt:lpwstr>
  </property>
  <property fmtid="{D5CDD505-2E9C-101B-9397-08002B2CF9AE}" pid="3" name="KSOProductBuildVer">
    <vt:lpwstr>2052-12.1.0.28505</vt:lpwstr>
  </property>
  <property fmtid="{D5CDD505-2E9C-101B-9397-08002B2CF9AE}" pid="4" name="ContentTypeId">
    <vt:lpwstr>0x0101003B89EA81F129DA4995D5B5C74540915C</vt:lpwstr>
  </property>
  <property fmtid="{D5CDD505-2E9C-101B-9397-08002B2CF9AE}" pid="5" name="MediaServiceImageTags">
    <vt:lpwstr/>
  </property>
  <property fmtid="{D5CDD505-2E9C-101B-9397-08002B2CF9AE}" pid="6" name="KSOReadingLayout">
    <vt:bool>true</vt:bool>
  </property>
  <property fmtid="{D5CDD505-2E9C-101B-9397-08002B2CF9AE}" pid="7" name="CalculationRule">
    <vt:i4>0</vt:i4>
  </property>
</Properties>
</file>