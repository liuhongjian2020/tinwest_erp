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8613\OneDrive - Donatas Imbras\Shipping documents 2024 - Shipping documents\"/>
    </mc:Choice>
  </mc:AlternateContent>
  <xr:revisionPtr revIDLastSave="26" documentId="11_5B5BDF3AB4C1239883659AA959BF0AFE78C3CB22" xr6:coauthVersionLast="47" xr6:coauthVersionMax="47" xr10:uidLastSave="{CE759570-6780-433F-B17A-9527D5FDE3D7}"/>
  <bookViews>
    <workbookView xWindow="0" yWindow="0" windowWidth="22188" windowHeight="9060" xr2:uid="{00000000-000D-0000-FFFF-FFFF00000000}"/>
  </bookViews>
  <sheets>
    <sheet name="Sheet3" sheetId="1" r:id="rId1"/>
    <sheet name="Sheet1" sheetId="2" r:id="rId2"/>
    <sheet name="Sheet2" sheetId="3" r:id="rId3"/>
  </sheets>
  <definedNames>
    <definedName name="_xlnm._FilterDatabase" localSheetId="0" hidden="1">Sheet3!$B$1:$R$128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6" i="1" l="1"/>
  <c r="D145" i="1"/>
  <c r="D144" i="1"/>
  <c r="H142" i="1"/>
  <c r="H141" i="1"/>
  <c r="J127" i="1"/>
  <c r="J125" i="1"/>
  <c r="J124" i="1"/>
  <c r="J123" i="1"/>
  <c r="J122" i="1"/>
  <c r="J120" i="1"/>
  <c r="J119" i="1"/>
  <c r="L118" i="1"/>
  <c r="N118" i="1" s="1"/>
  <c r="J118" i="1"/>
  <c r="J117" i="1"/>
  <c r="J116" i="1"/>
  <c r="J115" i="1"/>
  <c r="J114" i="1"/>
  <c r="H114" i="1"/>
  <c r="J113" i="1"/>
  <c r="H113" i="1"/>
  <c r="J112" i="1"/>
  <c r="J111" i="1"/>
  <c r="L110" i="1"/>
  <c r="N110" i="1" s="1"/>
  <c r="J110" i="1"/>
  <c r="J109" i="1"/>
  <c r="I108" i="1"/>
  <c r="J107" i="1"/>
  <c r="J106" i="1"/>
  <c r="J105" i="1"/>
  <c r="J104" i="1"/>
  <c r="J103" i="1"/>
  <c r="J102" i="1"/>
  <c r="J101" i="1"/>
  <c r="H101" i="1"/>
  <c r="J100" i="1"/>
  <c r="H100" i="1"/>
  <c r="L99" i="1"/>
  <c r="J99" i="1"/>
  <c r="H99" i="1"/>
  <c r="J98" i="1"/>
  <c r="H98" i="1"/>
  <c r="J97" i="1"/>
  <c r="J96" i="1"/>
  <c r="J95" i="1"/>
  <c r="H95" i="1"/>
  <c r="J94" i="1"/>
  <c r="N93" i="1"/>
  <c r="J93" i="1"/>
  <c r="H93" i="1"/>
  <c r="J92" i="1"/>
  <c r="H92" i="1"/>
  <c r="N91" i="1"/>
  <c r="H91" i="1"/>
  <c r="J90" i="1"/>
  <c r="J88" i="1"/>
  <c r="J87" i="1"/>
  <c r="J86" i="1"/>
  <c r="J85" i="1"/>
  <c r="J84" i="1"/>
  <c r="H84" i="1"/>
  <c r="J83" i="1"/>
  <c r="J82" i="1"/>
  <c r="J81" i="1"/>
  <c r="J80" i="1"/>
  <c r="I80" i="1"/>
  <c r="J79" i="1"/>
  <c r="J78" i="1"/>
  <c r="J77" i="1"/>
  <c r="H77" i="1"/>
  <c r="J76" i="1"/>
  <c r="I75" i="1"/>
  <c r="J75" i="1" s="1"/>
  <c r="H75" i="1"/>
  <c r="J74" i="1"/>
  <c r="J73" i="1"/>
  <c r="J72" i="1"/>
  <c r="J71" i="1"/>
  <c r="J70" i="1"/>
  <c r="J69" i="1"/>
  <c r="J68" i="1"/>
  <c r="J67" i="1"/>
  <c r="I67" i="1"/>
  <c r="J66" i="1"/>
  <c r="H66" i="1"/>
  <c r="H65" i="1"/>
  <c r="J64" i="1"/>
  <c r="H64" i="1"/>
  <c r="J63" i="1"/>
  <c r="H63" i="1"/>
  <c r="J62" i="1"/>
  <c r="J61" i="1"/>
  <c r="J60" i="1"/>
  <c r="I60" i="1"/>
  <c r="J59" i="1"/>
  <c r="J58" i="1"/>
  <c r="J57" i="1"/>
  <c r="J56" i="1"/>
  <c r="J55" i="1"/>
  <c r="J54" i="1"/>
  <c r="J53" i="1"/>
  <c r="J52" i="1"/>
  <c r="I52" i="1"/>
  <c r="H52" i="1"/>
  <c r="J51" i="1"/>
  <c r="J50" i="1"/>
  <c r="I50" i="1"/>
  <c r="J49" i="1"/>
  <c r="I49" i="1"/>
  <c r="J48" i="1"/>
  <c r="J47" i="1"/>
  <c r="J46" i="1"/>
  <c r="H46" i="1"/>
  <c r="J45" i="1"/>
  <c r="J44" i="1"/>
  <c r="J43" i="1"/>
  <c r="J42" i="1"/>
  <c r="J41" i="1"/>
  <c r="J40" i="1"/>
  <c r="J39" i="1"/>
  <c r="J38" i="1"/>
  <c r="J37" i="1"/>
  <c r="J36" i="1"/>
  <c r="J35" i="1"/>
  <c r="I35" i="1"/>
  <c r="J34" i="1"/>
  <c r="I34" i="1"/>
  <c r="J33" i="1"/>
  <c r="J32" i="1"/>
  <c r="I32" i="1"/>
  <c r="J31" i="1"/>
  <c r="I31" i="1"/>
  <c r="J30" i="1"/>
  <c r="J29" i="1"/>
  <c r="J28" i="1"/>
  <c r="J27" i="1"/>
  <c r="AC26" i="1"/>
  <c r="AB26" i="1"/>
  <c r="AA26" i="1"/>
  <c r="Z26" i="1"/>
  <c r="Y26" i="1"/>
  <c r="X26" i="1"/>
  <c r="W26" i="1"/>
  <c r="V26" i="1"/>
  <c r="U26" i="1"/>
  <c r="AD26" i="1" s="1"/>
  <c r="J26" i="1"/>
  <c r="AC25" i="1"/>
  <c r="AB25" i="1"/>
  <c r="AA25" i="1"/>
  <c r="Z25" i="1"/>
  <c r="Y25" i="1"/>
  <c r="X25" i="1"/>
  <c r="W25" i="1"/>
  <c r="V25" i="1"/>
  <c r="U25" i="1"/>
  <c r="AD25" i="1" s="1"/>
  <c r="J25" i="1"/>
  <c r="AC24" i="1"/>
  <c r="AB24" i="1"/>
  <c r="AA24" i="1"/>
  <c r="Z24" i="1"/>
  <c r="Y24" i="1"/>
  <c r="X24" i="1"/>
  <c r="W24" i="1"/>
  <c r="V24" i="1"/>
  <c r="U24" i="1"/>
  <c r="AD24" i="1" s="1"/>
  <c r="J24" i="1"/>
  <c r="AC23" i="1"/>
  <c r="AB23" i="1"/>
  <c r="AA23" i="1"/>
  <c r="Z23" i="1"/>
  <c r="Y23" i="1"/>
  <c r="X23" i="1"/>
  <c r="W23" i="1"/>
  <c r="V23" i="1"/>
  <c r="U23" i="1"/>
  <c r="AD23" i="1" s="1"/>
  <c r="J23" i="1"/>
  <c r="AC22" i="1"/>
  <c r="AC27" i="1" s="1"/>
  <c r="AB22" i="1"/>
  <c r="AB27" i="1" s="1"/>
  <c r="AA22" i="1"/>
  <c r="AA27" i="1" s="1"/>
  <c r="Z22" i="1"/>
  <c r="Z27" i="1" s="1"/>
  <c r="Y22" i="1"/>
  <c r="Y27" i="1" s="1"/>
  <c r="X22" i="1"/>
  <c r="X27" i="1" s="1"/>
  <c r="W22" i="1"/>
  <c r="W27" i="1" s="1"/>
  <c r="V22" i="1"/>
  <c r="V27" i="1" s="1"/>
  <c r="U22" i="1"/>
  <c r="J22" i="1"/>
  <c r="J21" i="1"/>
  <c r="J20" i="1"/>
  <c r="J19" i="1"/>
  <c r="AB18" i="1"/>
  <c r="AA18" i="1"/>
  <c r="Z18" i="1"/>
  <c r="Y18" i="1"/>
  <c r="X18" i="1"/>
  <c r="W18" i="1"/>
  <c r="V18" i="1"/>
  <c r="U18" i="1"/>
  <c r="AC18" i="1" s="1"/>
  <c r="J18" i="1"/>
  <c r="I18" i="1"/>
  <c r="AB17" i="1"/>
  <c r="AA17" i="1"/>
  <c r="Z17" i="1"/>
  <c r="Y17" i="1"/>
  <c r="X17" i="1"/>
  <c r="W17" i="1"/>
  <c r="V17" i="1"/>
  <c r="U17" i="1"/>
  <c r="AC17" i="1" s="1"/>
  <c r="J17" i="1"/>
  <c r="I17" i="1"/>
  <c r="AB16" i="1"/>
  <c r="AA16" i="1"/>
  <c r="Z16" i="1"/>
  <c r="Y16" i="1"/>
  <c r="X16" i="1"/>
  <c r="W16" i="1"/>
  <c r="V16" i="1"/>
  <c r="U16" i="1"/>
  <c r="AC16" i="1" s="1"/>
  <c r="J16" i="1"/>
  <c r="H16" i="1"/>
  <c r="AB15" i="1"/>
  <c r="AA15" i="1"/>
  <c r="Z15" i="1"/>
  <c r="Y15" i="1"/>
  <c r="X15" i="1"/>
  <c r="W15" i="1"/>
  <c r="V15" i="1"/>
  <c r="U15" i="1"/>
  <c r="AC15" i="1" s="1"/>
  <c r="J15" i="1"/>
  <c r="AB14" i="1"/>
  <c r="AB19" i="1" s="1"/>
  <c r="AA14" i="1"/>
  <c r="AA19" i="1" s="1"/>
  <c r="Z14" i="1"/>
  <c r="Z19" i="1" s="1"/>
  <c r="Y14" i="1"/>
  <c r="Y19" i="1" s="1"/>
  <c r="X14" i="1"/>
  <c r="X19" i="1" s="1"/>
  <c r="W14" i="1"/>
  <c r="W19" i="1" s="1"/>
  <c r="V14" i="1"/>
  <c r="V19" i="1" s="1"/>
  <c r="U14" i="1"/>
  <c r="J14" i="1"/>
  <c r="J13" i="1"/>
  <c r="J12" i="1"/>
  <c r="J11" i="1"/>
  <c r="AB10" i="1"/>
  <c r="AA10" i="1"/>
  <c r="Z10" i="1"/>
  <c r="Y10" i="1"/>
  <c r="X10" i="1"/>
  <c r="W10" i="1"/>
  <c r="V10" i="1"/>
  <c r="U10" i="1"/>
  <c r="AC10" i="1" s="1"/>
  <c r="J10" i="1"/>
  <c r="AB9" i="1"/>
  <c r="AA9" i="1"/>
  <c r="Z9" i="1"/>
  <c r="Y9" i="1"/>
  <c r="X9" i="1"/>
  <c r="W9" i="1"/>
  <c r="V9" i="1"/>
  <c r="U9" i="1"/>
  <c r="AC9" i="1" s="1"/>
  <c r="J9" i="1"/>
  <c r="AB8" i="1"/>
  <c r="AA8" i="1"/>
  <c r="Z8" i="1"/>
  <c r="Y8" i="1"/>
  <c r="X8" i="1"/>
  <c r="W8" i="1"/>
  <c r="V8" i="1"/>
  <c r="U8" i="1"/>
  <c r="AC8" i="1" s="1"/>
  <c r="J8" i="1"/>
  <c r="AB7" i="1"/>
  <c r="AA7" i="1"/>
  <c r="Z7" i="1"/>
  <c r="Y7" i="1"/>
  <c r="X7" i="1"/>
  <c r="W7" i="1"/>
  <c r="V7" i="1"/>
  <c r="U7" i="1"/>
  <c r="AC7" i="1" s="1"/>
  <c r="J7" i="1"/>
  <c r="AB6" i="1"/>
  <c r="AB11" i="1" s="1"/>
  <c r="AA6" i="1"/>
  <c r="AA11" i="1" s="1"/>
  <c r="Z6" i="1"/>
  <c r="Z11" i="1" s="1"/>
  <c r="Y6" i="1"/>
  <c r="Y11" i="1" s="1"/>
  <c r="X6" i="1"/>
  <c r="X11" i="1" s="1"/>
  <c r="W6" i="1"/>
  <c r="W11" i="1" s="1"/>
  <c r="V6" i="1"/>
  <c r="V11" i="1" s="1"/>
  <c r="U6" i="1"/>
  <c r="J6" i="1"/>
  <c r="J5" i="1"/>
  <c r="J4" i="1"/>
  <c r="I4" i="1"/>
  <c r="J3" i="1"/>
  <c r="J2" i="1"/>
  <c r="U11" i="1" l="1"/>
  <c r="AC6" i="1"/>
  <c r="AC11" i="1" s="1"/>
  <c r="U19" i="1"/>
  <c r="AC19" i="1" s="1"/>
  <c r="AC14" i="1"/>
  <c r="U27" i="1"/>
  <c r="AD27" i="1" s="1"/>
  <c r="AD22" i="1"/>
</calcChain>
</file>

<file path=xl/sharedStrings.xml><?xml version="1.0" encoding="utf-8"?>
<sst xmlns="http://schemas.openxmlformats.org/spreadsheetml/2006/main" count="625" uniqueCount="200">
  <si>
    <t>containers number</t>
  </si>
  <si>
    <t>invoice no.</t>
  </si>
  <si>
    <t>Goods</t>
  </si>
  <si>
    <t>Client</t>
  </si>
  <si>
    <t>who pay</t>
  </si>
  <si>
    <t>payment for goods</t>
  </si>
  <si>
    <t>Paid</t>
  </si>
  <si>
    <t>unpaid</t>
  </si>
  <si>
    <t>ETD</t>
  </si>
  <si>
    <t>loading date</t>
  </si>
  <si>
    <t>payment date</t>
  </si>
  <si>
    <t>80%payment</t>
  </si>
  <si>
    <t>week</t>
  </si>
  <si>
    <t>supplier</t>
  </si>
  <si>
    <t>status</t>
  </si>
  <si>
    <t>TJTW-124</t>
  </si>
  <si>
    <t>ZM</t>
  </si>
  <si>
    <t>shipped</t>
  </si>
  <si>
    <t>June unpaid</t>
  </si>
  <si>
    <t>freight forwarding charges for Andy</t>
  </si>
  <si>
    <t>ANDY</t>
  </si>
  <si>
    <t>DONE</t>
  </si>
  <si>
    <t>PT-7  0.21</t>
  </si>
  <si>
    <t>TJTW-138
Advance payment</t>
  </si>
  <si>
    <t>JRD</t>
  </si>
  <si>
    <t>done</t>
  </si>
  <si>
    <t>July</t>
  </si>
  <si>
    <t>LS</t>
  </si>
  <si>
    <t>WRD</t>
  </si>
  <si>
    <t>salary</t>
  </si>
  <si>
    <t>OTHER</t>
  </si>
  <si>
    <t>SK</t>
  </si>
  <si>
    <t>TOTAL</t>
  </si>
  <si>
    <t>TJTW-137
Advance payment</t>
  </si>
  <si>
    <t>JHL</t>
  </si>
  <si>
    <t>1 week</t>
  </si>
  <si>
    <t>TJTW-122-2</t>
  </si>
  <si>
    <t>2 week</t>
  </si>
  <si>
    <t>TJTW-75+121</t>
  </si>
  <si>
    <t>3 week</t>
  </si>
  <si>
    <t>TJTW-117-2</t>
  </si>
  <si>
    <t>4 week</t>
  </si>
  <si>
    <t>TJTW-129</t>
  </si>
  <si>
    <t>YW</t>
  </si>
  <si>
    <t>5 week</t>
  </si>
  <si>
    <t>TJTW-122-3</t>
  </si>
  <si>
    <t>TJTW-119-2</t>
  </si>
  <si>
    <t>August</t>
  </si>
  <si>
    <t>PT-7  0.18</t>
  </si>
  <si>
    <t>Overall salary of everyone</t>
  </si>
  <si>
    <t>TJTW-130</t>
  </si>
  <si>
    <t>TJTW-139</t>
  </si>
  <si>
    <t>will ship</t>
  </si>
  <si>
    <t>TJTW-75+121 VARNISH</t>
  </si>
  <si>
    <t>TJTW-115</t>
  </si>
  <si>
    <t>September</t>
  </si>
  <si>
    <t>YIWU</t>
  </si>
  <si>
    <t>TJTW-84</t>
  </si>
  <si>
    <t>TJTW-126</t>
  </si>
  <si>
    <t>TJTW-114</t>
  </si>
  <si>
    <t>TJTW-122 transportation cost</t>
  </si>
  <si>
    <t>freight forwarding charges for Andy(the part of PT)</t>
  </si>
  <si>
    <t>TJTW-120</t>
  </si>
  <si>
    <t>NBE-10-3+NBE-10-2</t>
  </si>
  <si>
    <t>TJTW-126 transportation charges</t>
  </si>
  <si>
    <t>TJTW-144 advance payment</t>
  </si>
  <si>
    <t>PT-7-13</t>
  </si>
  <si>
    <t>NBE-14-1</t>
  </si>
  <si>
    <t>TJTW-148 advance payment</t>
  </si>
  <si>
    <t>TJTW-124-2</t>
  </si>
  <si>
    <t>TJTW-141  Advance payment</t>
  </si>
  <si>
    <t>TJTW-147  dvance payment</t>
  </si>
  <si>
    <t>NBE-14-2</t>
  </si>
  <si>
    <t>TJTW-119-3</t>
  </si>
  <si>
    <t>TJTW-127(ZM+JHL)</t>
  </si>
  <si>
    <t>PT-7-15 (0.17)</t>
  </si>
  <si>
    <t>TJTW-145-1</t>
  </si>
  <si>
    <t>TJTW-149 Advance payment</t>
  </si>
  <si>
    <t>NBE-14-4</t>
  </si>
  <si>
    <t>INTW-25-1</t>
  </si>
  <si>
    <t>INTW-26</t>
  </si>
  <si>
    <t>INTW-6-13</t>
  </si>
  <si>
    <t>TJTW-145-2 Tin</t>
  </si>
  <si>
    <t>PT-7-18(0.21)</t>
  </si>
  <si>
    <t>TJTW-137-1</t>
  </si>
  <si>
    <t>TJTW-136-1</t>
  </si>
  <si>
    <t>TJTW-138-1</t>
  </si>
  <si>
    <t>TJTW-151 advance payment</t>
  </si>
  <si>
    <t>TJTW-152 advance payment</t>
  </si>
  <si>
    <t>TJTW-136-2</t>
  </si>
  <si>
    <t>TJTW-143</t>
  </si>
  <si>
    <t>NBE-15(CFR)</t>
  </si>
  <si>
    <t>NBE-14-6</t>
  </si>
  <si>
    <t>Divided into 3-day loading</t>
  </si>
  <si>
    <t>TJTW-135</t>
  </si>
  <si>
    <t>ETP</t>
  </si>
  <si>
    <t>INTEX</t>
  </si>
  <si>
    <t>postpone to September</t>
  </si>
  <si>
    <t>TJTW-115-4</t>
  </si>
  <si>
    <t>Specproject</t>
  </si>
  <si>
    <t>INTW-25-2(401 EOE T5)</t>
  </si>
  <si>
    <t>EOE</t>
  </si>
  <si>
    <t>Indeks</t>
  </si>
  <si>
    <t>INTW-27-1(300 EOE 0.19)</t>
  </si>
  <si>
    <t>INTW-28-1(401 SE)</t>
  </si>
  <si>
    <t>SE</t>
  </si>
  <si>
    <t>TJTW-140-1</t>
  </si>
  <si>
    <t>Kalmeta</t>
  </si>
  <si>
    <r>
      <rPr>
        <sz val="11"/>
        <color theme="1"/>
        <rFont val="宋体"/>
        <charset val="134"/>
      </rPr>
      <t>白俄</t>
    </r>
    <r>
      <rPr>
        <sz val="11"/>
        <color theme="1"/>
        <rFont val="Calibri"/>
        <charset val="134"/>
      </rPr>
      <t>TJTW-141</t>
    </r>
  </si>
  <si>
    <t>MAGOL</t>
  </si>
  <si>
    <r>
      <rPr>
        <sz val="11"/>
        <color theme="1"/>
        <rFont val="Calibri"/>
        <charset val="134"/>
      </rPr>
      <t>TJTW-144-1</t>
    </r>
    <r>
      <rPr>
        <sz val="11"/>
        <color theme="1"/>
        <rFont val="宋体"/>
        <charset val="134"/>
      </rPr>
      <t>（not MMA）</t>
    </r>
  </si>
  <si>
    <t>SKARDA</t>
  </si>
  <si>
    <t>TJTW-142-1</t>
  </si>
  <si>
    <t>Etalon</t>
  </si>
  <si>
    <t>NBE-6</t>
  </si>
  <si>
    <t>TOP BOTTOM</t>
  </si>
  <si>
    <t>NBE</t>
  </si>
  <si>
    <t>TJTW-138-2</t>
  </si>
  <si>
    <t>UAB</t>
  </si>
  <si>
    <t>cargos not ready, postpone</t>
  </si>
  <si>
    <t>TJTW-131</t>
  </si>
  <si>
    <t>Alu Sheet</t>
  </si>
  <si>
    <t>ATL</t>
  </si>
  <si>
    <t>TJTW-140-2</t>
  </si>
  <si>
    <t>INTW-25-3(401 EOE T5)</t>
  </si>
  <si>
    <t>TJ</t>
  </si>
  <si>
    <t>1 pallet</t>
  </si>
  <si>
    <t>INTW-33(300 EOE 0.20)</t>
  </si>
  <si>
    <t>TJTW-149-1</t>
  </si>
  <si>
    <t>Technocap</t>
  </si>
  <si>
    <t>TJTW-140-4(BY OURSELF)</t>
  </si>
  <si>
    <t>TJTW-146</t>
  </si>
  <si>
    <t>MB</t>
  </si>
  <si>
    <t>ship by train</t>
  </si>
  <si>
    <t>TJTW-154</t>
  </si>
  <si>
    <t>TJTW-137-2</t>
  </si>
  <si>
    <t>TJTW-140-3</t>
  </si>
  <si>
    <r>
      <rPr>
        <sz val="11"/>
        <color theme="1"/>
        <rFont val="Calibri"/>
        <charset val="134"/>
      </rPr>
      <t>NBE-14-12andNBE-11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ship by client)</t>
    </r>
  </si>
  <si>
    <t>not booked</t>
  </si>
  <si>
    <r>
      <rPr>
        <sz val="11"/>
        <color theme="1"/>
        <rFont val="Calibri"/>
        <charset val="134"/>
      </rPr>
      <t xml:space="preserve">NBE-18 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by truck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</si>
  <si>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charset val="134"/>
      </rPr>
      <t xml:space="preserve">NBE-14-13 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by truck</t>
    </r>
    <r>
      <rPr>
        <sz val="11"/>
        <color theme="1"/>
        <rFont val="宋体"/>
        <charset val="134"/>
      </rPr>
      <t>）</t>
    </r>
  </si>
  <si>
    <t>TJTW-152</t>
  </si>
  <si>
    <t>POLINKA</t>
  </si>
  <si>
    <r>
      <rPr>
        <sz val="11"/>
        <color theme="1"/>
        <rFont val="Calibri"/>
        <charset val="134"/>
      </rPr>
      <t>cancel</t>
    </r>
    <r>
      <rPr>
        <sz val="11"/>
        <color theme="1"/>
        <rFont val="宋体"/>
        <charset val="134"/>
      </rPr>
      <t>，waiting client decide</t>
    </r>
  </si>
  <si>
    <t>TJTW-156</t>
  </si>
  <si>
    <t>National Food</t>
  </si>
  <si>
    <t>client</t>
  </si>
  <si>
    <t xml:space="preserve">TJTW-144  </t>
  </si>
  <si>
    <t>TJTW-140-5(SHIP OTHER)</t>
  </si>
  <si>
    <r>
      <rPr>
        <sz val="11"/>
        <rFont val="宋体"/>
        <charset val="134"/>
      </rPr>
      <t>天津-当天付</t>
    </r>
    <r>
      <rPr>
        <sz val="11"/>
        <rFont val="Calibri"/>
        <charset val="134"/>
      </rPr>
      <t>20%</t>
    </r>
    <r>
      <rPr>
        <sz val="11"/>
        <rFont val="宋体"/>
        <charset val="134"/>
      </rPr>
      <t>货款，两个月后付</t>
    </r>
    <r>
      <rPr>
        <sz val="11"/>
        <rFont val="Calibri"/>
        <charset val="134"/>
      </rPr>
      <t>80%</t>
    </r>
    <r>
      <rPr>
        <sz val="11"/>
        <rFont val="宋体"/>
        <charset val="134"/>
      </rPr>
      <t>尾款</t>
    </r>
  </si>
  <si>
    <t>TJTW-152-2</t>
  </si>
  <si>
    <t>TJTW-142-2</t>
  </si>
  <si>
    <r>
      <rPr>
        <sz val="11"/>
        <rFont val="宋体"/>
        <charset val="134"/>
      </rPr>
      <t>UAB-当天付</t>
    </r>
    <r>
      <rPr>
        <sz val="11"/>
        <rFont val="Calibri"/>
        <charset val="134"/>
      </rPr>
      <t>20%</t>
    </r>
    <r>
      <rPr>
        <sz val="11"/>
        <rFont val="宋体"/>
        <charset val="134"/>
      </rPr>
      <t>货款，两个月后付</t>
    </r>
    <r>
      <rPr>
        <sz val="11"/>
        <rFont val="Calibri"/>
        <charset val="134"/>
      </rPr>
      <t>80%</t>
    </r>
    <r>
      <rPr>
        <sz val="11"/>
        <rFont val="宋体"/>
        <charset val="134"/>
      </rPr>
      <t>尾款</t>
    </r>
  </si>
  <si>
    <t>INTW-28-2(401 SE)</t>
  </si>
  <si>
    <t>TJTW-149-2</t>
  </si>
  <si>
    <t>TJTW</t>
  </si>
  <si>
    <t>INTW-27-2(300 EOE 0.19)</t>
  </si>
  <si>
    <t>TJTW-151</t>
  </si>
  <si>
    <t>KN</t>
  </si>
  <si>
    <r>
      <rPr>
        <sz val="11"/>
        <color theme="1"/>
        <rFont val="Calibri"/>
        <charset val="134"/>
      </rPr>
      <t>TJTW-144-3+0.25</t>
    </r>
    <r>
      <rPr>
        <sz val="11"/>
        <color theme="1"/>
        <rFont val="宋体"/>
        <charset val="134"/>
      </rPr>
      <t>个</t>
    </r>
    <r>
      <rPr>
        <sz val="11"/>
        <color theme="1"/>
        <rFont val="Calibri"/>
        <charset val="134"/>
      </rPr>
      <t>153Kalmeta</t>
    </r>
  </si>
  <si>
    <t>TJTW-144-2</t>
  </si>
  <si>
    <t>INTW-25-4</t>
  </si>
  <si>
    <t>TJTW-149-3</t>
  </si>
  <si>
    <r>
      <rPr>
        <sz val="11"/>
        <color theme="1"/>
        <rFont val="Calibri"/>
        <charset val="134"/>
      </rPr>
      <t>PT-7-19(0.17 9</t>
    </r>
    <r>
      <rPr>
        <sz val="11"/>
        <color theme="1"/>
        <rFont val="宋体"/>
        <charset val="134"/>
      </rPr>
      <t>柜</t>
    </r>
    <r>
      <rPr>
        <sz val="11"/>
        <color theme="1"/>
        <rFont val="Calibri"/>
        <charset val="134"/>
      </rPr>
      <t>+0.21 1</t>
    </r>
    <r>
      <rPr>
        <sz val="11"/>
        <color theme="1"/>
        <rFont val="宋体"/>
        <charset val="134"/>
      </rPr>
      <t>柜</t>
    </r>
    <r>
      <rPr>
        <sz val="11"/>
        <color theme="1"/>
        <rFont val="Calibri"/>
        <charset val="134"/>
      </rPr>
      <t>)</t>
    </r>
  </si>
  <si>
    <t>Partner</t>
  </si>
  <si>
    <t>TJTW-115-5</t>
  </si>
  <si>
    <t>TJTW-150</t>
  </si>
  <si>
    <t>TJTW-155</t>
  </si>
  <si>
    <t>TJTW-151-2</t>
  </si>
  <si>
    <t>TJTW-148-1</t>
  </si>
  <si>
    <t>99 Peel-off Lids. + SE</t>
  </si>
  <si>
    <t>Polska</t>
  </si>
  <si>
    <t>TJTW-153(TJTW144)</t>
  </si>
  <si>
    <t>TJTW-142-3+TJTW119-4</t>
  </si>
  <si>
    <t>TJTW157-2+159</t>
  </si>
  <si>
    <t>INTW-27-3(300 EOE 0.19)</t>
  </si>
  <si>
    <t>INTW-28-3(401 SE)</t>
  </si>
  <si>
    <t>PT-6-2(0.18*800*924)</t>
  </si>
  <si>
    <t>PT-6-3(0.18*800*944  0.18*860*944)</t>
  </si>
  <si>
    <t>postpone to October</t>
  </si>
  <si>
    <t>TJTW-148-2</t>
  </si>
  <si>
    <t>TJTW-115-6</t>
  </si>
  <si>
    <t>NBE-16+NBE-17</t>
  </si>
  <si>
    <t>TJTW157-1+159</t>
  </si>
  <si>
    <t>TJTW-147+TJTW134</t>
  </si>
  <si>
    <t>Intex</t>
  </si>
  <si>
    <t>TJTW-138-3</t>
  </si>
  <si>
    <t>TJTW-138-4</t>
  </si>
  <si>
    <t>INTW-27-4(300 EOE 0.19)</t>
  </si>
  <si>
    <t>INTW-28-4(401 SE)</t>
  </si>
  <si>
    <t>TJTW-148-3</t>
  </si>
  <si>
    <t>TJTW-115-7</t>
  </si>
  <si>
    <t>TJTW158-1</t>
  </si>
  <si>
    <t>TJTW-148-4</t>
  </si>
  <si>
    <t>INTW-30(300 EOE 0.20)</t>
  </si>
  <si>
    <t>?</t>
  </si>
  <si>
    <t>九月ANDY</t>
  </si>
  <si>
    <t>欧洲运费</t>
  </si>
  <si>
    <t>俄罗斯</t>
  </si>
  <si>
    <t>partner CFR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</si>
</sst>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8" formatCode="#,##0.000_);[Red]\(#,##0.000\)"/>
    <numFmt numFmtId="169" formatCode="yyyy/m/d;@"/>
    <numFmt numFmtId="170" formatCode="#,##0.0;[Red]\-#,##0.0"/>
    <numFmt numFmtId="171" formatCode="#,##0.000;[Red]#,##0.000"/>
  </numFmts>
  <fonts count="1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sz val="12"/>
      <color rgb="FF000000"/>
      <name val="Arial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Calibri"/>
      <charset val="134"/>
    </font>
    <font>
      <sz val="11"/>
      <color rgb="FF242424"/>
      <name val="宋体"/>
      <charset val="134"/>
      <scheme val="minor"/>
    </font>
    <font>
      <sz val="11"/>
      <color theme="9"/>
      <name val="Calibri"/>
      <charset val="134"/>
    </font>
    <font>
      <sz val="11"/>
      <color theme="5" tint="-0.249977111117893"/>
      <name val="宋体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42625202185128"/>
        <bgColor indexed="64"/>
      </patternFill>
    </fill>
    <fill>
      <patternFill patternType="solid">
        <fgColor theme="9" tint="0.3994567705313272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4" tint="0.3997314371166112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1">
    <xf numFmtId="0" fontId="0" fillId="0" borderId="0" xfId="0">
      <alignment vertical="center"/>
    </xf>
    <xf numFmtId="168" fontId="1" fillId="0" borderId="0" xfId="0" applyNumberFormat="1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168" fontId="1" fillId="0" borderId="0" xfId="0" applyNumberFormat="1" applyFont="1">
      <alignment vertical="center"/>
    </xf>
    <xf numFmtId="169" fontId="1" fillId="0" borderId="0" xfId="0" applyNumberFormat="1" applyFont="1" applyAlignment="1">
      <alignment horizontal="center" vertical="center"/>
    </xf>
    <xf numFmtId="40" fontId="1" fillId="0" borderId="0" xfId="0" applyNumberFormat="1" applyFont="1">
      <alignment vertical="center"/>
    </xf>
    <xf numFmtId="40" fontId="1" fillId="0" borderId="0" xfId="0" applyNumberFormat="1" applyFont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center" vertical="center"/>
    </xf>
    <xf numFmtId="38" fontId="1" fillId="0" borderId="2" xfId="0" applyNumberFormat="1" applyFont="1" applyBorder="1" applyAlignment="1">
      <alignment horizontal="center" vertical="center"/>
    </xf>
    <xf numFmtId="168" fontId="1" fillId="0" borderId="2" xfId="0" applyNumberFormat="1" applyFont="1" applyBorder="1" applyAlignment="1">
      <alignment horizontal="center" vertical="center"/>
    </xf>
    <xf numFmtId="38" fontId="1" fillId="2" borderId="1" xfId="0" applyNumberFormat="1" applyFon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/>
    </xf>
    <xf numFmtId="169" fontId="1" fillId="2" borderId="2" xfId="0" applyNumberFormat="1" applyFont="1" applyFill="1" applyBorder="1" applyAlignment="1">
      <alignment horizontal="center" vertical="center"/>
    </xf>
    <xf numFmtId="38" fontId="1" fillId="2" borderId="2" xfId="0" applyNumberFormat="1" applyFont="1" applyFill="1" applyBorder="1" applyAlignment="1">
      <alignment horizontal="center" vertical="center"/>
    </xf>
    <xf numFmtId="168" fontId="1" fillId="2" borderId="2" xfId="0" applyNumberFormat="1" applyFon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 wrapText="1"/>
    </xf>
    <xf numFmtId="168" fontId="2" fillId="2" borderId="1" xfId="0" applyNumberFormat="1" applyFont="1" applyFill="1" applyBorder="1" applyAlignment="1">
      <alignment horizontal="center" vertical="center"/>
    </xf>
    <xf numFmtId="169" fontId="2" fillId="2" borderId="1" xfId="0" applyNumberFormat="1" applyFont="1" applyFill="1" applyBorder="1" applyAlignment="1">
      <alignment horizontal="center" vertical="center"/>
    </xf>
    <xf numFmtId="40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4" fillId="2" borderId="1" xfId="0" applyNumberFormat="1" applyFont="1" applyFill="1" applyBorder="1" applyAlignment="1">
      <alignment horizontal="center" vertical="center"/>
    </xf>
    <xf numFmtId="38" fontId="2" fillId="2" borderId="1" xfId="0" applyNumberFormat="1" applyFont="1" applyFill="1" applyBorder="1" applyAlignment="1">
      <alignment horizontal="center" vertical="center"/>
    </xf>
    <xf numFmtId="169" fontId="2" fillId="2" borderId="2" xfId="0" applyNumberFormat="1" applyFont="1" applyFill="1" applyBorder="1" applyAlignment="1">
      <alignment horizontal="center" vertical="center"/>
    </xf>
    <xf numFmtId="38" fontId="2" fillId="2" borderId="2" xfId="0" applyNumberFormat="1" applyFont="1" applyFill="1" applyBorder="1" applyAlignment="1">
      <alignment horizontal="center" vertical="center"/>
    </xf>
    <xf numFmtId="169" fontId="1" fillId="2" borderId="0" xfId="0" applyNumberFormat="1" applyFont="1" applyFill="1" applyAlignment="1">
      <alignment horizontal="center" vertical="center"/>
    </xf>
    <xf numFmtId="38" fontId="1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0" fontId="1" fillId="2" borderId="1" xfId="0" applyNumberFormat="1" applyFont="1" applyFill="1" applyBorder="1" applyAlignment="1">
      <alignment horizontal="center" vertical="center"/>
    </xf>
    <xf numFmtId="38" fontId="1" fillId="2" borderId="3" xfId="0" applyNumberFormat="1" applyFont="1" applyFill="1" applyBorder="1" applyAlignment="1">
      <alignment horizontal="center" vertical="center"/>
    </xf>
    <xf numFmtId="169" fontId="2" fillId="2" borderId="3" xfId="0" applyNumberFormat="1" applyFont="1" applyFill="1" applyBorder="1" applyAlignment="1">
      <alignment horizontal="center" vertical="center"/>
    </xf>
    <xf numFmtId="169" fontId="1" fillId="2" borderId="3" xfId="0" applyNumberFormat="1" applyFont="1" applyFill="1" applyBorder="1" applyAlignment="1">
      <alignment horizontal="center" vertical="center"/>
    </xf>
    <xf numFmtId="169" fontId="1" fillId="2" borderId="4" xfId="0" applyNumberFormat="1" applyFont="1" applyFill="1" applyBorder="1" applyAlignment="1">
      <alignment horizontal="center" vertical="center"/>
    </xf>
    <xf numFmtId="38" fontId="1" fillId="2" borderId="4" xfId="0" applyNumberFormat="1" applyFont="1" applyFill="1" applyBorder="1" applyAlignment="1">
      <alignment horizontal="center" vertical="center"/>
    </xf>
    <xf numFmtId="168" fontId="1" fillId="2" borderId="4" xfId="0" applyNumberFormat="1" applyFont="1" applyFill="1" applyBorder="1" applyAlignment="1">
      <alignment horizontal="center" vertical="center"/>
    </xf>
    <xf numFmtId="168" fontId="1" fillId="2" borderId="3" xfId="0" applyNumberFormat="1" applyFont="1" applyFill="1" applyBorder="1" applyAlignment="1">
      <alignment horizontal="center" vertical="center"/>
    </xf>
    <xf numFmtId="168" fontId="1" fillId="2" borderId="3" xfId="0" applyNumberFormat="1" applyFont="1" applyFill="1" applyBorder="1" applyAlignment="1">
      <alignment horizontal="right" vertical="center"/>
    </xf>
    <xf numFmtId="168" fontId="1" fillId="0" borderId="0" xfId="0" applyNumberFormat="1" applyFont="1" applyAlignment="1">
      <alignment horizontal="left" vertical="center"/>
    </xf>
    <xf numFmtId="168" fontId="4" fillId="2" borderId="1" xfId="0" applyNumberFormat="1" applyFont="1" applyFill="1" applyBorder="1" applyAlignment="1">
      <alignment horizontal="center" vertical="center"/>
    </xf>
    <xf numFmtId="169" fontId="4" fillId="2" borderId="1" xfId="0" applyNumberFormat="1" applyFont="1" applyFill="1" applyBorder="1" applyAlignment="1">
      <alignment horizontal="center" vertical="center"/>
    </xf>
    <xf numFmtId="168" fontId="2" fillId="0" borderId="0" xfId="0" applyNumberFormat="1" applyFont="1">
      <alignment vertical="center"/>
    </xf>
    <xf numFmtId="169" fontId="2" fillId="3" borderId="1" xfId="0" applyNumberFormat="1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169" fontId="1" fillId="3" borderId="1" xfId="0" applyNumberFormat="1" applyFont="1" applyFill="1" applyBorder="1" applyAlignment="1">
      <alignment horizontal="center" vertical="center"/>
    </xf>
    <xf numFmtId="169" fontId="2" fillId="5" borderId="1" xfId="0" applyNumberFormat="1" applyFont="1" applyFill="1" applyBorder="1" applyAlignment="1">
      <alignment horizontal="center" vertical="center"/>
    </xf>
    <xf numFmtId="168" fontId="5" fillId="2" borderId="1" xfId="0" applyNumberFormat="1" applyFont="1" applyFill="1" applyBorder="1" applyAlignment="1">
      <alignment horizontal="center" vertical="center"/>
    </xf>
    <xf numFmtId="168" fontId="1" fillId="6" borderId="1" xfId="0" applyNumberFormat="1" applyFont="1" applyFill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68" fontId="1" fillId="7" borderId="1" xfId="0" applyNumberFormat="1" applyFont="1" applyFill="1" applyBorder="1" applyAlignment="1">
      <alignment horizontal="center" vertical="center"/>
    </xf>
    <xf numFmtId="168" fontId="2" fillId="8" borderId="1" xfId="0" applyNumberFormat="1" applyFont="1" applyFill="1" applyBorder="1" applyAlignment="1">
      <alignment horizontal="center" vertical="center"/>
    </xf>
    <xf numFmtId="168" fontId="2" fillId="6" borderId="1" xfId="0" applyNumberFormat="1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 vertical="center" wrapText="1"/>
    </xf>
    <xf numFmtId="170" fontId="1" fillId="3" borderId="1" xfId="0" applyNumberFormat="1" applyFont="1" applyFill="1" applyBorder="1" applyAlignment="1">
      <alignment horizontal="center" vertical="center"/>
    </xf>
    <xf numFmtId="168" fontId="1" fillId="3" borderId="1" xfId="0" applyNumberFormat="1" applyFont="1" applyFill="1" applyBorder="1" applyAlignment="1">
      <alignment horizontal="center" vertical="center"/>
    </xf>
    <xf numFmtId="169" fontId="4" fillId="3" borderId="1" xfId="0" applyNumberFormat="1" applyFont="1" applyFill="1" applyBorder="1" applyAlignment="1">
      <alignment horizontal="center" vertical="center"/>
    </xf>
    <xf numFmtId="38" fontId="2" fillId="3" borderId="1" xfId="0" applyNumberFormat="1" applyFont="1" applyFill="1" applyBorder="1" applyAlignment="1">
      <alignment horizontal="center" vertical="center"/>
    </xf>
    <xf numFmtId="168" fontId="1" fillId="9" borderId="1" xfId="0" applyNumberFormat="1" applyFont="1" applyFill="1" applyBorder="1" applyAlignment="1">
      <alignment horizontal="center" vertical="center"/>
    </xf>
    <xf numFmtId="170" fontId="1" fillId="2" borderId="1" xfId="0" applyNumberFormat="1" applyFont="1" applyFill="1" applyBorder="1" applyAlignment="1">
      <alignment horizontal="center" vertical="center"/>
    </xf>
    <xf numFmtId="168" fontId="4" fillId="9" borderId="1" xfId="0" applyNumberFormat="1" applyFont="1" applyFill="1" applyBorder="1" applyAlignment="1">
      <alignment horizontal="center" vertical="center"/>
    </xf>
    <xf numFmtId="38" fontId="1" fillId="10" borderId="0" xfId="0" applyNumberFormat="1" applyFont="1" applyFill="1" applyAlignment="1">
      <alignment horizontal="center" vertical="center"/>
    </xf>
    <xf numFmtId="38" fontId="1" fillId="3" borderId="1" xfId="0" applyNumberFormat="1" applyFont="1" applyFill="1" applyBorder="1" applyAlignment="1">
      <alignment horizontal="center" vertical="center"/>
    </xf>
    <xf numFmtId="38" fontId="4" fillId="3" borderId="1" xfId="0" applyNumberFormat="1" applyFont="1" applyFill="1" applyBorder="1" applyAlignment="1">
      <alignment horizontal="center" vertical="center"/>
    </xf>
    <xf numFmtId="38" fontId="1" fillId="11" borderId="1" xfId="0" applyNumberFormat="1" applyFont="1" applyFill="1" applyBorder="1" applyAlignment="1">
      <alignment horizontal="center" vertical="center"/>
    </xf>
    <xf numFmtId="168" fontId="1" fillId="12" borderId="1" xfId="0" applyNumberFormat="1" applyFont="1" applyFill="1" applyBorder="1" applyAlignment="1">
      <alignment horizontal="center" vertical="center"/>
    </xf>
    <xf numFmtId="168" fontId="2" fillId="12" borderId="1" xfId="0" applyNumberFormat="1" applyFont="1" applyFill="1" applyBorder="1" applyAlignment="1">
      <alignment horizontal="center" vertical="center"/>
    </xf>
    <xf numFmtId="168" fontId="4" fillId="13" borderId="1" xfId="0" applyNumberFormat="1" applyFont="1" applyFill="1" applyBorder="1" applyAlignment="1">
      <alignment horizontal="center" vertical="center"/>
    </xf>
    <xf numFmtId="168" fontId="1" fillId="13" borderId="1" xfId="0" applyNumberFormat="1" applyFont="1" applyFill="1" applyBorder="1" applyAlignment="1">
      <alignment horizontal="center" vertical="center"/>
    </xf>
    <xf numFmtId="169" fontId="2" fillId="12" borderId="1" xfId="0" applyNumberFormat="1" applyFont="1" applyFill="1" applyBorder="1" applyAlignment="1">
      <alignment horizontal="center" vertical="center"/>
    </xf>
    <xf numFmtId="169" fontId="4" fillId="12" borderId="1" xfId="0" applyNumberFormat="1" applyFont="1" applyFill="1" applyBorder="1" applyAlignment="1">
      <alignment horizontal="center" vertical="center"/>
    </xf>
    <xf numFmtId="38" fontId="2" fillId="12" borderId="1" xfId="0" applyNumberFormat="1" applyFont="1" applyFill="1" applyBorder="1" applyAlignment="1">
      <alignment horizontal="center" vertical="center"/>
    </xf>
    <xf numFmtId="38" fontId="1" fillId="14" borderId="1" xfId="0" applyNumberFormat="1" applyFont="1" applyFill="1" applyBorder="1" applyAlignment="1">
      <alignment horizontal="center" vertical="center"/>
    </xf>
    <xf numFmtId="168" fontId="1" fillId="14" borderId="1" xfId="0" applyNumberFormat="1" applyFont="1" applyFill="1" applyBorder="1" applyAlignment="1">
      <alignment horizontal="center" vertical="center"/>
    </xf>
    <xf numFmtId="168" fontId="4" fillId="15" borderId="1" xfId="0" applyNumberFormat="1" applyFont="1" applyFill="1" applyBorder="1" applyAlignment="1">
      <alignment horizontal="center" vertical="center"/>
    </xf>
    <xf numFmtId="168" fontId="2" fillId="14" borderId="1" xfId="0" applyNumberFormat="1" applyFont="1" applyFill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9" fontId="2" fillId="14" borderId="1" xfId="0" applyNumberFormat="1" applyFont="1" applyFill="1" applyBorder="1" applyAlignment="1">
      <alignment horizontal="center" vertical="center"/>
    </xf>
    <xf numFmtId="169" fontId="4" fillId="14" borderId="1" xfId="0" applyNumberFormat="1" applyFont="1" applyFill="1" applyBorder="1" applyAlignment="1">
      <alignment horizontal="center" vertical="center"/>
    </xf>
    <xf numFmtId="169" fontId="6" fillId="16" borderId="1" xfId="0" applyNumberFormat="1" applyFont="1" applyFill="1" applyBorder="1" applyAlignment="1">
      <alignment horizontal="center" vertical="center" wrapText="1"/>
    </xf>
    <xf numFmtId="38" fontId="2" fillId="14" borderId="1" xfId="0" applyNumberFormat="1" applyFont="1" applyFill="1" applyBorder="1" applyAlignment="1">
      <alignment horizontal="center" vertical="center"/>
    </xf>
    <xf numFmtId="169" fontId="4" fillId="13" borderId="1" xfId="0" applyNumberFormat="1" applyFont="1" applyFill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168" fontId="1" fillId="15" borderId="1" xfId="0" applyNumberFormat="1" applyFont="1" applyFill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8" fontId="4" fillId="14" borderId="1" xfId="0" applyNumberFormat="1" applyFont="1" applyFill="1" applyBorder="1" applyAlignment="1">
      <alignment horizontal="center" vertical="center" wrapText="1"/>
    </xf>
    <xf numFmtId="169" fontId="1" fillId="13" borderId="1" xfId="0" applyNumberFormat="1" applyFont="1" applyFill="1" applyBorder="1" applyAlignment="1">
      <alignment horizontal="center" vertical="center"/>
    </xf>
    <xf numFmtId="169" fontId="1" fillId="14" borderId="1" xfId="0" applyNumberFormat="1" applyFont="1" applyFill="1" applyBorder="1" applyAlignment="1">
      <alignment horizontal="center" vertical="center"/>
    </xf>
    <xf numFmtId="168" fontId="4" fillId="11" borderId="1" xfId="0" applyNumberFormat="1" applyFont="1" applyFill="1" applyBorder="1" applyAlignment="1">
      <alignment horizontal="center" vertical="center"/>
    </xf>
    <xf numFmtId="168" fontId="4" fillId="14" borderId="1" xfId="0" applyNumberFormat="1" applyFont="1" applyFill="1" applyBorder="1" applyAlignment="1">
      <alignment horizontal="center" vertical="center"/>
    </xf>
    <xf numFmtId="169" fontId="6" fillId="14" borderId="1" xfId="0" applyNumberFormat="1" applyFont="1" applyFill="1" applyBorder="1" applyAlignment="1">
      <alignment horizontal="center" vertical="center" wrapText="1"/>
    </xf>
    <xf numFmtId="171" fontId="7" fillId="14" borderId="1" xfId="0" applyNumberFormat="1" applyFont="1" applyFill="1" applyBorder="1" applyAlignment="1">
      <alignment horizontal="center" vertical="top"/>
    </xf>
    <xf numFmtId="169" fontId="2" fillId="13" borderId="1" xfId="0" applyNumberFormat="1" applyFont="1" applyFill="1" applyBorder="1" applyAlignment="1">
      <alignment horizontal="center" vertical="center"/>
    </xf>
    <xf numFmtId="169" fontId="4" fillId="16" borderId="1" xfId="0" applyNumberFormat="1" applyFont="1" applyFill="1" applyBorder="1" applyAlignment="1">
      <alignment horizontal="center" vertical="center"/>
    </xf>
    <xf numFmtId="38" fontId="4" fillId="16" borderId="1" xfId="0" applyNumberFormat="1" applyFont="1" applyFill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 wrapText="1"/>
    </xf>
    <xf numFmtId="168" fontId="4" fillId="14" borderId="5" xfId="0" applyNumberFormat="1" applyFont="1" applyFill="1" applyBorder="1" applyAlignment="1">
      <alignment horizontal="center" vertical="center"/>
    </xf>
    <xf numFmtId="169" fontId="7" fillId="14" borderId="1" xfId="0" applyNumberFormat="1" applyFont="1" applyFill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171" fontId="7" fillId="15" borderId="1" xfId="0" applyNumberFormat="1" applyFont="1" applyFill="1" applyBorder="1" applyAlignment="1">
      <alignment horizontal="center" vertical="center"/>
    </xf>
    <xf numFmtId="169" fontId="9" fillId="0" borderId="1" xfId="0" applyNumberFormat="1" applyFont="1" applyBorder="1" applyAlignment="1">
      <alignment horizontal="center" vertical="center"/>
    </xf>
    <xf numFmtId="169" fontId="9" fillId="14" borderId="1" xfId="0" applyNumberFormat="1" applyFont="1" applyFill="1" applyBorder="1" applyAlignment="1">
      <alignment horizontal="center" vertical="center"/>
    </xf>
    <xf numFmtId="38" fontId="2" fillId="0" borderId="6" xfId="0" applyNumberFormat="1" applyFont="1" applyBorder="1" applyAlignment="1">
      <alignment horizontal="center" vertical="center"/>
    </xf>
    <xf numFmtId="38" fontId="1" fillId="0" borderId="0" xfId="0" applyNumberFormat="1" applyFont="1" applyAlignment="1">
      <alignment horizontal="left" vertical="center"/>
    </xf>
    <xf numFmtId="168" fontId="2" fillId="15" borderId="1" xfId="0" applyNumberFormat="1" applyFont="1" applyFill="1" applyBorder="1" applyAlignment="1">
      <alignment horizontal="center" vertical="center"/>
    </xf>
    <xf numFmtId="38" fontId="1" fillId="14" borderId="3" xfId="0" applyNumberFormat="1" applyFont="1" applyFill="1" applyBorder="1" applyAlignment="1">
      <alignment horizontal="center" vertical="center"/>
    </xf>
    <xf numFmtId="168" fontId="4" fillId="17" borderId="1" xfId="0" applyNumberFormat="1" applyFont="1" applyFill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38" fontId="1" fillId="0" borderId="7" xfId="0" applyNumberFormat="1" applyFont="1" applyBorder="1" applyAlignment="1">
      <alignment horizontal="center" vertical="center"/>
    </xf>
    <xf numFmtId="168" fontId="2" fillId="0" borderId="7" xfId="0" applyNumberFormat="1" applyFont="1" applyBorder="1" applyAlignment="1">
      <alignment horizontal="center" vertical="center"/>
    </xf>
    <xf numFmtId="168" fontId="1" fillId="0" borderId="7" xfId="0" applyNumberFormat="1" applyFont="1" applyBorder="1" applyAlignment="1">
      <alignment horizontal="center" vertical="center"/>
    </xf>
    <xf numFmtId="169" fontId="2" fillId="0" borderId="7" xfId="0" applyNumberFormat="1" applyFont="1" applyBorder="1" applyAlignment="1">
      <alignment horizontal="center" vertical="center"/>
    </xf>
    <xf numFmtId="169" fontId="4" fillId="0" borderId="7" xfId="0" applyNumberFormat="1" applyFont="1" applyBorder="1" applyAlignment="1">
      <alignment horizontal="center" vertical="center"/>
    </xf>
    <xf numFmtId="38" fontId="2" fillId="0" borderId="7" xfId="0" applyNumberFormat="1" applyFont="1" applyBorder="1" applyAlignment="1">
      <alignment horizontal="center" vertical="center"/>
    </xf>
    <xf numFmtId="38" fontId="1" fillId="0" borderId="8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168" fontId="1" fillId="0" borderId="9" xfId="0" applyNumberFormat="1" applyFont="1" applyBorder="1" applyAlignment="1">
      <alignment horizontal="center" vertical="center"/>
    </xf>
    <xf numFmtId="168" fontId="1" fillId="0" borderId="8" xfId="0" applyNumberFormat="1" applyFont="1" applyBorder="1" applyAlignment="1">
      <alignment horizontal="center" vertical="center"/>
    </xf>
    <xf numFmtId="169" fontId="2" fillId="0" borderId="8" xfId="0" applyNumberFormat="1" applyFont="1" applyBorder="1" applyAlignment="1">
      <alignment horizontal="center" vertical="center"/>
    </xf>
    <xf numFmtId="169" fontId="4" fillId="0" borderId="8" xfId="0" applyNumberFormat="1" applyFont="1" applyBorder="1" applyAlignment="1">
      <alignment horizontal="center" vertical="center"/>
    </xf>
    <xf numFmtId="38" fontId="2" fillId="0" borderId="8" xfId="0" applyNumberFormat="1" applyFont="1" applyBorder="1" applyAlignment="1">
      <alignment horizontal="center" vertical="center"/>
    </xf>
    <xf numFmtId="168" fontId="2" fillId="10" borderId="0" xfId="0" applyNumberFormat="1" applyFont="1" applyFill="1">
      <alignment vertical="center"/>
    </xf>
    <xf numFmtId="38" fontId="1" fillId="0" borderId="10" xfId="0" applyNumberFormat="1" applyFont="1" applyBorder="1" applyAlignment="1">
      <alignment horizontal="center" vertical="center"/>
    </xf>
    <xf numFmtId="168" fontId="1" fillId="0" borderId="10" xfId="0" applyNumberFormat="1" applyFont="1" applyBorder="1" applyAlignment="1">
      <alignment horizontal="center" vertical="center"/>
    </xf>
    <xf numFmtId="168" fontId="2" fillId="0" borderId="10" xfId="0" applyNumberFormat="1" applyFont="1" applyBorder="1" applyAlignment="1">
      <alignment horizontal="center" vertical="center"/>
    </xf>
    <xf numFmtId="169" fontId="2" fillId="0" borderId="10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38" fontId="2" fillId="0" borderId="10" xfId="0" applyNumberFormat="1" applyFont="1" applyBorder="1" applyAlignment="1">
      <alignment horizontal="center" vertical="center"/>
    </xf>
    <xf numFmtId="168" fontId="4" fillId="0" borderId="10" xfId="0" applyNumberFormat="1" applyFont="1" applyBorder="1" applyAlignment="1">
      <alignment horizontal="center" vertical="center"/>
    </xf>
    <xf numFmtId="38" fontId="1" fillId="14" borderId="10" xfId="0" applyNumberFormat="1" applyFont="1" applyFill="1" applyBorder="1" applyAlignment="1">
      <alignment horizontal="center" vertical="center"/>
    </xf>
    <xf numFmtId="168" fontId="1" fillId="14" borderId="10" xfId="0" applyNumberFormat="1" applyFont="1" applyFill="1" applyBorder="1" applyAlignment="1">
      <alignment horizontal="center" vertical="center"/>
    </xf>
    <xf numFmtId="169" fontId="1" fillId="14" borderId="10" xfId="0" applyNumberFormat="1" applyFont="1" applyFill="1" applyBorder="1" applyAlignment="1">
      <alignment horizontal="center" vertical="center"/>
    </xf>
    <xf numFmtId="169" fontId="4" fillId="14" borderId="10" xfId="0" applyNumberFormat="1" applyFont="1" applyFill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38" fontId="1" fillId="0" borderId="11" xfId="0" applyNumberFormat="1" applyFont="1" applyBorder="1" applyAlignment="1">
      <alignment horizontal="center" vertical="center"/>
    </xf>
    <xf numFmtId="168" fontId="2" fillId="0" borderId="11" xfId="0" applyNumberFormat="1" applyFont="1" applyBorder="1" applyAlignment="1">
      <alignment horizontal="center" vertical="center"/>
    </xf>
    <xf numFmtId="168" fontId="4" fillId="0" borderId="11" xfId="0" applyNumberFormat="1" applyFont="1" applyBorder="1" applyAlignment="1">
      <alignment horizontal="center" vertical="center"/>
    </xf>
    <xf numFmtId="169" fontId="4" fillId="0" borderId="11" xfId="0" applyNumberFormat="1" applyFont="1" applyBorder="1" applyAlignment="1">
      <alignment horizontal="center" vertical="center"/>
    </xf>
    <xf numFmtId="38" fontId="4" fillId="0" borderId="11" xfId="0" applyNumberFormat="1" applyFont="1" applyBorder="1" applyAlignment="1">
      <alignment horizontal="center" vertical="center"/>
    </xf>
    <xf numFmtId="168" fontId="1" fillId="0" borderId="11" xfId="0" applyNumberFormat="1" applyFont="1" applyBorder="1" applyAlignment="1">
      <alignment horizontal="center" vertical="center"/>
    </xf>
    <xf numFmtId="38" fontId="5" fillId="0" borderId="0" xfId="0" applyNumberFormat="1" applyFont="1" applyAlignment="1">
      <alignment horizontal="center" vertical="center"/>
    </xf>
    <xf numFmtId="0" fontId="0" fillId="0" borderId="0" xfId="0" applyAlignment="1"/>
    <xf numFmtId="0" fontId="10" fillId="0" borderId="0" xfId="0" applyFont="1" applyAlignment="1"/>
    <xf numFmtId="40" fontId="1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6"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firstColumnStripe" dxfId="39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B1:AD159"/>
  <sheetViews>
    <sheetView tabSelected="1" topLeftCell="C1" zoomScale="90" zoomScaleNormal="90" workbookViewId="0">
      <pane ySplit="1" topLeftCell="B104" activePane="bottomLeft" state="frozen"/>
      <selection pane="bottomLeft" activeCell="F130" sqref="F130"/>
    </sheetView>
  </sheetViews>
  <sheetFormatPr defaultColWidth="8.875" defaultRowHeight="13.5" customHeight="1"/>
  <cols>
    <col min="1" max="2" width="8.875" style="3"/>
    <col min="3" max="3" width="17.75" style="2" customWidth="1"/>
    <col min="4" max="4" width="37.75" style="1" customWidth="1"/>
    <col min="5" max="5" width="19.625" style="1" customWidth="1"/>
    <col min="6" max="7" width="16.875" style="1" customWidth="1"/>
    <col min="8" max="8" width="21" style="1" customWidth="1"/>
    <col min="9" max="9" width="14.125" style="1" customWidth="1"/>
    <col min="10" max="10" width="16.5" style="1" customWidth="1"/>
    <col min="11" max="11" width="16.5" style="4" customWidth="1"/>
    <col min="12" max="12" width="13" style="4" customWidth="1"/>
    <col min="13" max="13" width="15" style="4" customWidth="1"/>
    <col min="14" max="14" width="14.625" style="4" customWidth="1"/>
    <col min="15" max="15" width="8.75" style="2" customWidth="1"/>
    <col min="16" max="17" width="8.625" style="1" customWidth="1"/>
    <col min="18" max="18" width="28.5" style="3" customWidth="1"/>
    <col min="19" max="19" width="8.875" style="3"/>
    <col min="20" max="20" width="9.75" style="5"/>
    <col min="21" max="21" width="12.875" style="5" customWidth="1"/>
    <col min="22" max="23" width="12.25" style="5" customWidth="1"/>
    <col min="24" max="25" width="11.25" style="5" customWidth="1"/>
    <col min="26" max="27" width="10.5" style="6" customWidth="1"/>
    <col min="28" max="29" width="12.625" style="5"/>
    <col min="30" max="30" width="11.875" style="3"/>
    <col min="31" max="16384" width="8.875" style="3"/>
  </cols>
  <sheetData>
    <row r="1" spans="3:29" s="1" customFormat="1" ht="14.45">
      <c r="C1" s="7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9" t="s">
        <v>8</v>
      </c>
      <c r="L1" s="9" t="s">
        <v>9</v>
      </c>
      <c r="M1" s="10" t="s">
        <v>10</v>
      </c>
      <c r="N1" s="10" t="s">
        <v>11</v>
      </c>
      <c r="O1" s="11" t="s">
        <v>12</v>
      </c>
      <c r="P1" s="12" t="s">
        <v>13</v>
      </c>
      <c r="Q1" s="8" t="s">
        <v>14</v>
      </c>
      <c r="T1" s="6"/>
      <c r="U1" s="6"/>
      <c r="V1" s="6"/>
      <c r="W1" s="6"/>
      <c r="X1" s="6"/>
      <c r="Y1" s="6"/>
      <c r="Z1" s="6"/>
      <c r="AA1" s="6"/>
      <c r="AB1" s="6"/>
      <c r="AC1" s="6"/>
    </row>
    <row r="2" spans="3:29" s="1" customFormat="1" ht="14.45" hidden="1">
      <c r="C2" s="13">
        <v>4</v>
      </c>
      <c r="D2" s="14" t="s">
        <v>15</v>
      </c>
      <c r="E2" s="14"/>
      <c r="F2" s="14"/>
      <c r="G2" s="14"/>
      <c r="H2" s="14">
        <v>624638</v>
      </c>
      <c r="I2" s="14">
        <v>624638</v>
      </c>
      <c r="J2" s="14">
        <f t="shared" ref="J2:J64" si="0">H2-I2</f>
        <v>0</v>
      </c>
      <c r="K2" s="15"/>
      <c r="L2" s="15">
        <v>46181</v>
      </c>
      <c r="M2" s="16"/>
      <c r="N2" s="16"/>
      <c r="O2" s="17">
        <v>2</v>
      </c>
      <c r="P2" s="18" t="s">
        <v>16</v>
      </c>
      <c r="Q2" s="14" t="s">
        <v>17</v>
      </c>
      <c r="T2" s="150" t="s">
        <v>18</v>
      </c>
      <c r="U2" s="6"/>
      <c r="V2" s="6"/>
      <c r="W2" s="6"/>
      <c r="X2" s="6"/>
      <c r="Y2" s="6"/>
      <c r="Z2" s="6"/>
      <c r="AA2" s="6"/>
      <c r="AB2" s="6"/>
      <c r="AC2" s="6"/>
    </row>
    <row r="3" spans="3:29" s="1" customFormat="1" ht="14.45" hidden="1">
      <c r="C3" s="13"/>
      <c r="D3" s="19" t="s">
        <v>19</v>
      </c>
      <c r="E3" s="19"/>
      <c r="F3" s="19"/>
      <c r="G3" s="19"/>
      <c r="H3" s="14">
        <v>346071</v>
      </c>
      <c r="I3" s="14">
        <v>346071</v>
      </c>
      <c r="J3" s="14">
        <f t="shared" si="0"/>
        <v>0</v>
      </c>
      <c r="K3" s="15"/>
      <c r="L3" s="15">
        <v>46190</v>
      </c>
      <c r="M3" s="16"/>
      <c r="N3" s="16"/>
      <c r="O3" s="17"/>
      <c r="P3" s="18" t="s">
        <v>20</v>
      </c>
      <c r="Q3" s="14" t="s">
        <v>21</v>
      </c>
      <c r="T3" s="150">
        <v>458300.93</v>
      </c>
      <c r="U3" s="6"/>
      <c r="V3" s="6"/>
      <c r="W3" s="6"/>
      <c r="X3" s="6"/>
      <c r="Y3" s="6"/>
      <c r="Z3" s="6"/>
      <c r="AA3" s="6"/>
      <c r="AB3" s="6"/>
      <c r="AC3" s="6"/>
    </row>
    <row r="4" spans="3:29" s="1" customFormat="1" ht="14.45" hidden="1">
      <c r="C4" s="13">
        <v>4</v>
      </c>
      <c r="D4" s="14" t="s">
        <v>22</v>
      </c>
      <c r="E4" s="14"/>
      <c r="F4" s="14"/>
      <c r="G4" s="14"/>
      <c r="H4" s="14">
        <v>773971.2</v>
      </c>
      <c r="I4" s="14">
        <f>375362+398609.2</f>
        <v>773971.2</v>
      </c>
      <c r="J4" s="20">
        <f t="shared" si="0"/>
        <v>0</v>
      </c>
      <c r="K4" s="21"/>
      <c r="L4" s="15">
        <v>46192</v>
      </c>
      <c r="M4" s="16"/>
      <c r="N4" s="16"/>
      <c r="O4" s="17">
        <v>3</v>
      </c>
      <c r="P4" s="18" t="s">
        <v>16</v>
      </c>
      <c r="Q4" s="14" t="s">
        <v>17</v>
      </c>
      <c r="U4" s="6"/>
      <c r="V4" s="6"/>
      <c r="W4" s="6"/>
      <c r="X4" s="6"/>
      <c r="Y4" s="6"/>
      <c r="Z4" s="6"/>
      <c r="AA4" s="6"/>
      <c r="AB4" s="6"/>
      <c r="AC4" s="6"/>
    </row>
    <row r="5" spans="3:29" s="1" customFormat="1" ht="28.9" hidden="1">
      <c r="C5" s="13"/>
      <c r="D5" s="19" t="s">
        <v>23</v>
      </c>
      <c r="E5" s="19"/>
      <c r="F5" s="19"/>
      <c r="G5" s="19"/>
      <c r="H5" s="14">
        <v>373635</v>
      </c>
      <c r="I5" s="14">
        <v>373635</v>
      </c>
      <c r="J5" s="20">
        <f t="shared" si="0"/>
        <v>0</v>
      </c>
      <c r="K5" s="21"/>
      <c r="L5" s="15">
        <v>46196</v>
      </c>
      <c r="M5" s="16"/>
      <c r="N5" s="16"/>
      <c r="O5" s="17">
        <v>4</v>
      </c>
      <c r="P5" s="18" t="s">
        <v>24</v>
      </c>
      <c r="Q5" s="14" t="s">
        <v>25</v>
      </c>
      <c r="T5" s="22" t="s">
        <v>26</v>
      </c>
      <c r="U5" s="22" t="s">
        <v>16</v>
      </c>
      <c r="V5" s="22" t="s">
        <v>27</v>
      </c>
      <c r="W5" s="22" t="s">
        <v>28</v>
      </c>
      <c r="X5" s="22" t="s">
        <v>24</v>
      </c>
      <c r="Y5" s="22" t="s">
        <v>20</v>
      </c>
      <c r="Z5" s="23" t="s">
        <v>29</v>
      </c>
      <c r="AA5" s="23" t="s">
        <v>30</v>
      </c>
      <c r="AB5" s="22" t="s">
        <v>31</v>
      </c>
      <c r="AC5" s="22" t="s">
        <v>32</v>
      </c>
    </row>
    <row r="6" spans="3:29" s="1" customFormat="1" ht="28.9" hidden="1">
      <c r="C6" s="13"/>
      <c r="D6" s="19" t="s">
        <v>33</v>
      </c>
      <c r="E6" s="19"/>
      <c r="F6" s="19"/>
      <c r="G6" s="19"/>
      <c r="H6" s="14">
        <v>230539.5</v>
      </c>
      <c r="I6" s="14">
        <v>230539.5</v>
      </c>
      <c r="J6" s="20">
        <f t="shared" si="0"/>
        <v>0</v>
      </c>
      <c r="K6" s="21"/>
      <c r="L6" s="15">
        <v>46196</v>
      </c>
      <c r="M6" s="16"/>
      <c r="N6" s="16"/>
      <c r="O6" s="17">
        <v>4</v>
      </c>
      <c r="P6" s="18" t="s">
        <v>34</v>
      </c>
      <c r="Q6" s="14" t="s">
        <v>25</v>
      </c>
      <c r="T6" s="22" t="s">
        <v>35</v>
      </c>
      <c r="U6" s="6">
        <f>SUMIFS(J:J,O:O,"1",P:P,"ZM",Q:Q,"",L:L,"&gt;="&amp;DATE(2026,7,1),L:L,"&lt;="&amp;DATE(2026,7,30))</f>
        <v>0</v>
      </c>
      <c r="V6" s="22">
        <f>SUMIFS(J:J,O:O,"1",P:P,"LS",Q:Q,"",L:L,"&gt;="&amp;DATE(2026,7,1),L:L,"&lt;="&amp;DATE(2026,7,30))</f>
        <v>0</v>
      </c>
      <c r="W6" s="22">
        <f>SUMIFS(J:J,O:O,"1",P:P,"WRD",Q:Q,"",L:L,"&gt;="&amp;DATE(2026,7,1),L:L,"&lt;="&amp;DATE(2026,7,30))</f>
        <v>0</v>
      </c>
      <c r="X6" s="22">
        <f>SUMIFS(J:J,O:O,"1",P:P,"JRD",Q:Q,"",L:L,"&gt;="&amp;DATE(2026,7,1),L:L,"&lt;="&amp;DATE(2026,7,30))</f>
        <v>0</v>
      </c>
      <c r="Y6" s="22">
        <f>SUMIFS(J:J,O:O,"1",P:P,"ANDY",Q:Q,"",L:L,"&gt;="&amp;DATE(2026,7,1),L:L,"&lt;="&amp;DATE(2026,7,30))</f>
        <v>0</v>
      </c>
      <c r="Z6" s="22">
        <f>SUMIFS(J:J,O:O,"1",P:P,"salary",Q:Q,"",L:L,"&gt;="&amp;DATE(2026,7,1),L:L,"&lt;="&amp;DATE(2026,7,30))</f>
        <v>0</v>
      </c>
      <c r="AA6" s="22">
        <f>SUMIFS(J:J,O:O,"1",P:P,"OTHER",Q:Q,"",L:L,"&gt;="&amp;DATE(2026,7,1),L:L,"&lt;="&amp;DATE(2026,7,30))</f>
        <v>0</v>
      </c>
      <c r="AB6" s="22">
        <f>SUMIFS(J:J,O:O,"1",P:P,"SK",Q:Q,"",L:L,"&gt;="&amp;DATE(2026,7,1),L:L,"&lt;="&amp;DATE(2026,7,30))</f>
        <v>0</v>
      </c>
      <c r="AC6" s="22">
        <f>SUM(U6:AB6)</f>
        <v>0</v>
      </c>
    </row>
    <row r="7" spans="3:29" s="1" customFormat="1" ht="14.45" hidden="1">
      <c r="C7" s="24">
        <v>1</v>
      </c>
      <c r="D7" s="14" t="s">
        <v>36</v>
      </c>
      <c r="E7" s="14"/>
      <c r="F7" s="14"/>
      <c r="G7" s="14"/>
      <c r="H7" s="14">
        <v>163815.92499999999</v>
      </c>
      <c r="I7" s="14">
        <v>163815.92499999999</v>
      </c>
      <c r="J7" s="20">
        <f t="shared" si="0"/>
        <v>0</v>
      </c>
      <c r="K7" s="21"/>
      <c r="L7" s="15">
        <v>46196</v>
      </c>
      <c r="M7" s="16"/>
      <c r="N7" s="16"/>
      <c r="O7" s="17">
        <v>4</v>
      </c>
      <c r="P7" s="18" t="s">
        <v>34</v>
      </c>
      <c r="Q7" s="14" t="s">
        <v>17</v>
      </c>
      <c r="T7" s="22" t="s">
        <v>37</v>
      </c>
      <c r="U7" s="22">
        <f>SUMIFS(J:J,O:O,"2",P:P,"ZM",L:L,"&gt;="&amp;DATE(2026,7,1),L:L,"&lt;="&amp;DATE(2026,7,30))</f>
        <v>0</v>
      </c>
      <c r="V7" s="22">
        <f>SUMIFS(J:J,O:O,"2",P:P,"LS",Q:Q,"",L:L,"&gt;="&amp;DATE(2026,7,1),L:L,"&lt;="&amp;DATE(2026,7,30))</f>
        <v>0</v>
      </c>
      <c r="W7" s="22">
        <f>SUMIFS(J:J,O:O,"2",P:P,"WRD",Q:Q,"",L:L,"&gt;="&amp;DATE(2026,7,1),L:L,"&lt;="&amp;DATE(2026,7,30))</f>
        <v>0</v>
      </c>
      <c r="X7" s="22">
        <f>SUMIFS(J:J,O:O,"2",P:P,"JRD",Q:Q,"",L:L,"&gt;="&amp;DATE(2026,7,1),L:L,"&lt;="&amp;DATE(2026,7,30))</f>
        <v>0</v>
      </c>
      <c r="Y7" s="22">
        <f>SUMIFS(J:J,O:O,"2",P:P,"ANDY",Q:Q,"",L:L,"&gt;="&amp;DATE(2026,7,1),L:L,"&lt;="&amp;DATE(2026,7,30))</f>
        <v>0</v>
      </c>
      <c r="Z7" s="22">
        <f>SUMIFS(J:J,O:O,"2",P:P,"salary",Q:Q,"",L:L,"&gt;="&amp;DATE(2026,7,1),L:L,"&lt;="&amp;DATE(2026,7,30))</f>
        <v>0</v>
      </c>
      <c r="AA7" s="22">
        <f>SUMIFS(J:J,O:O,"2",P:P,"OTHER",Q:Q,"",L:L,"&gt;="&amp;DATE(2026,7,1),L:L,"&lt;="&amp;DATE(2026,7,30))</f>
        <v>0</v>
      </c>
      <c r="AB7" s="22">
        <f>SUMIFS(J:J,O:O,"2",P:P,"SK",Q:Q,"",L:L,"&gt;="&amp;DATE(2026,7,1),L:L,"&lt;="&amp;DATE(2026,7,30))</f>
        <v>0</v>
      </c>
      <c r="AC7" s="22">
        <f>SUM(U7:AB7)</f>
        <v>0</v>
      </c>
    </row>
    <row r="8" spans="3:29" s="1" customFormat="1" ht="14.45" hidden="1">
      <c r="C8" s="13">
        <v>8</v>
      </c>
      <c r="D8" s="14" t="s">
        <v>38</v>
      </c>
      <c r="E8" s="14"/>
      <c r="F8" s="14"/>
      <c r="G8" s="14"/>
      <c r="H8" s="20">
        <v>1942015.25</v>
      </c>
      <c r="I8" s="14">
        <v>1942015.25</v>
      </c>
      <c r="J8" s="20">
        <f t="shared" si="0"/>
        <v>0</v>
      </c>
      <c r="K8" s="21"/>
      <c r="L8" s="15">
        <v>46196</v>
      </c>
      <c r="M8" s="16"/>
      <c r="N8" s="16"/>
      <c r="O8" s="17">
        <v>4</v>
      </c>
      <c r="P8" s="18" t="s">
        <v>16</v>
      </c>
      <c r="Q8" s="14" t="s">
        <v>17</v>
      </c>
      <c r="T8" s="22" t="s">
        <v>39</v>
      </c>
      <c r="U8" s="22">
        <f>SUMIFS(J:J,O:O,"3",P:P,"ZM",Q:Q,"",L:L,"&gt;="&amp;DATE(2026,7,1),L:L,"&lt;="&amp;DATE(2026,7,30))</f>
        <v>0</v>
      </c>
      <c r="V8" s="22">
        <f>SUMIFS(J:J,O:O,"3",P:P,"LS",Q:Q,"",L:L,"&gt;="&amp;DATE(2026,7,1),L:L,"&lt;="&amp;DATE(2026,7,30))</f>
        <v>0</v>
      </c>
      <c r="W8" s="22">
        <f>SUMIFS(J:J,O:O,"3",P:P,"WRD",Q:Q,"",L:L,"&gt;="&amp;DATE(2026,7,1),L:L,"&lt;="&amp;DATE(2026,7,30))</f>
        <v>0</v>
      </c>
      <c r="X8" s="22">
        <f>SUMIFS(J:J,O:O,"3",P:P,"JRD",Q:Q,"",L:L,"&gt;="&amp;DATE(2026,7,1),L:L,"&lt;="&amp;DATE(2026,7,30))</f>
        <v>0</v>
      </c>
      <c r="Y8" s="22">
        <f>SUMIFS(J:J,O:O,"3",P:P,"ANDY",Q:Q,"",L:L,"&gt;="&amp;DATE(2026,7,1),L:L,"&lt;="&amp;DATE(2026,7,30))</f>
        <v>0</v>
      </c>
      <c r="Z8" s="22">
        <f>SUMIFS(J:J,O:O,"3",P:P,"salary",Q:Q,"",L:L,"&gt;="&amp;DATE(2026,7,1),L:L,"&lt;="&amp;DATE(2026,7,30))</f>
        <v>0</v>
      </c>
      <c r="AA8" s="22">
        <f>SUMIFS(J:J,O:O,"3",P:P,"OTHER",Q:Q,"",L:L,"&gt;="&amp;DATE(2026,7,1),L:L,"&lt;="&amp;DATE(2026,7,30))</f>
        <v>0</v>
      </c>
      <c r="AB8" s="22">
        <f>SUMIFS(J:J,O:O,"3",P:P,"SK",Q:Q,"",L:L,"&gt;="&amp;DATE(2026,7,1),L:L,"&lt;="&amp;DATE(2026,7,30))</f>
        <v>0</v>
      </c>
      <c r="AC8" s="22">
        <f>SUM(U8:AB8)</f>
        <v>0</v>
      </c>
    </row>
    <row r="9" spans="3:29" s="1" customFormat="1" ht="14.45" hidden="1">
      <c r="C9" s="13">
        <v>8</v>
      </c>
      <c r="D9" s="14" t="s">
        <v>40</v>
      </c>
      <c r="E9" s="14"/>
      <c r="F9" s="14"/>
      <c r="G9" s="14"/>
      <c r="H9" s="14">
        <v>1169328</v>
      </c>
      <c r="I9" s="14">
        <v>1169328</v>
      </c>
      <c r="J9" s="20">
        <f t="shared" si="0"/>
        <v>0</v>
      </c>
      <c r="K9" s="21"/>
      <c r="L9" s="15">
        <v>46196</v>
      </c>
      <c r="M9" s="16"/>
      <c r="N9" s="16"/>
      <c r="O9" s="17">
        <v>4</v>
      </c>
      <c r="P9" s="18" t="s">
        <v>34</v>
      </c>
      <c r="Q9" s="14" t="s">
        <v>17</v>
      </c>
      <c r="T9" s="22" t="s">
        <v>41</v>
      </c>
      <c r="U9" s="22">
        <f>SUMIFS(J:J,O:O,"4",P:P,"ZM",Q:Q,"",L:L,"&gt;="&amp;DATE(2026,7,1),L:L,"&lt;="&amp;DATE(2026,7,30))</f>
        <v>0</v>
      </c>
      <c r="V9" s="22">
        <f>SUMIFS(J:J,O:O,"4",P:P,"LS",Q:Q,"",L:L,"&gt;="&amp;DATE(2026,7,1),L:L,"&lt;="&amp;DATE(2026,7,30))</f>
        <v>0</v>
      </c>
      <c r="W9" s="22">
        <f>SUMIFS(J:J,O:O,"4",P:P,"WRD",Q:Q,"",L:L,"&gt;="&amp;DATE(2026,7,1),L:L,"&lt;="&amp;DATE(2026,7,30))</f>
        <v>0</v>
      </c>
      <c r="X9" s="22">
        <f>SUMIFS(J:J,O:O,"4",P:P,"JRD",Q:Q,"",L:L,"&gt;="&amp;DATE(2026,7,1),L:L,"&lt;="&amp;DATE(2026,7,30))</f>
        <v>0</v>
      </c>
      <c r="Y9" s="22">
        <f>SUMIFS(J:J,O:O,"4",P:P,"ANDY",Q:Q,"",L:L,"&gt;="&amp;DATE(2026,7,1),L:L,"&lt;="&amp;DATE(2026,7,30))</f>
        <v>0</v>
      </c>
      <c r="Z9" s="22">
        <f>SUMIFS(J:J,O:O,"4",P:P,"salary",Q:Q,"",L:L,"&gt;="&amp;DATE(2026,7,1),L:L,"&lt;="&amp;DATE(2026,7,30))</f>
        <v>0</v>
      </c>
      <c r="AA9" s="22">
        <f>SUMIFS(J:J,O:O,"4",P:P,"OTHER",Q:Q,"",L:L,"&gt;="&amp;DATE(2026,7,1),L:L,"&lt;="&amp;DATE(2026,7,30))</f>
        <v>0</v>
      </c>
      <c r="AB9" s="22">
        <f>SUMIFS(J:J,O:O,"4",P:P,"SK",Q:Q,"",L:L,"&gt;="&amp;DATE(2026,7,1),L:L,"&lt;="&amp;DATE(2026,7,30))</f>
        <v>0</v>
      </c>
      <c r="AC9" s="22">
        <f>SUM(U9:AB9)</f>
        <v>0</v>
      </c>
    </row>
    <row r="10" spans="3:29" s="1" customFormat="1" ht="14.45" hidden="1">
      <c r="C10" s="13">
        <v>2</v>
      </c>
      <c r="D10" s="14" t="s">
        <v>42</v>
      </c>
      <c r="E10" s="14"/>
      <c r="F10" s="14"/>
      <c r="G10" s="14"/>
      <c r="H10" s="14">
        <v>513912</v>
      </c>
      <c r="I10" s="14">
        <v>513912</v>
      </c>
      <c r="J10" s="20">
        <f t="shared" si="0"/>
        <v>0</v>
      </c>
      <c r="K10" s="21"/>
      <c r="L10" s="21">
        <v>46196</v>
      </c>
      <c r="M10" s="16"/>
      <c r="N10" s="16"/>
      <c r="O10" s="17">
        <v>4</v>
      </c>
      <c r="P10" s="18" t="s">
        <v>43</v>
      </c>
      <c r="Q10" s="14" t="s">
        <v>17</v>
      </c>
      <c r="T10" s="22" t="s">
        <v>44</v>
      </c>
      <c r="U10" s="22">
        <f>SUMIFS(J:J,O:O,"5",P:P,"ZM",Q:Q,"",L:L,"&gt;="&amp;DATE(2026,7,1),L:L,"&lt;="&amp;DATE(2026,7,30))</f>
        <v>0</v>
      </c>
      <c r="V10" s="22">
        <f>SUMIFS(J:J,O:O,"5",P:P,"LS",Q:Q,"",L:L,"&gt;="&amp;DATE(2026,7,1),L:L,"&lt;="&amp;DATE(2026,7,30))</f>
        <v>0</v>
      </c>
      <c r="W10" s="22">
        <f>SUMIFS(J:J,O:O,"5",P:P,"WRD",Q:Q,"",L:L,"&gt;="&amp;DATE(2026,7,1),L:L,"&lt;="&amp;DATE(2026,7,30))</f>
        <v>0</v>
      </c>
      <c r="X10" s="22">
        <f>SUMIFS(J:J,O:O,"5",P:P,"JRD",Q:Q,"",L:L,"&gt;="&amp;DATE(2026,7,1),L:L,"&lt;="&amp;DATE(2026,7,30))</f>
        <v>0</v>
      </c>
      <c r="Y10" s="22">
        <f>SUMIFS(J:J,O:O,"5",P:P,"ANDY",Q:Q,"",L:L,"&gt;="&amp;DATE(2026,7,1),L:L,"&lt;="&amp;DATE(2026,7,30))</f>
        <v>0</v>
      </c>
      <c r="Z10" s="22">
        <f>SUMIFS(J:J,O:O,"5",P:P,"salary",Q:Q,"",L:L,"&gt;="&amp;DATE(2026,7,1),L:L,"&lt;="&amp;DATE(2026,7,30))</f>
        <v>0</v>
      </c>
      <c r="AA10" s="22">
        <f>SUMIFS(J:J,O:O,"5",P:P,"OTHER",Q:Q,"",L:L,"&gt;="&amp;DATE(2026,7,1),L:L,"&lt;="&amp;DATE(2026,7,30))</f>
        <v>0</v>
      </c>
      <c r="AB10" s="22">
        <f>SUMIFS(J:J,O:O,"5",P:P,"SK",Q:Q,"",L:L,"&gt;="&amp;DATE(2026,7,1),L:L,"&lt;="&amp;DATE(2026,7,30))</f>
        <v>0</v>
      </c>
      <c r="AC10" s="22">
        <f>SUM(U10:AB10)</f>
        <v>0</v>
      </c>
    </row>
    <row r="11" spans="3:29" s="1" customFormat="1" ht="14.45" hidden="1">
      <c r="C11" s="25">
        <v>3</v>
      </c>
      <c r="D11" s="20" t="s">
        <v>45</v>
      </c>
      <c r="E11" s="20"/>
      <c r="F11" s="20"/>
      <c r="G11" s="20"/>
      <c r="H11" s="20">
        <v>437414.26</v>
      </c>
      <c r="I11" s="20">
        <v>437414.26</v>
      </c>
      <c r="J11" s="20">
        <f t="shared" si="0"/>
        <v>0</v>
      </c>
      <c r="K11" s="21"/>
      <c r="L11" s="21">
        <v>46199</v>
      </c>
      <c r="M11" s="26"/>
      <c r="N11" s="26"/>
      <c r="O11" s="27">
        <v>4</v>
      </c>
      <c r="P11" s="18" t="s">
        <v>34</v>
      </c>
      <c r="Q11" s="14" t="s">
        <v>17</v>
      </c>
      <c r="T11" s="22" t="s">
        <v>32</v>
      </c>
      <c r="U11" s="22">
        <f t="shared" ref="U11:AC11" si="1">SUM(U6:U10)</f>
        <v>0</v>
      </c>
      <c r="V11" s="22">
        <f t="shared" si="1"/>
        <v>0</v>
      </c>
      <c r="W11" s="22">
        <f t="shared" si="1"/>
        <v>0</v>
      </c>
      <c r="X11" s="22">
        <f t="shared" si="1"/>
        <v>0</v>
      </c>
      <c r="Y11" s="22">
        <f t="shared" si="1"/>
        <v>0</v>
      </c>
      <c r="Z11" s="22">
        <f t="shared" si="1"/>
        <v>0</v>
      </c>
      <c r="AA11" s="22">
        <f t="shared" si="1"/>
        <v>0</v>
      </c>
      <c r="AB11" s="22">
        <f t="shared" si="1"/>
        <v>0</v>
      </c>
      <c r="AC11" s="22">
        <f t="shared" si="1"/>
        <v>0</v>
      </c>
    </row>
    <row r="12" spans="3:29" s="1" customFormat="1" ht="14.45" hidden="1">
      <c r="C12" s="13">
        <v>4</v>
      </c>
      <c r="D12" s="14" t="s">
        <v>38</v>
      </c>
      <c r="E12" s="14"/>
      <c r="F12" s="14"/>
      <c r="G12" s="14"/>
      <c r="H12" s="20">
        <v>943935.55</v>
      </c>
      <c r="I12" s="14">
        <v>943935.55</v>
      </c>
      <c r="J12" s="20">
        <f t="shared" si="0"/>
        <v>0</v>
      </c>
      <c r="K12" s="21"/>
      <c r="L12" s="15">
        <v>46200</v>
      </c>
      <c r="M12" s="16"/>
      <c r="N12" s="16"/>
      <c r="O12" s="17">
        <v>4</v>
      </c>
      <c r="P12" s="18" t="s">
        <v>16</v>
      </c>
      <c r="Q12" s="14" t="s">
        <v>17</v>
      </c>
    </row>
    <row r="13" spans="3:29" s="1" customFormat="1" ht="15" hidden="1">
      <c r="C13" s="13">
        <v>2</v>
      </c>
      <c r="D13" s="14" t="s">
        <v>46</v>
      </c>
      <c r="E13" s="14"/>
      <c r="F13" s="14"/>
      <c r="G13" s="14"/>
      <c r="H13" s="14">
        <v>218898.35</v>
      </c>
      <c r="I13" s="14">
        <v>218898.35</v>
      </c>
      <c r="J13" s="20">
        <f t="shared" si="0"/>
        <v>0</v>
      </c>
      <c r="K13" s="21"/>
      <c r="L13" s="15">
        <v>46201</v>
      </c>
      <c r="M13" s="28"/>
      <c r="N13" s="28"/>
      <c r="O13" s="29">
        <v>4</v>
      </c>
      <c r="P13" s="14" t="s">
        <v>16</v>
      </c>
      <c r="Q13" s="14" t="s">
        <v>17</v>
      </c>
      <c r="T13" s="8" t="s">
        <v>47</v>
      </c>
      <c r="U13" s="22" t="s">
        <v>16</v>
      </c>
      <c r="V13" s="22" t="s">
        <v>34</v>
      </c>
      <c r="W13" s="22" t="s">
        <v>28</v>
      </c>
      <c r="X13" s="22" t="s">
        <v>24</v>
      </c>
      <c r="Y13" s="22" t="s">
        <v>20</v>
      </c>
      <c r="Z13" s="23" t="s">
        <v>29</v>
      </c>
      <c r="AA13" s="23" t="s">
        <v>30</v>
      </c>
      <c r="AB13" s="8" t="s">
        <v>27</v>
      </c>
      <c r="AC13" s="22" t="s">
        <v>32</v>
      </c>
    </row>
    <row r="14" spans="3:29" s="1" customFormat="1" ht="14.45" hidden="1">
      <c r="C14" s="30">
        <v>4</v>
      </c>
      <c r="D14" s="20" t="s">
        <v>22</v>
      </c>
      <c r="E14" s="20"/>
      <c r="F14" s="20"/>
      <c r="G14" s="20"/>
      <c r="H14" s="20">
        <v>773971.2</v>
      </c>
      <c r="I14" s="14">
        <v>773971.2</v>
      </c>
      <c r="J14" s="20">
        <f t="shared" si="0"/>
        <v>0</v>
      </c>
      <c r="K14" s="21"/>
      <c r="L14" s="15">
        <v>46205</v>
      </c>
      <c r="M14" s="15"/>
      <c r="N14" s="15"/>
      <c r="O14" s="13">
        <v>1</v>
      </c>
      <c r="P14" s="14" t="s">
        <v>16</v>
      </c>
      <c r="Q14" s="14" t="s">
        <v>17</v>
      </c>
      <c r="T14" s="22" t="s">
        <v>35</v>
      </c>
      <c r="U14" s="6">
        <f>SUMIFS(J:J,O:O,"1",P:P,"ZM",Q:Q,"",L:L,"&gt;="&amp;DATE(2026,8,1),L:L,"&lt;="&amp;DATE(2026,8,30))</f>
        <v>0</v>
      </c>
      <c r="V14" s="22">
        <f>SUMIFS(J:J,O:O,"1",P:P,"JHL",Q:Q,"",L:L,"&gt;="&amp;DATE(2026,8,1),L:L,"&lt;="&amp;DATE(2026,8,30))</f>
        <v>0</v>
      </c>
      <c r="W14" s="22">
        <f>SUMIFS(J:J,O:O,"1",P:P,"WRD",Q:Q,"",L:L,"&gt;="&amp;DATE(2026,8,1),L:L,"&lt;="&amp;DATE(2026,8,30))</f>
        <v>0</v>
      </c>
      <c r="X14" s="22">
        <f>SUMIFS(J:J,O:O,"1",P:P,"JRD",Q:Q,"",L:L,"&gt;="&amp;DATE(2026,8,1),L:L,"&lt;="&amp;DATE(2026,8,30))</f>
        <v>0</v>
      </c>
      <c r="Y14" s="22">
        <f>SUMIFS(J:J,O:O,"1",P:P,"ANDY",Q:Q,"",L:L,"&gt;="&amp;DATE(2026,8,1),L:L,"&lt;="&amp;DATE(2026,8,30))</f>
        <v>0</v>
      </c>
      <c r="Z14" s="22">
        <f>SUMIFS(J:J,O:O,"1",P:P,"salary",Q:Q,"",L:L,"&gt;="&amp;DATE(2026,8,1),L:L,"&lt;="&amp;DATE(2026,8,30))</f>
        <v>0</v>
      </c>
      <c r="AA14" s="22">
        <f>SUMIFS(J:J,O:O,"1",P:P,"OTHER",Q:Q,"",L:L,"&gt;="&amp;DATE(2026,8,1),L:L,"&lt;="&amp;DATE(2026,8,30))</f>
        <v>0</v>
      </c>
      <c r="AB14" s="22">
        <f>SUMIFS(J:J,O:O,"1",P:P,"LS",Q:Q,"",L:L,"&gt;="&amp;DATE(2026,8,1),L:L,"&lt;="&amp;DATE(2026,8,30))</f>
        <v>0</v>
      </c>
      <c r="AC14" s="22">
        <f t="shared" ref="AC14:AC19" si="2">SUM(U14:AB14)</f>
        <v>0</v>
      </c>
    </row>
    <row r="15" spans="3:29" s="1" customFormat="1" ht="14.45" hidden="1">
      <c r="C15" s="13">
        <v>2</v>
      </c>
      <c r="D15" s="14" t="s">
        <v>48</v>
      </c>
      <c r="E15" s="14"/>
      <c r="F15" s="14"/>
      <c r="G15" s="14"/>
      <c r="H15" s="20">
        <v>389857.83</v>
      </c>
      <c r="I15" s="14">
        <v>389857.83</v>
      </c>
      <c r="J15" s="20">
        <f t="shared" si="0"/>
        <v>0</v>
      </c>
      <c r="K15" s="21"/>
      <c r="L15" s="15">
        <v>46205</v>
      </c>
      <c r="M15" s="16"/>
      <c r="N15" s="16"/>
      <c r="O15" s="17">
        <v>1</v>
      </c>
      <c r="P15" s="18" t="s">
        <v>16</v>
      </c>
      <c r="Q15" s="14" t="s">
        <v>17</v>
      </c>
      <c r="T15" s="22" t="s">
        <v>37</v>
      </c>
      <c r="U15" s="22">
        <f>SUMIFS(J:J,O:O,"2",P:P,"ZM",L:L,"&gt;="&amp;DATE(2026,8,1),L:L,"&lt;="&amp;DATE(2026,8,30))</f>
        <v>0</v>
      </c>
      <c r="V15" s="22">
        <f>SUMIFS(J:J,O:O,"2",P:P,"JHL",Q:Q,"",L:L,"&gt;="&amp;DATE(2026,8,1),L:L,"&lt;="&amp;DATE(2026,8,30))</f>
        <v>0</v>
      </c>
      <c r="W15" s="22">
        <f>SUMIFS(J:J,O:O,"2",P:P,"WRD",Q:Q,"",L:L,"&gt;="&amp;DATE(2026,8,1),L:L,"&lt;="&amp;DATE(2026,8,30))</f>
        <v>0</v>
      </c>
      <c r="X15" s="22">
        <f>SUMIFS(J:J,O:O,"2",P:P,"JRD",Q:Q,"",L:L,"&gt;="&amp;DATE(2026,8,1),L:L,"&lt;="&amp;DATE(2026,8,30))</f>
        <v>0</v>
      </c>
      <c r="Y15" s="22">
        <f>SUMIFS(J:J,O:O,"2",P:P,"ANDY",Q:Q,"",L:L,"&gt;="&amp;DATE(2026,8,1),L:L,"&lt;="&amp;DATE(2026,8,30))</f>
        <v>0</v>
      </c>
      <c r="Z15" s="22">
        <f>SUMIFS(J:J,O:O,"2",P:P,"salary",Q:Q,"",L:L,"&gt;="&amp;DATE(2026,8,1),L:L,"&lt;="&amp;DATE(2026,8,30))</f>
        <v>0</v>
      </c>
      <c r="AA15" s="22">
        <f>SUMIFS(J:J,O:O,"2",P:P,"OTHER",Q:Q,"",L:L,"&gt;="&amp;DATE(2026,8,1),L:L,"&lt;="&amp;DATE(2026,8,30))</f>
        <v>0</v>
      </c>
      <c r="AB15" s="22">
        <f>SUMIFS(J:J,O:O,"2",P:P,"LS",Q:Q,"",L:L,"&gt;="&amp;DATE(2026,8,1),L:L,"&lt;="&amp;DATE(2026,8,30))</f>
        <v>0</v>
      </c>
      <c r="AC15" s="22">
        <f t="shared" si="2"/>
        <v>0</v>
      </c>
    </row>
    <row r="16" spans="3:29" s="1" customFormat="1" ht="14.45" hidden="1">
      <c r="C16" s="13"/>
      <c r="D16" s="14" t="s">
        <v>49</v>
      </c>
      <c r="E16" s="14"/>
      <c r="F16" s="14"/>
      <c r="G16" s="14"/>
      <c r="H16" s="31">
        <f>4500+4500+6500+11500+3800</f>
        <v>30800</v>
      </c>
      <c r="I16" s="14">
        <v>30800</v>
      </c>
      <c r="J16" s="20">
        <f t="shared" si="0"/>
        <v>0</v>
      </c>
      <c r="K16" s="21"/>
      <c r="L16" s="15">
        <v>46206</v>
      </c>
      <c r="M16" s="16"/>
      <c r="N16" s="16"/>
      <c r="O16" s="17">
        <v>1</v>
      </c>
      <c r="P16" s="18" t="s">
        <v>29</v>
      </c>
      <c r="Q16" s="14" t="s">
        <v>25</v>
      </c>
      <c r="T16" s="22" t="s">
        <v>39</v>
      </c>
      <c r="U16" s="22">
        <f>SUMIFS(J:J,O:O,"3",P:P,"ZM",Q:Q,"",L:L,"&gt;="&amp;DATE(2026,8,1),L:L,"&lt;="&amp;DATE(2026,8,30))</f>
        <v>0</v>
      </c>
      <c r="V16" s="22">
        <f>SUMIFS(J:J,O:O,"3",P:P,"JHL",Q:Q,"",L:L,"&gt;="&amp;DATE(2026,8,1),L:L,"&lt;="&amp;DATE(2026,8,30))</f>
        <v>0</v>
      </c>
      <c r="W16" s="22">
        <f>SUMIFS(J:J,O:O,"3",P:P,"WRD",Q:Q,"",L:L,"&gt;="&amp;DATE(2026,8,1),L:L,"&lt;="&amp;DATE(2026,8,30))</f>
        <v>0</v>
      </c>
      <c r="X16" s="22">
        <f>SUMIFS(J:J,O:O,"3",P:P,"JRD",Q:Q,"",L:L,"&gt;="&amp;DATE(2026,8,1),L:L,"&lt;="&amp;DATE(2026,8,30))</f>
        <v>0</v>
      </c>
      <c r="Y16" s="22">
        <f>SUMIFS(J:J,O:O,"3",P:P,"ANDY",Q:Q,"",L:L,"&gt;="&amp;DATE(2026,8,1),L:L,"&lt;="&amp;DATE(2026,8,30))</f>
        <v>0</v>
      </c>
      <c r="Z16" s="22">
        <f>SUMIFS(J:J,O:O,"3",P:P,"salary",Q:Q,"",L:L,"&gt;="&amp;DATE(2026,8,1),L:L,"&lt;="&amp;DATE(2026,8,30))</f>
        <v>0</v>
      </c>
      <c r="AA16" s="22">
        <f>SUMIFS(J:J,O:O,"3",P:P,"OTHER",Q:Q,"",L:L,"&gt;="&amp;DATE(2026,8,1),L:L,"&lt;="&amp;DATE(2026,8,30))</f>
        <v>0</v>
      </c>
      <c r="AB16" s="22">
        <f>SUMIFS(J:J,O:O,"3",P:P,"LS",Q:Q,"",L:L,"&gt;="&amp;DATE(2026,8,1),L:L,"&lt;="&amp;DATE(2026,8,30))</f>
        <v>0</v>
      </c>
      <c r="AC16" s="22">
        <f t="shared" si="2"/>
        <v>0</v>
      </c>
    </row>
    <row r="17" spans="3:30" s="1" customFormat="1" ht="14.45" hidden="1">
      <c r="C17" s="13">
        <v>2</v>
      </c>
      <c r="D17" s="14" t="s">
        <v>50</v>
      </c>
      <c r="E17" s="14"/>
      <c r="F17" s="14"/>
      <c r="G17" s="14"/>
      <c r="H17" s="14">
        <v>580000</v>
      </c>
      <c r="I17" s="14">
        <f>300000+280000</f>
        <v>580000</v>
      </c>
      <c r="J17" s="20">
        <f t="shared" si="0"/>
        <v>0</v>
      </c>
      <c r="K17" s="21"/>
      <c r="L17" s="15">
        <v>46208</v>
      </c>
      <c r="M17" s="16"/>
      <c r="N17" s="16"/>
      <c r="O17" s="17">
        <v>1</v>
      </c>
      <c r="P17" s="18" t="s">
        <v>16</v>
      </c>
      <c r="Q17" s="14" t="s">
        <v>17</v>
      </c>
      <c r="T17" s="22" t="s">
        <v>41</v>
      </c>
      <c r="U17" s="22">
        <f>SUMIFS(J:J,O:O,"4",P:P,"ZM",Q:Q,"",L:L,"&gt;="&amp;DATE(2026,8,1),L:L,"&lt;="&amp;DATE(2026,8,30))</f>
        <v>0</v>
      </c>
      <c r="V17" s="22">
        <f>SUMIFS(J:J,O:O,"4",P:P,"JHL",Q:Q,"",L:L,"&gt;="&amp;DATE(2026,8,1),L:L,"&lt;="&amp;DATE(2026,8,30))</f>
        <v>0</v>
      </c>
      <c r="W17" s="22">
        <f>SUMIFS(J:J,O:O,"4",P:P,"WRD",Q:Q,"",L:L,"&gt;="&amp;DATE(2026,8,1),L:L,"&lt;="&amp;DATE(2026,8,30))</f>
        <v>0</v>
      </c>
      <c r="X17" s="22">
        <f>SUMIFS(J:J,O:O,"4",P:P,"JRD",Q:Q,"",L:L,"&gt;="&amp;DATE(2026,8,1),L:L,"&lt;="&amp;DATE(2026,8,30))</f>
        <v>0</v>
      </c>
      <c r="Y17" s="22">
        <f>SUMIFS(J:J,O:O,"4",P:P,"ANDY",Q:Q,"",L:L,"&gt;="&amp;DATE(2026,8,1),L:L,"&lt;="&amp;DATE(2026,8,30))</f>
        <v>0</v>
      </c>
      <c r="Z17" s="22">
        <f>SUMIFS(J:J,O:O,"4",P:P,"salary",Q:Q,"",L:L,"&gt;="&amp;DATE(2026,8,1),L:L,"&lt;="&amp;DATE(2026,8,30))</f>
        <v>0</v>
      </c>
      <c r="AA17" s="22">
        <f>SUMIFS(J:J,O:O,"4",P:P,"OTHER",Q:Q,"",L:L,"&gt;="&amp;DATE(2026,8,1),L:L,"&lt;="&amp;DATE(2026,8,30))</f>
        <v>0</v>
      </c>
      <c r="AB17" s="22">
        <f>SUMIFS(J:J,O:O,"4",P:P,"LS",Q:Q,"",L:L,"&gt;="&amp;DATE(2026,8,1),L:L,"&lt;="&amp;DATE(2026,8,30))</f>
        <v>0</v>
      </c>
      <c r="AC17" s="22">
        <f t="shared" si="2"/>
        <v>0</v>
      </c>
    </row>
    <row r="18" spans="3:30" s="1" customFormat="1" ht="14.45" hidden="1">
      <c r="C18" s="13">
        <v>1</v>
      </c>
      <c r="D18" s="14" t="s">
        <v>51</v>
      </c>
      <c r="E18" s="14"/>
      <c r="F18" s="14"/>
      <c r="G18" s="14"/>
      <c r="H18" s="14">
        <v>197325</v>
      </c>
      <c r="I18" s="14">
        <f>120000+77325</f>
        <v>197325</v>
      </c>
      <c r="J18" s="20">
        <f t="shared" si="0"/>
        <v>0</v>
      </c>
      <c r="K18" s="21"/>
      <c r="L18" s="15">
        <v>46208</v>
      </c>
      <c r="M18" s="16"/>
      <c r="N18" s="16"/>
      <c r="O18" s="17">
        <v>1</v>
      </c>
      <c r="P18" s="18" t="s">
        <v>16</v>
      </c>
      <c r="Q18" s="14" t="s">
        <v>17</v>
      </c>
      <c r="T18" s="22" t="s">
        <v>44</v>
      </c>
      <c r="U18" s="22">
        <f>SUMIFS(J:J,O:O,"5",P:P,"ZM",Q:Q,"",L:L,"&gt;="&amp;DATE(2026,8,1),L:L,"&lt;="&amp;DATE(2026,8,30))</f>
        <v>0</v>
      </c>
      <c r="V18" s="22">
        <f>SUMIFS(J:J,O:O,"5",P:P,"JHL",Q:Q,"",L:L,"&gt;="&amp;DATE(2026,8,1),L:L,"&lt;="&amp;DATE(2026,8,30))</f>
        <v>0</v>
      </c>
      <c r="W18" s="22">
        <f>SUMIFS(J:J,O:O,"5",P:P,"WRD",Q:Q,"",L:L,"&gt;="&amp;DATE(2026,8,1),L:L,"&lt;="&amp;DATE(2026,8,30))</f>
        <v>0</v>
      </c>
      <c r="X18" s="22">
        <f>SUMIFS(J:J,O:O,"5",P:P,"JRD",Q:Q,"",L:L,"&gt;="&amp;DATE(2026,8,1),L:L,"&lt;="&amp;DATE(2026,8,30))</f>
        <v>0</v>
      </c>
      <c r="Y18" s="22">
        <f>SUMIFS(J:J,O:O,"5",P:P,"ANDY",Q:Q,"",L:L,"&gt;="&amp;DATE(2026,8,1),L:L,"&lt;="&amp;DATE(2026,8,30))</f>
        <v>0</v>
      </c>
      <c r="Z18" s="22">
        <f>SUMIFS(J:J,O:O,"5",P:P,"salary",Q:Q,"",L:L,"&gt;="&amp;DATE(2026,8,1),L:L,"&lt;="&amp;DATE(2026,8,30))</f>
        <v>0</v>
      </c>
      <c r="AA18" s="22">
        <f>SUMIFS(J:J,O:O,"5",P:P,"OTHER",Q:Q,"",L:L,"&gt;="&amp;DATE(2026,8,1),L:L,"&lt;="&amp;DATE(2026,8,30))</f>
        <v>0</v>
      </c>
      <c r="AB18" s="22">
        <f>SUMIFS(J:J,O:O,"5",P:P,"LS",Q:Q,"",L:L,"&gt;="&amp;DATE(2026,8,1),L:L,"&lt;="&amp;DATE(2026,8,30))</f>
        <v>0</v>
      </c>
      <c r="AC18" s="22">
        <f t="shared" si="2"/>
        <v>0</v>
      </c>
    </row>
    <row r="19" spans="3:30" s="1" customFormat="1" ht="14.45" hidden="1">
      <c r="C19" s="13">
        <v>1</v>
      </c>
      <c r="D19" s="14" t="s">
        <v>38</v>
      </c>
      <c r="E19" s="14"/>
      <c r="F19" s="14"/>
      <c r="G19" s="14"/>
      <c r="H19" s="20">
        <v>166438.5</v>
      </c>
      <c r="I19" s="14">
        <v>166438.5</v>
      </c>
      <c r="J19" s="20">
        <f t="shared" si="0"/>
        <v>0</v>
      </c>
      <c r="K19" s="21"/>
      <c r="L19" s="15">
        <v>46208</v>
      </c>
      <c r="M19" s="16"/>
      <c r="N19" s="16"/>
      <c r="O19" s="17">
        <v>1</v>
      </c>
      <c r="P19" s="18" t="s">
        <v>16</v>
      </c>
      <c r="Q19" s="14" t="s">
        <v>52</v>
      </c>
      <c r="T19" s="22" t="s">
        <v>32</v>
      </c>
      <c r="U19" s="22">
        <f t="shared" ref="U19:AB19" si="3">SUM(U14:U18)</f>
        <v>0</v>
      </c>
      <c r="V19" s="22">
        <f t="shared" si="3"/>
        <v>0</v>
      </c>
      <c r="W19" s="22">
        <f t="shared" si="3"/>
        <v>0</v>
      </c>
      <c r="X19" s="22">
        <f t="shared" si="3"/>
        <v>0</v>
      </c>
      <c r="Y19" s="22">
        <f t="shared" si="3"/>
        <v>0</v>
      </c>
      <c r="Z19" s="22">
        <f t="shared" si="3"/>
        <v>0</v>
      </c>
      <c r="AA19" s="22">
        <f t="shared" si="3"/>
        <v>0</v>
      </c>
      <c r="AB19" s="22">
        <f t="shared" si="3"/>
        <v>0</v>
      </c>
      <c r="AC19" s="22">
        <f t="shared" si="2"/>
        <v>0</v>
      </c>
    </row>
    <row r="20" spans="3:30" s="1" customFormat="1" ht="14.45" hidden="1">
      <c r="C20" s="14"/>
      <c r="D20" s="14" t="s">
        <v>53</v>
      </c>
      <c r="E20" s="14"/>
      <c r="F20" s="14"/>
      <c r="G20" s="14"/>
      <c r="H20" s="14">
        <v>72305.25</v>
      </c>
      <c r="I20" s="14">
        <v>72305.25</v>
      </c>
      <c r="J20" s="20">
        <f t="shared" si="0"/>
        <v>0</v>
      </c>
      <c r="K20" s="21"/>
      <c r="L20" s="15">
        <v>46208</v>
      </c>
      <c r="M20" s="15"/>
      <c r="N20" s="15"/>
      <c r="O20" s="13">
        <v>1</v>
      </c>
      <c r="P20" s="18" t="s">
        <v>16</v>
      </c>
      <c r="Q20" s="14" t="s">
        <v>52</v>
      </c>
    </row>
    <row r="21" spans="3:30" s="1" customFormat="1" ht="15" hidden="1">
      <c r="C21" s="13">
        <v>4</v>
      </c>
      <c r="D21" s="14" t="s">
        <v>54</v>
      </c>
      <c r="E21" s="14"/>
      <c r="F21" s="14"/>
      <c r="G21" s="14"/>
      <c r="H21" s="14">
        <v>596330.52</v>
      </c>
      <c r="I21" s="14">
        <v>596330.52</v>
      </c>
      <c r="J21" s="20">
        <f t="shared" si="0"/>
        <v>0</v>
      </c>
      <c r="K21" s="21"/>
      <c r="L21" s="15">
        <v>46208</v>
      </c>
      <c r="M21" s="15"/>
      <c r="N21" s="15"/>
      <c r="O21" s="13">
        <v>1</v>
      </c>
      <c r="P21" s="14" t="s">
        <v>16</v>
      </c>
      <c r="Q21" s="14" t="s">
        <v>52</v>
      </c>
      <c r="T21" s="8" t="s">
        <v>55</v>
      </c>
      <c r="U21" s="22" t="s">
        <v>16</v>
      </c>
      <c r="V21" s="22" t="s">
        <v>34</v>
      </c>
      <c r="W21" s="22" t="s">
        <v>28</v>
      </c>
      <c r="X21" s="22" t="s">
        <v>24</v>
      </c>
      <c r="Y21" s="22" t="s">
        <v>20</v>
      </c>
      <c r="Z21" s="23" t="s">
        <v>29</v>
      </c>
      <c r="AA21" s="23" t="s">
        <v>30</v>
      </c>
      <c r="AB21" s="8" t="s">
        <v>27</v>
      </c>
      <c r="AC21" s="8" t="s">
        <v>56</v>
      </c>
      <c r="AD21" s="22" t="s">
        <v>32</v>
      </c>
    </row>
    <row r="22" spans="3:30" s="1" customFormat="1" ht="14.45" hidden="1">
      <c r="C22" s="13">
        <v>2</v>
      </c>
      <c r="D22" s="14" t="s">
        <v>57</v>
      </c>
      <c r="E22" s="14"/>
      <c r="F22" s="14"/>
      <c r="G22" s="14"/>
      <c r="H22" s="14">
        <v>471960</v>
      </c>
      <c r="I22" s="14">
        <v>471960</v>
      </c>
      <c r="J22" s="20">
        <f t="shared" si="0"/>
        <v>0</v>
      </c>
      <c r="K22" s="21"/>
      <c r="L22" s="15">
        <v>46208</v>
      </c>
      <c r="M22" s="16"/>
      <c r="N22" s="16"/>
      <c r="O22" s="17">
        <v>1</v>
      </c>
      <c r="P22" s="18" t="s">
        <v>28</v>
      </c>
      <c r="Q22" s="14" t="s">
        <v>52</v>
      </c>
      <c r="T22" s="22" t="s">
        <v>35</v>
      </c>
      <c r="U22" s="6">
        <f>SUMIFS(J:J,O:O,"1",P:P,"ZM",Q:Q,"",L:L,"&gt;="&amp;DATE(2026,9,1),L:L,"&lt;="&amp;DATE(2026,9,30))</f>
        <v>0</v>
      </c>
      <c r="V22" s="22">
        <f>SUMIFS(J:J,O:O,"1",P:P,"JHL",Q:Q,"",L:L,"&gt;="&amp;DATE(2026,9,1),L:L,"&lt;="&amp;DATE(2026,9,30))</f>
        <v>0</v>
      </c>
      <c r="W22" s="22">
        <f>SUMIFS(J:J,O:O,"1",P:P,"WRD",Q:Q,"",L:L,"&gt;="&amp;DATE(2026,9,1),L:L,"&lt;="&amp;DATE(2026,9,30))</f>
        <v>0</v>
      </c>
      <c r="X22" s="22">
        <f>SUMIFS(J:J,O:O,"1",P:P,"JRD",Q:Q,"",L:L,"&gt;="&amp;DATE(2026,9,1),L:L,"&lt;="&amp;DATE(2026,9,30))</f>
        <v>0</v>
      </c>
      <c r="Y22" s="22">
        <f>SUMIFS(J:J,O:O,"1",P:P,"ANDY",Q:Q,"",L:L,"&gt;="&amp;DATE(2026,9,1),L:L,"&lt;="&amp;DATE(2026,9,30))</f>
        <v>0</v>
      </c>
      <c r="Z22" s="22">
        <f>SUMIFS(J:J,O:O,"1",P:P,"salary",Q:Q,"",L:L,"&gt;="&amp;DATE(2026,9,1),L:L,"&lt;="&amp;DATE(2026,9,30))</f>
        <v>0</v>
      </c>
      <c r="AA22" s="22">
        <f>SUMIFS(J:J,O:O,"1",P:P,"OTHER",Q:Q,"",L:L,"&gt;="&amp;DATE(2026,9,1),L:L,"&lt;="&amp;DATE(2026,9,30))</f>
        <v>0</v>
      </c>
      <c r="AB22" s="22">
        <f>SUMIFS(J:J,O:O,"1",P:P,"LS",Q:Q,"",L:L,"&gt;="&amp;DATE(2026,9,1),L:L,"&lt;="&amp;DATE(2026,9,30))</f>
        <v>0</v>
      </c>
      <c r="AC22" s="22">
        <f>SUMIFS(J:J,O:O,"1",P:P,"LS",Q:Q,"",L:L,"&gt;="&amp;DATE(2026,9,1),L:L,"&lt;="&amp;DATE(2026,9,30))</f>
        <v>0</v>
      </c>
      <c r="AD22" s="22">
        <f>SUM(U22:AB22)</f>
        <v>0</v>
      </c>
    </row>
    <row r="23" spans="3:30" s="1" customFormat="1" ht="14.45" hidden="1">
      <c r="C23" s="13">
        <v>1</v>
      </c>
      <c r="D23" s="14" t="s">
        <v>58</v>
      </c>
      <c r="E23" s="14"/>
      <c r="F23" s="14"/>
      <c r="G23" s="14"/>
      <c r="H23" s="14">
        <v>160495.72</v>
      </c>
      <c r="I23" s="14">
        <v>160495.72</v>
      </c>
      <c r="J23" s="20">
        <f t="shared" si="0"/>
        <v>0</v>
      </c>
      <c r="K23" s="21"/>
      <c r="L23" s="15">
        <v>46208</v>
      </c>
      <c r="M23" s="16"/>
      <c r="N23" s="16"/>
      <c r="O23" s="17">
        <v>1</v>
      </c>
      <c r="P23" s="18" t="s">
        <v>34</v>
      </c>
      <c r="Q23" s="14" t="s">
        <v>52</v>
      </c>
      <c r="T23" s="22" t="s">
        <v>37</v>
      </c>
      <c r="U23" s="22">
        <f>SUMIFS(J:J,O:O,"2",P:P,"ZM",L:L,"&gt;="&amp;DATE(2026,9,1),L:L,"&lt;="&amp;DATE(2026,9,30))</f>
        <v>0</v>
      </c>
      <c r="V23" s="22">
        <f>SUMIFS(J:J,O:O,"2",P:P,"JHL",Q:Q,"",L:L,"&gt;="&amp;DATE(2026,9,1),L:L,"&lt;="&amp;DATE(2026,9,30))</f>
        <v>0</v>
      </c>
      <c r="W23" s="22">
        <f>SUMIFS(J:J,O:O,"2",P:P,"WRD",Q:Q,"",L:L,"&gt;="&amp;DATE(2026,9,1),L:L,"&lt;="&amp;DATE(2026,9,30))</f>
        <v>0</v>
      </c>
      <c r="X23" s="22">
        <f>SUMIFS(J:J,O:O,"2",P:P,"JRD",Q:Q,"",L:L,"&gt;="&amp;DATE(2026,9,1),L:L,"&lt;="&amp;DATE(2026,9,30))</f>
        <v>0</v>
      </c>
      <c r="Y23" s="22">
        <f>SUMIFS(J:J,O:O,"2",P:P,"ANDY",Q:Q,"",L:L,"&gt;="&amp;DATE(2026,9,1),L:L,"&lt;="&amp;DATE(2026,9,30))</f>
        <v>0</v>
      </c>
      <c r="Z23" s="22">
        <f>SUMIFS(J:J,O:O,"2",P:P,"salary",Q:Q,"",L:L,"&gt;="&amp;DATE(2026,9,1),L:L,"&lt;="&amp;DATE(2026,9,30))</f>
        <v>0</v>
      </c>
      <c r="AA23" s="22">
        <f>SUMIFS(J:J,O:O,"2",P:P,"OTHER",Q:Q,"",L:L,"&gt;="&amp;DATE(2026,9,1),L:L,"&lt;="&amp;DATE(2026,9,30))</f>
        <v>0</v>
      </c>
      <c r="AB23" s="22">
        <f>SUMIFS(J:J,O:O,"2",P:P,"LS",Q:Q,"",L:L,"&gt;="&amp;DATE(2026,9,1),L:L,"&lt;="&amp;DATE(2026,9,30))</f>
        <v>0</v>
      </c>
      <c r="AC23" s="22">
        <f>SUMIFS(L:L,P:P,"2",Q:Q,"LS",R:R,"",O:O,"&gt;="&amp;DATE(2026,9,1),O:O,"&lt;="&amp;DATE(2026,9,30))</f>
        <v>0</v>
      </c>
      <c r="AD23" s="22">
        <f t="shared" ref="AD21:AD27" si="4">SUM(U23:AB23)</f>
        <v>0</v>
      </c>
    </row>
    <row r="24" spans="3:30" s="1" customFormat="1" ht="14.45" hidden="1">
      <c r="C24" s="32">
        <v>1</v>
      </c>
      <c r="D24" s="14" t="s">
        <v>59</v>
      </c>
      <c r="E24" s="14"/>
      <c r="F24" s="14"/>
      <c r="G24" s="14"/>
      <c r="H24" s="14">
        <v>158105.1</v>
      </c>
      <c r="I24" s="14">
        <v>158105.1</v>
      </c>
      <c r="J24" s="20">
        <f t="shared" si="0"/>
        <v>0</v>
      </c>
      <c r="K24" s="33"/>
      <c r="L24" s="34">
        <v>46208</v>
      </c>
      <c r="M24" s="35"/>
      <c r="N24" s="35"/>
      <c r="O24" s="36">
        <v>1</v>
      </c>
      <c r="P24" s="37" t="s">
        <v>34</v>
      </c>
      <c r="Q24" s="14" t="s">
        <v>52</v>
      </c>
      <c r="T24" s="22" t="s">
        <v>39</v>
      </c>
      <c r="U24" s="22">
        <f>SUMIFS(J:J,O:O,"3",P:P,"ZM",Q:Q,"",L:L,"&gt;="&amp;DATE(2026,9,1),L:L,"&lt;="&amp;DATE(2026,9,30))</f>
        <v>0</v>
      </c>
      <c r="V24" s="22">
        <f>SUMIFS(J:J,O:O,"3",P:P,"JHL",Q:Q,"",L:L,"&gt;="&amp;DATE(2026,9,1),L:L,"&lt;="&amp;DATE(2026,9,30))</f>
        <v>0</v>
      </c>
      <c r="W24" s="22">
        <f>SUMIFS(J:J,O:O,"3",P:P,"WRD",Q:Q,"",L:L,"&gt;="&amp;DATE(2026,9,1),L:L,"&lt;="&amp;DATE(2026,9,30))</f>
        <v>0</v>
      </c>
      <c r="X24" s="22">
        <f>SUMIFS(J:J,O:O,"3",P:P,"JRD",Q:Q,"",L:L,"&gt;="&amp;DATE(2026,9,1),L:L,"&lt;="&amp;DATE(2026,9,30))</f>
        <v>0</v>
      </c>
      <c r="Y24" s="22">
        <f>SUMIFS(J:J,O:O,"3",P:P,"ANDY",Q:Q,"",L:L,"&gt;="&amp;DATE(2026,9,1),L:L,"&lt;="&amp;DATE(2026,9,30))</f>
        <v>0</v>
      </c>
      <c r="Z24" s="22">
        <f>SUMIFS(J:J,O:O,"3",P:P,"salary",Q:Q,"",L:L,"&gt;="&amp;DATE(2026,9,1),L:L,"&lt;="&amp;DATE(2026,9,30))</f>
        <v>0</v>
      </c>
      <c r="AA24" s="22">
        <f>SUMIFS(J:J,O:O,"3",P:P,"OTHER",Q:Q,"",L:L,"&gt;="&amp;DATE(2026,9,1),L:L,"&lt;="&amp;DATE(2026,9,30))</f>
        <v>0</v>
      </c>
      <c r="AB24" s="22">
        <f>SUMIFS(J:J,O:O,"3",P:P,"LS",Q:Q,"",L:L,"&gt;="&amp;DATE(2026,9,1),L:L,"&lt;="&amp;DATE(2026,9,30))</f>
        <v>0</v>
      </c>
      <c r="AC24" s="22">
        <f>SUMIFS(L:L,P:P,"3",Q:Q,"LS",R:R,"",O:O,"&gt;="&amp;DATE(2026,9,1),O:O,"&lt;="&amp;DATE(2026,9,30))</f>
        <v>0</v>
      </c>
      <c r="AD24" s="22">
        <f t="shared" si="4"/>
        <v>0</v>
      </c>
    </row>
    <row r="25" spans="3:30" s="1" customFormat="1" ht="14.45" hidden="1">
      <c r="C25" s="32"/>
      <c r="D25" s="38" t="s">
        <v>60</v>
      </c>
      <c r="E25" s="38"/>
      <c r="F25" s="38"/>
      <c r="G25" s="38"/>
      <c r="H25" s="38">
        <v>6053.85</v>
      </c>
      <c r="I25" s="14">
        <v>6053.85</v>
      </c>
      <c r="J25" s="20">
        <f t="shared" si="0"/>
        <v>0</v>
      </c>
      <c r="K25" s="33"/>
      <c r="L25" s="34">
        <v>46208</v>
      </c>
      <c r="M25" s="34"/>
      <c r="N25" s="34"/>
      <c r="O25" s="32">
        <v>1</v>
      </c>
      <c r="P25" s="38" t="s">
        <v>34</v>
      </c>
      <c r="Q25" s="14" t="s">
        <v>25</v>
      </c>
      <c r="T25" s="22" t="s">
        <v>41</v>
      </c>
      <c r="U25" s="22">
        <f>SUMIFS(J:J,O:O,"4",P:P,"ZM",Q:Q,"",L:L,"&gt;="&amp;DATE(2026,9,1),L:L,"&lt;="&amp;DATE(2026,9,30))</f>
        <v>0</v>
      </c>
      <c r="V25" s="22">
        <f>SUMIFS(J:J,O:O,"4",P:P,"JHL",Q:Q,"",L:L,"&gt;="&amp;DATE(2026,9,1),L:L,"&lt;="&amp;DATE(2026,9,30))</f>
        <v>0</v>
      </c>
      <c r="W25" s="22">
        <f>SUMIFS(J:J,O:O,"4",P:P,"WRD",Q:Q,"",L:L,"&gt;="&amp;DATE(2026,9,1),L:L,"&lt;="&amp;DATE(2026,9,30))</f>
        <v>0</v>
      </c>
      <c r="X25" s="22">
        <f>SUMIFS(J:J,O:O,"4",P:P,"JRD",Q:Q,"",L:L,"&gt;="&amp;DATE(2026,9,1),L:L,"&lt;="&amp;DATE(2026,9,30))</f>
        <v>0</v>
      </c>
      <c r="Y25" s="22">
        <f>SUMIFS(J:J,O:O,"4",P:P,"ANDY",Q:Q,"",L:L,"&gt;="&amp;DATE(2026,9,1),L:L,"&lt;="&amp;DATE(2026,9,30))</f>
        <v>939.5</v>
      </c>
      <c r="Z25" s="22">
        <f>SUMIFS(J:J,O:O,"4",P:P,"salary",Q:Q,"",L:L,"&gt;="&amp;DATE(2026,9,1),L:L,"&lt;="&amp;DATE(2026,9,30))</f>
        <v>0</v>
      </c>
      <c r="AA25" s="22">
        <f>SUMIFS(J:J,O:O,"4",P:P,"OTHER",Q:Q,"",L:L,"&gt;="&amp;DATE(2026,9,1),L:L,"&lt;="&amp;DATE(2026,9,30))</f>
        <v>0</v>
      </c>
      <c r="AB25" s="22">
        <f>SUMIFS(J:J,O:O,"4",P:P,"LS",Q:Q,"",L:L,"&gt;="&amp;DATE(2026,9,1),L:L,"&lt;="&amp;DATE(2026,9,30))</f>
        <v>0</v>
      </c>
      <c r="AC25" s="22">
        <f>SUMIFS(L:L,P:P,"4",Q:Q,"LS",R:R,"",O:O,"&gt;="&amp;DATE(2026,9,1),O:O,"&lt;="&amp;DATE(2026,9,30))</f>
        <v>0</v>
      </c>
      <c r="AD25" s="22">
        <f t="shared" si="4"/>
        <v>939.5</v>
      </c>
    </row>
    <row r="26" spans="3:30" s="1" customFormat="1" ht="14.45" hidden="1">
      <c r="C26" s="32"/>
      <c r="D26" s="39" t="s">
        <v>61</v>
      </c>
      <c r="E26" s="39"/>
      <c r="F26" s="39"/>
      <c r="G26" s="39"/>
      <c r="H26" s="38">
        <v>333887.82</v>
      </c>
      <c r="I26" s="14">
        <v>333887.82</v>
      </c>
      <c r="J26" s="20">
        <f t="shared" si="0"/>
        <v>0</v>
      </c>
      <c r="K26" s="33"/>
      <c r="L26" s="34">
        <v>46210</v>
      </c>
      <c r="M26" s="34"/>
      <c r="N26" s="34"/>
      <c r="O26" s="32">
        <v>2</v>
      </c>
      <c r="P26" s="38" t="s">
        <v>20</v>
      </c>
      <c r="Q26" s="14" t="s">
        <v>25</v>
      </c>
      <c r="R26" s="40"/>
      <c r="T26" s="22" t="s">
        <v>44</v>
      </c>
      <c r="U26" s="22">
        <f>SUMIFS(J:J,O:O,"5",P:P,"ZM",Q:Q,"",L:L,"&gt;="&amp;DATE(2026,9,1),L:L,"&lt;="&amp;DATE(2026,9,30))</f>
        <v>939349.44714285689</v>
      </c>
      <c r="V26" s="22">
        <f>SUMIFS(J:J,O:O,"5",P:P,"JHL",Q:Q,"",L:L,"&gt;="&amp;DATE(2026,9,1),L:L,"&lt;="&amp;DATE(2026,9,30))</f>
        <v>0</v>
      </c>
      <c r="W26" s="22">
        <f>SUMIFS(J:J,O:O,"5",P:P,"WRD",Q:Q,"",L:L,"&gt;="&amp;DATE(2026,9,1),L:L,"&lt;="&amp;DATE(2026,9,30))</f>
        <v>0</v>
      </c>
      <c r="X26" s="22">
        <f>SUMIFS(J:J,O:O,"5",P:P,"JRD",Q:Q,"",L:L,"&gt;="&amp;DATE(2026,9,1),L:L,"&lt;="&amp;DATE(2026,9,30))</f>
        <v>0</v>
      </c>
      <c r="Y26" s="22">
        <f>SUMIFS(J:J,O:O,"5",P:P,"ANDY",Q:Q,"",L:L,"&gt;="&amp;DATE(2026,9,1),L:L,"&lt;="&amp;DATE(2026,9,30))</f>
        <v>0</v>
      </c>
      <c r="Z26" s="22">
        <f>SUMIFS(J:J,O:O,"5",P:P,"salary",Q:Q,"",L:L,"&gt;="&amp;DATE(2026,9,1),L:L,"&lt;="&amp;DATE(2026,9,30))</f>
        <v>0</v>
      </c>
      <c r="AA26" s="22">
        <f>SUMIFS(J:J,O:O,"5",P:P,"OTHER",Q:Q,"",L:L,"&gt;="&amp;DATE(2026,9,1),L:L,"&lt;="&amp;DATE(2026,9,30))</f>
        <v>0</v>
      </c>
      <c r="AB26" s="22">
        <f>SUMIFS(J:J,O:O,"5",P:P,"LS",Q:Q,"",L:L,"&gt;="&amp;DATE(2026,9,1),L:L,"&lt;="&amp;DATE(2026,9,30))</f>
        <v>0</v>
      </c>
      <c r="AC26" s="22">
        <f>SUMIFS(L:L,P:P,"5",Q:Q,"LS",R:R,"",O:O,"&gt;="&amp;DATE(2026,9,1),O:O,"&lt;="&amp;DATE(2026,9,30))</f>
        <v>0</v>
      </c>
      <c r="AD26" s="22">
        <f t="shared" si="4"/>
        <v>939349.44714285689</v>
      </c>
    </row>
    <row r="27" spans="3:30" s="1" customFormat="1" ht="14.45" hidden="1">
      <c r="C27" s="13">
        <v>1</v>
      </c>
      <c r="D27" s="14" t="s">
        <v>62</v>
      </c>
      <c r="E27" s="14"/>
      <c r="F27" s="14"/>
      <c r="G27" s="14"/>
      <c r="H27" s="14">
        <v>93984</v>
      </c>
      <c r="I27" s="14">
        <v>93984</v>
      </c>
      <c r="J27" s="20">
        <f t="shared" si="0"/>
        <v>0</v>
      </c>
      <c r="K27" s="21"/>
      <c r="L27" s="15">
        <v>46211</v>
      </c>
      <c r="M27" s="15"/>
      <c r="N27" s="15"/>
      <c r="O27" s="13">
        <v>2</v>
      </c>
      <c r="P27" s="14" t="s">
        <v>16</v>
      </c>
      <c r="Q27" s="14" t="s">
        <v>17</v>
      </c>
      <c r="T27" s="22" t="s">
        <v>32</v>
      </c>
      <c r="U27" s="22">
        <f t="shared" ref="U27:AC27" si="5">SUM(U22:U26)</f>
        <v>939349.44714285689</v>
      </c>
      <c r="V27" s="22">
        <f t="shared" si="5"/>
        <v>0</v>
      </c>
      <c r="W27" s="22">
        <f t="shared" si="5"/>
        <v>0</v>
      </c>
      <c r="X27" s="22">
        <f t="shared" si="5"/>
        <v>0</v>
      </c>
      <c r="Y27" s="22">
        <f t="shared" si="5"/>
        <v>939.5</v>
      </c>
      <c r="Z27" s="22">
        <f t="shared" si="5"/>
        <v>0</v>
      </c>
      <c r="AA27" s="22">
        <f t="shared" si="5"/>
        <v>0</v>
      </c>
      <c r="AB27" s="22">
        <f t="shared" si="5"/>
        <v>0</v>
      </c>
      <c r="AC27" s="22">
        <f t="shared" si="5"/>
        <v>0</v>
      </c>
      <c r="AD27" s="22">
        <f t="shared" si="4"/>
        <v>940288.94714285689</v>
      </c>
    </row>
    <row r="28" spans="3:30" s="1" customFormat="1" ht="14.45" hidden="1">
      <c r="C28" s="13">
        <v>2</v>
      </c>
      <c r="D28" s="14" t="s">
        <v>63</v>
      </c>
      <c r="E28" s="14"/>
      <c r="F28" s="14"/>
      <c r="G28" s="14"/>
      <c r="H28" s="14">
        <v>270698.58</v>
      </c>
      <c r="I28" s="14">
        <v>270698.58</v>
      </c>
      <c r="J28" s="14">
        <f t="shared" si="0"/>
        <v>0</v>
      </c>
      <c r="K28" s="15"/>
      <c r="L28" s="15">
        <v>46212</v>
      </c>
      <c r="M28" s="15"/>
      <c r="N28" s="15"/>
      <c r="O28" s="13">
        <v>2</v>
      </c>
      <c r="P28" s="14" t="s">
        <v>16</v>
      </c>
      <c r="Q28" s="14" t="s">
        <v>17</v>
      </c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3:30" s="1" customFormat="1" ht="14.45" hidden="1">
      <c r="C29" s="13">
        <v>5</v>
      </c>
      <c r="D29" s="14" t="s">
        <v>58</v>
      </c>
      <c r="E29" s="14"/>
      <c r="F29" s="14"/>
      <c r="G29" s="14"/>
      <c r="H29" s="14">
        <v>764601.11</v>
      </c>
      <c r="I29" s="14">
        <v>764601.11</v>
      </c>
      <c r="J29" s="20">
        <f t="shared" si="0"/>
        <v>0</v>
      </c>
      <c r="K29" s="21"/>
      <c r="L29" s="15">
        <v>46215</v>
      </c>
      <c r="M29" s="15"/>
      <c r="N29" s="15"/>
      <c r="O29" s="13">
        <v>2</v>
      </c>
      <c r="P29" s="14" t="s">
        <v>34</v>
      </c>
      <c r="Q29" s="14" t="s">
        <v>17</v>
      </c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3:30" s="1" customFormat="1" ht="14.45" hidden="1">
      <c r="C30" s="13"/>
      <c r="D30" s="20" t="s">
        <v>64</v>
      </c>
      <c r="E30" s="20"/>
      <c r="F30" s="20"/>
      <c r="G30" s="20"/>
      <c r="H30" s="20">
        <v>8993.3250000000007</v>
      </c>
      <c r="I30" s="20">
        <v>8993.3250000000007</v>
      </c>
      <c r="J30" s="20">
        <f t="shared" si="0"/>
        <v>0</v>
      </c>
      <c r="K30" s="21"/>
      <c r="L30" s="15">
        <v>46215</v>
      </c>
      <c r="M30" s="15"/>
      <c r="N30" s="15"/>
      <c r="O30" s="13">
        <v>2</v>
      </c>
      <c r="P30" s="14" t="s">
        <v>34</v>
      </c>
      <c r="Q30" s="14" t="s">
        <v>21</v>
      </c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3:30" s="1" customFormat="1" ht="14.45" hidden="1">
      <c r="C31" s="13"/>
      <c r="D31" s="14" t="s">
        <v>65</v>
      </c>
      <c r="E31" s="14"/>
      <c r="F31" s="14"/>
      <c r="G31" s="14"/>
      <c r="H31" s="14">
        <v>265113</v>
      </c>
      <c r="I31" s="14">
        <f>200000+65113</f>
        <v>265113</v>
      </c>
      <c r="J31" s="20">
        <f t="shared" si="0"/>
        <v>0</v>
      </c>
      <c r="K31" s="21"/>
      <c r="L31" s="15">
        <v>46216</v>
      </c>
      <c r="M31" s="15"/>
      <c r="N31" s="15"/>
      <c r="O31" s="13">
        <v>3</v>
      </c>
      <c r="P31" s="14" t="s">
        <v>27</v>
      </c>
      <c r="Q31" s="14" t="s">
        <v>21</v>
      </c>
      <c r="R31" s="3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3:30" s="1" customFormat="1" ht="14.45" hidden="1">
      <c r="C32" s="13">
        <v>10</v>
      </c>
      <c r="D32" s="14" t="s">
        <v>66</v>
      </c>
      <c r="E32" s="14"/>
      <c r="F32" s="14"/>
      <c r="G32" s="14"/>
      <c r="H32" s="14">
        <v>1963102.5</v>
      </c>
      <c r="I32" s="14">
        <f>1000000+600000+100000+163102.5+100000</f>
        <v>1963102.5</v>
      </c>
      <c r="J32" s="20">
        <f t="shared" si="0"/>
        <v>0</v>
      </c>
      <c r="K32" s="21"/>
      <c r="L32" s="15">
        <v>46216</v>
      </c>
      <c r="M32" s="15"/>
      <c r="N32" s="15"/>
      <c r="O32" s="13">
        <v>3</v>
      </c>
      <c r="P32" s="14" t="s">
        <v>16</v>
      </c>
      <c r="Q32" s="14" t="s">
        <v>17</v>
      </c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2:18" s="2" customFormat="1" ht="14.45" hidden="1">
      <c r="B33" s="3"/>
      <c r="C33" s="13">
        <v>1</v>
      </c>
      <c r="D33" s="14" t="s">
        <v>67</v>
      </c>
      <c r="E33" s="14"/>
      <c r="F33" s="14"/>
      <c r="G33" s="14"/>
      <c r="H33" s="14">
        <v>132598.34</v>
      </c>
      <c r="I33" s="14">
        <v>132598.34</v>
      </c>
      <c r="J33" s="20">
        <f t="shared" si="0"/>
        <v>0</v>
      </c>
      <c r="K33" s="21"/>
      <c r="L33" s="15">
        <v>46217</v>
      </c>
      <c r="M33" s="15"/>
      <c r="N33" s="15"/>
      <c r="O33" s="13">
        <v>3</v>
      </c>
      <c r="P33" s="14" t="s">
        <v>16</v>
      </c>
      <c r="Q33" s="14" t="s">
        <v>17</v>
      </c>
    </row>
    <row r="34" spans="2:18" s="2" customFormat="1" ht="14.45" hidden="1">
      <c r="B34" s="3"/>
      <c r="C34" s="13"/>
      <c r="D34" s="41" t="s">
        <v>68</v>
      </c>
      <c r="E34" s="41"/>
      <c r="F34" s="41"/>
      <c r="G34" s="41"/>
      <c r="H34" s="14">
        <v>346869</v>
      </c>
      <c r="I34" s="14">
        <f>200000+146869</f>
        <v>346869</v>
      </c>
      <c r="J34" s="20">
        <f t="shared" si="0"/>
        <v>0</v>
      </c>
      <c r="K34" s="21"/>
      <c r="L34" s="15">
        <v>46223</v>
      </c>
      <c r="M34" s="15"/>
      <c r="N34" s="15"/>
      <c r="O34" s="13">
        <v>4</v>
      </c>
      <c r="P34" s="14" t="s">
        <v>28</v>
      </c>
      <c r="Q34" s="14" t="s">
        <v>21</v>
      </c>
      <c r="R34" s="1"/>
    </row>
    <row r="35" spans="2:18" s="2" customFormat="1" ht="14.45" hidden="1">
      <c r="B35" s="3"/>
      <c r="C35" s="13"/>
      <c r="D35" s="14" t="s">
        <v>61</v>
      </c>
      <c r="E35" s="14"/>
      <c r="F35" s="14"/>
      <c r="G35" s="14"/>
      <c r="H35" s="14">
        <v>284486</v>
      </c>
      <c r="I35" s="14">
        <f>150000+134486</f>
        <v>284486</v>
      </c>
      <c r="J35" s="20">
        <f t="shared" si="0"/>
        <v>0</v>
      </c>
      <c r="K35" s="21"/>
      <c r="L35" s="15">
        <v>46223</v>
      </c>
      <c r="M35" s="15"/>
      <c r="N35" s="15"/>
      <c r="O35" s="13">
        <v>4</v>
      </c>
      <c r="P35" s="14" t="s">
        <v>20</v>
      </c>
      <c r="Q35" s="14" t="s">
        <v>21</v>
      </c>
    </row>
    <row r="36" spans="2:18" s="2" customFormat="1" ht="14.45" hidden="1">
      <c r="B36" s="3"/>
      <c r="C36" s="13">
        <v>2</v>
      </c>
      <c r="D36" s="14" t="s">
        <v>69</v>
      </c>
      <c r="E36" s="14"/>
      <c r="F36" s="14"/>
      <c r="G36" s="14"/>
      <c r="H36" s="14">
        <v>333207</v>
      </c>
      <c r="I36" s="14">
        <v>333207</v>
      </c>
      <c r="J36" s="20">
        <f t="shared" si="0"/>
        <v>0</v>
      </c>
      <c r="K36" s="21"/>
      <c r="L36" s="15">
        <v>46223</v>
      </c>
      <c r="M36" s="15"/>
      <c r="N36" s="15"/>
      <c r="O36" s="13">
        <v>4</v>
      </c>
      <c r="P36" s="14" t="s">
        <v>16</v>
      </c>
      <c r="Q36" s="14" t="s">
        <v>17</v>
      </c>
    </row>
    <row r="37" spans="2:18" s="2" customFormat="1" ht="14.45" hidden="1">
      <c r="B37" s="3"/>
      <c r="C37" s="13"/>
      <c r="D37" s="20" t="s">
        <v>70</v>
      </c>
      <c r="E37" s="20"/>
      <c r="F37" s="20"/>
      <c r="G37" s="20"/>
      <c r="H37" s="20">
        <v>120800</v>
      </c>
      <c r="I37" s="20">
        <v>120800</v>
      </c>
      <c r="J37" s="20">
        <f t="shared" si="0"/>
        <v>0</v>
      </c>
      <c r="K37" s="21"/>
      <c r="L37" s="21">
        <v>46223</v>
      </c>
      <c r="M37" s="21"/>
      <c r="N37" s="21"/>
      <c r="O37" s="25">
        <v>4</v>
      </c>
      <c r="P37" s="20" t="s">
        <v>27</v>
      </c>
      <c r="Q37" s="14" t="s">
        <v>21</v>
      </c>
      <c r="R37" s="1"/>
    </row>
    <row r="38" spans="2:18" s="2" customFormat="1" ht="14.45" hidden="1">
      <c r="B38" s="3"/>
      <c r="C38" s="13"/>
      <c r="D38" s="20" t="s">
        <v>71</v>
      </c>
      <c r="E38" s="20"/>
      <c r="F38" s="20"/>
      <c r="G38" s="20"/>
      <c r="H38" s="20">
        <v>13986</v>
      </c>
      <c r="I38" s="20">
        <v>13986</v>
      </c>
      <c r="J38" s="20">
        <f t="shared" si="0"/>
        <v>0</v>
      </c>
      <c r="K38" s="21"/>
      <c r="L38" s="21">
        <v>46223</v>
      </c>
      <c r="M38" s="21"/>
      <c r="N38" s="21"/>
      <c r="O38" s="25">
        <v>4</v>
      </c>
      <c r="P38" s="20" t="s">
        <v>27</v>
      </c>
      <c r="Q38" s="14" t="s">
        <v>21</v>
      </c>
    </row>
    <row r="39" spans="2:18" s="2" customFormat="1" ht="14.45" hidden="1">
      <c r="B39" s="3"/>
      <c r="C39" s="13">
        <v>2</v>
      </c>
      <c r="D39" s="38" t="s">
        <v>72</v>
      </c>
      <c r="E39" s="38"/>
      <c r="F39" s="38"/>
      <c r="G39" s="38"/>
      <c r="H39" s="20">
        <v>244257.75</v>
      </c>
      <c r="I39" s="14">
        <v>244257.75</v>
      </c>
      <c r="J39" s="20">
        <f t="shared" si="0"/>
        <v>0</v>
      </c>
      <c r="K39" s="21"/>
      <c r="L39" s="21">
        <v>46225</v>
      </c>
      <c r="M39" s="15"/>
      <c r="N39" s="15"/>
      <c r="O39" s="13">
        <v>4</v>
      </c>
      <c r="P39" s="14" t="s">
        <v>16</v>
      </c>
      <c r="Q39" s="14" t="s">
        <v>17</v>
      </c>
    </row>
    <row r="40" spans="2:18" s="2" customFormat="1" ht="14.45" hidden="1">
      <c r="B40" s="3"/>
      <c r="C40" s="13">
        <v>1</v>
      </c>
      <c r="D40" s="38" t="s">
        <v>73</v>
      </c>
      <c r="E40" s="38"/>
      <c r="F40" s="38"/>
      <c r="G40" s="38"/>
      <c r="H40" s="20">
        <v>117844.7</v>
      </c>
      <c r="I40" s="14">
        <v>117844.7</v>
      </c>
      <c r="J40" s="20">
        <f t="shared" si="0"/>
        <v>0</v>
      </c>
      <c r="K40" s="21"/>
      <c r="L40" s="21">
        <v>46230</v>
      </c>
      <c r="M40" s="15"/>
      <c r="N40" s="15"/>
      <c r="O40" s="13">
        <v>5</v>
      </c>
      <c r="P40" s="14" t="s">
        <v>16</v>
      </c>
      <c r="Q40" s="14" t="s">
        <v>17</v>
      </c>
    </row>
    <row r="41" spans="2:18" s="2" customFormat="1" ht="14.45" hidden="1">
      <c r="B41" s="3"/>
      <c r="C41" s="13">
        <v>11</v>
      </c>
      <c r="D41" s="14" t="s">
        <v>74</v>
      </c>
      <c r="E41" s="14"/>
      <c r="F41" s="14"/>
      <c r="G41" s="14"/>
      <c r="H41" s="20">
        <v>1723498.6</v>
      </c>
      <c r="I41" s="14">
        <v>1723498.6</v>
      </c>
      <c r="J41" s="20">
        <f t="shared" si="0"/>
        <v>0</v>
      </c>
      <c r="K41" s="21"/>
      <c r="L41" s="21">
        <v>46230</v>
      </c>
      <c r="M41" s="15"/>
      <c r="N41" s="15"/>
      <c r="O41" s="13">
        <v>5</v>
      </c>
      <c r="P41" s="14" t="s">
        <v>16</v>
      </c>
      <c r="Q41" s="14" t="s">
        <v>17</v>
      </c>
    </row>
    <row r="42" spans="2:18" s="2" customFormat="1" ht="14.45" hidden="1">
      <c r="B42" s="3"/>
      <c r="C42" s="24">
        <v>10</v>
      </c>
      <c r="D42" s="14" t="s">
        <v>75</v>
      </c>
      <c r="E42" s="14"/>
      <c r="F42" s="14"/>
      <c r="G42" s="14"/>
      <c r="H42" s="20">
        <v>1971799.98</v>
      </c>
      <c r="I42" s="14">
        <v>1971799.98</v>
      </c>
      <c r="J42" s="20">
        <f t="shared" si="0"/>
        <v>0</v>
      </c>
      <c r="K42" s="21"/>
      <c r="L42" s="21">
        <v>46236</v>
      </c>
      <c r="M42" s="15"/>
      <c r="N42" s="15"/>
      <c r="O42" s="13">
        <v>1</v>
      </c>
      <c r="P42" s="14" t="s">
        <v>16</v>
      </c>
      <c r="Q42" s="14" t="s">
        <v>17</v>
      </c>
    </row>
    <row r="43" spans="2:18" s="2" customFormat="1" ht="14.45" hidden="1">
      <c r="B43" s="3"/>
      <c r="C43" s="13">
        <v>1</v>
      </c>
      <c r="D43" s="14" t="s">
        <v>76</v>
      </c>
      <c r="E43" s="14"/>
      <c r="F43" s="14"/>
      <c r="G43" s="14"/>
      <c r="H43" s="14">
        <v>281875.20000000001</v>
      </c>
      <c r="I43" s="14">
        <v>281875.20000000001</v>
      </c>
      <c r="J43" s="20">
        <f t="shared" si="0"/>
        <v>0</v>
      </c>
      <c r="K43" s="21"/>
      <c r="L43" s="21">
        <v>46238</v>
      </c>
      <c r="M43" s="15"/>
      <c r="N43" s="15"/>
      <c r="O43" s="13">
        <v>1</v>
      </c>
      <c r="P43" s="14" t="s">
        <v>16</v>
      </c>
      <c r="Q43" s="14" t="s">
        <v>17</v>
      </c>
    </row>
    <row r="44" spans="2:18" s="2" customFormat="1" ht="14.45" hidden="1">
      <c r="B44" s="3"/>
      <c r="C44" s="13"/>
      <c r="D44" s="14" t="s">
        <v>77</v>
      </c>
      <c r="E44" s="14"/>
      <c r="F44" s="14"/>
      <c r="G44" s="14"/>
      <c r="H44" s="14">
        <v>174750</v>
      </c>
      <c r="I44" s="20">
        <v>174750</v>
      </c>
      <c r="J44" s="20">
        <f t="shared" si="0"/>
        <v>0</v>
      </c>
      <c r="K44" s="21"/>
      <c r="L44" s="15">
        <v>46238</v>
      </c>
      <c r="M44" s="15"/>
      <c r="N44" s="15"/>
      <c r="O44" s="13">
        <v>1</v>
      </c>
      <c r="P44" s="14" t="s">
        <v>27</v>
      </c>
      <c r="Q44" s="14" t="s">
        <v>17</v>
      </c>
    </row>
    <row r="45" spans="2:18" s="2" customFormat="1" ht="14.45" hidden="1">
      <c r="B45" s="3"/>
      <c r="C45" s="13">
        <v>3</v>
      </c>
      <c r="D45" s="14" t="s">
        <v>78</v>
      </c>
      <c r="E45" s="14"/>
      <c r="F45" s="14"/>
      <c r="G45" s="14"/>
      <c r="H45" s="20">
        <v>433026.04</v>
      </c>
      <c r="I45" s="20">
        <v>433026.04</v>
      </c>
      <c r="J45" s="20">
        <f t="shared" si="0"/>
        <v>0</v>
      </c>
      <c r="K45" s="21"/>
      <c r="L45" s="21">
        <v>46241</v>
      </c>
      <c r="M45" s="15"/>
      <c r="N45" s="15"/>
      <c r="O45" s="13">
        <v>1</v>
      </c>
      <c r="P45" s="14" t="s">
        <v>16</v>
      </c>
      <c r="Q45" s="14" t="s">
        <v>17</v>
      </c>
    </row>
    <row r="46" spans="2:18" s="2" customFormat="1" ht="14.45" hidden="1">
      <c r="B46" s="3"/>
      <c r="C46" s="13">
        <v>2</v>
      </c>
      <c r="D46" s="14" t="s">
        <v>79</v>
      </c>
      <c r="E46" s="14"/>
      <c r="F46" s="14"/>
      <c r="G46" s="14"/>
      <c r="H46" s="14">
        <f>1113600/4*2</f>
        <v>556800</v>
      </c>
      <c r="I46" s="14">
        <v>556800</v>
      </c>
      <c r="J46" s="14">
        <f t="shared" si="0"/>
        <v>0</v>
      </c>
      <c r="K46" s="15"/>
      <c r="L46" s="21">
        <v>46242</v>
      </c>
      <c r="M46" s="15"/>
      <c r="N46" s="15"/>
      <c r="O46" s="13">
        <v>1</v>
      </c>
      <c r="P46" s="14" t="s">
        <v>16</v>
      </c>
      <c r="Q46" s="14" t="s">
        <v>17</v>
      </c>
    </row>
    <row r="47" spans="2:18" s="2" customFormat="1" ht="14.45" hidden="1">
      <c r="B47" s="3"/>
      <c r="C47" s="13">
        <v>1</v>
      </c>
      <c r="D47" s="14" t="s">
        <v>80</v>
      </c>
      <c r="E47" s="14"/>
      <c r="F47" s="14"/>
      <c r="G47" s="14"/>
      <c r="H47" s="14">
        <v>319233.59999999998</v>
      </c>
      <c r="I47" s="14">
        <v>319233.59999999998</v>
      </c>
      <c r="J47" s="14">
        <f t="shared" si="0"/>
        <v>0</v>
      </c>
      <c r="K47" s="15"/>
      <c r="L47" s="21">
        <v>46242</v>
      </c>
      <c r="M47" s="15"/>
      <c r="N47" s="15"/>
      <c r="O47" s="13">
        <v>1</v>
      </c>
      <c r="P47" s="14" t="s">
        <v>16</v>
      </c>
      <c r="Q47" s="14" t="s">
        <v>17</v>
      </c>
    </row>
    <row r="48" spans="2:18" s="2" customFormat="1" ht="14.45" hidden="1">
      <c r="B48" s="3"/>
      <c r="C48" s="13">
        <v>1</v>
      </c>
      <c r="D48" s="14" t="s">
        <v>81</v>
      </c>
      <c r="E48" s="14"/>
      <c r="F48" s="14"/>
      <c r="G48" s="14"/>
      <c r="H48" s="14">
        <v>259164.88</v>
      </c>
      <c r="I48" s="14">
        <v>259164.88</v>
      </c>
      <c r="J48" s="14">
        <f t="shared" si="0"/>
        <v>0</v>
      </c>
      <c r="K48" s="15"/>
      <c r="L48" s="21">
        <v>46242</v>
      </c>
      <c r="M48" s="15"/>
      <c r="N48" s="15"/>
      <c r="O48" s="13">
        <v>1</v>
      </c>
      <c r="P48" s="14" t="s">
        <v>16</v>
      </c>
      <c r="Q48" s="14" t="s">
        <v>17</v>
      </c>
    </row>
    <row r="49" spans="2:18" s="2" customFormat="1" ht="14.45" hidden="1">
      <c r="B49" s="3"/>
      <c r="C49" s="13">
        <v>1</v>
      </c>
      <c r="D49" s="14" t="s">
        <v>82</v>
      </c>
      <c r="E49" s="14"/>
      <c r="F49" s="14"/>
      <c r="G49" s="14"/>
      <c r="H49" s="14">
        <v>195150</v>
      </c>
      <c r="I49" s="20">
        <f>140000+55150</f>
        <v>195150</v>
      </c>
      <c r="J49" s="20">
        <f t="shared" si="0"/>
        <v>0</v>
      </c>
      <c r="K49" s="21"/>
      <c r="L49" s="21">
        <v>46244</v>
      </c>
      <c r="M49" s="15"/>
      <c r="N49" s="15"/>
      <c r="O49" s="13">
        <v>2</v>
      </c>
      <c r="P49" s="14" t="s">
        <v>16</v>
      </c>
      <c r="Q49" s="14" t="s">
        <v>17</v>
      </c>
    </row>
    <row r="50" spans="2:18" s="2" customFormat="1" ht="14.45" hidden="1">
      <c r="B50" s="3"/>
      <c r="C50" s="13"/>
      <c r="D50" s="14" t="s">
        <v>19</v>
      </c>
      <c r="E50" s="14"/>
      <c r="F50" s="14"/>
      <c r="G50" s="14"/>
      <c r="H50" s="14">
        <v>354542</v>
      </c>
      <c r="I50" s="14">
        <f>250000+104542</f>
        <v>354542</v>
      </c>
      <c r="J50" s="20">
        <f t="shared" si="0"/>
        <v>0</v>
      </c>
      <c r="K50" s="21"/>
      <c r="L50" s="21">
        <v>46249</v>
      </c>
      <c r="M50" s="15"/>
      <c r="N50" s="15"/>
      <c r="O50" s="13">
        <v>3</v>
      </c>
      <c r="P50" s="14" t="s">
        <v>20</v>
      </c>
      <c r="Q50" s="14" t="s">
        <v>17</v>
      </c>
    </row>
    <row r="51" spans="2:18" s="2" customFormat="1" ht="14.45" hidden="1">
      <c r="B51" s="3"/>
      <c r="C51" s="24">
        <v>4</v>
      </c>
      <c r="D51" s="14" t="s">
        <v>83</v>
      </c>
      <c r="E51" s="14"/>
      <c r="F51" s="14"/>
      <c r="G51" s="14"/>
      <c r="H51" s="20">
        <v>731311.2</v>
      </c>
      <c r="I51" s="14">
        <v>731311.2</v>
      </c>
      <c r="J51" s="20">
        <f t="shared" si="0"/>
        <v>0</v>
      </c>
      <c r="K51" s="21"/>
      <c r="L51" s="21">
        <v>46251</v>
      </c>
      <c r="M51" s="15"/>
      <c r="N51" s="15"/>
      <c r="O51" s="13">
        <v>2</v>
      </c>
      <c r="P51" s="14" t="s">
        <v>16</v>
      </c>
      <c r="Q51" s="14" t="s">
        <v>17</v>
      </c>
    </row>
    <row r="52" spans="2:18" s="2" customFormat="1" ht="14.45" hidden="1">
      <c r="B52" s="3"/>
      <c r="C52" s="13">
        <v>8</v>
      </c>
      <c r="D52" s="14" t="s">
        <v>84</v>
      </c>
      <c r="E52" s="14"/>
      <c r="F52" s="14"/>
      <c r="G52" s="14"/>
      <c r="H52" s="14">
        <f>1137467.22+2474.55</f>
        <v>1139941.77</v>
      </c>
      <c r="I52" s="14">
        <f>1137467.22+2474.55000000005</f>
        <v>1139941.77</v>
      </c>
      <c r="J52" s="20">
        <f t="shared" si="0"/>
        <v>0</v>
      </c>
      <c r="K52" s="21"/>
      <c r="L52" s="21">
        <v>46251</v>
      </c>
      <c r="M52" s="15"/>
      <c r="N52" s="15"/>
      <c r="O52" s="13">
        <v>3</v>
      </c>
      <c r="P52" s="14" t="s">
        <v>27</v>
      </c>
      <c r="Q52" s="14" t="s">
        <v>17</v>
      </c>
    </row>
    <row r="53" spans="2:18" s="2" customFormat="1" ht="14.45" hidden="1">
      <c r="B53" s="3"/>
      <c r="C53" s="13">
        <v>5</v>
      </c>
      <c r="D53" s="14" t="s">
        <v>85</v>
      </c>
      <c r="E53" s="14"/>
      <c r="F53" s="14"/>
      <c r="G53" s="14"/>
      <c r="H53" s="20">
        <v>709489.4</v>
      </c>
      <c r="I53" s="20">
        <v>709489.4</v>
      </c>
      <c r="J53" s="20">
        <f t="shared" si="0"/>
        <v>0</v>
      </c>
      <c r="K53" s="21"/>
      <c r="L53" s="21">
        <v>46253</v>
      </c>
      <c r="M53" s="15"/>
      <c r="N53" s="15"/>
      <c r="O53" s="13">
        <v>3</v>
      </c>
      <c r="P53" s="14" t="s">
        <v>27</v>
      </c>
      <c r="Q53" s="14" t="s">
        <v>17</v>
      </c>
    </row>
    <row r="54" spans="2:18" s="2" customFormat="1" ht="14.45" hidden="1">
      <c r="B54" s="3"/>
      <c r="C54" s="13">
        <v>1</v>
      </c>
      <c r="D54" s="14" t="s">
        <v>86</v>
      </c>
      <c r="E54" s="14"/>
      <c r="F54" s="14"/>
      <c r="G54" s="14"/>
      <c r="H54" s="20">
        <v>174363</v>
      </c>
      <c r="I54" s="20">
        <v>174363</v>
      </c>
      <c r="J54" s="20">
        <f t="shared" si="0"/>
        <v>0</v>
      </c>
      <c r="K54" s="42"/>
      <c r="L54" s="21">
        <v>46254</v>
      </c>
      <c r="M54" s="15"/>
      <c r="N54" s="15"/>
      <c r="O54" s="13">
        <v>3</v>
      </c>
      <c r="P54" s="14" t="s">
        <v>24</v>
      </c>
      <c r="Q54" s="14" t="s">
        <v>17</v>
      </c>
    </row>
    <row r="55" spans="2:18" s="2" customFormat="1" ht="14.45" hidden="1">
      <c r="B55" s="3"/>
      <c r="C55" s="13"/>
      <c r="D55" s="14" t="s">
        <v>87</v>
      </c>
      <c r="E55" s="14"/>
      <c r="F55" s="14"/>
      <c r="G55" s="14"/>
      <c r="H55" s="14">
        <v>58100</v>
      </c>
      <c r="I55" s="20">
        <v>58100</v>
      </c>
      <c r="J55" s="20">
        <f t="shared" si="0"/>
        <v>0</v>
      </c>
      <c r="K55" s="21"/>
      <c r="L55" s="21">
        <v>46257</v>
      </c>
      <c r="M55" s="15"/>
      <c r="N55" s="15"/>
      <c r="O55" s="13">
        <v>4</v>
      </c>
      <c r="P55" s="14" t="s">
        <v>27</v>
      </c>
      <c r="Q55" s="14" t="s">
        <v>17</v>
      </c>
    </row>
    <row r="56" spans="2:18" s="2" customFormat="1" ht="14.45" hidden="1">
      <c r="B56" s="3"/>
      <c r="C56" s="13"/>
      <c r="D56" s="14" t="s">
        <v>88</v>
      </c>
      <c r="E56" s="14"/>
      <c r="F56" s="14"/>
      <c r="G56" s="14"/>
      <c r="H56" s="14">
        <v>76310</v>
      </c>
      <c r="I56" s="20">
        <v>76310</v>
      </c>
      <c r="J56" s="20">
        <f t="shared" si="0"/>
        <v>0</v>
      </c>
      <c r="K56" s="21"/>
      <c r="L56" s="21">
        <v>46257</v>
      </c>
      <c r="M56" s="15"/>
      <c r="N56" s="15"/>
      <c r="O56" s="13">
        <v>4</v>
      </c>
      <c r="P56" s="14" t="s">
        <v>27</v>
      </c>
      <c r="Q56" s="14" t="s">
        <v>17</v>
      </c>
    </row>
    <row r="57" spans="2:18" s="2" customFormat="1" ht="14.45" hidden="1">
      <c r="B57" s="3"/>
      <c r="C57" s="13">
        <v>7</v>
      </c>
      <c r="D57" s="19" t="s">
        <v>89</v>
      </c>
      <c r="E57" s="19"/>
      <c r="F57" s="19"/>
      <c r="G57" s="19"/>
      <c r="H57" s="14">
        <v>1003800.05</v>
      </c>
      <c r="I57" s="14">
        <v>1003800.05</v>
      </c>
      <c r="J57" s="20">
        <f t="shared" si="0"/>
        <v>0</v>
      </c>
      <c r="K57" s="21"/>
      <c r="L57" s="21">
        <v>46258</v>
      </c>
      <c r="M57" s="15"/>
      <c r="N57" s="15"/>
      <c r="O57" s="13">
        <v>4</v>
      </c>
      <c r="P57" s="14" t="s">
        <v>27</v>
      </c>
      <c r="Q57" s="14" t="s">
        <v>17</v>
      </c>
    </row>
    <row r="58" spans="2:18" s="2" customFormat="1" ht="14.45" hidden="1">
      <c r="B58" s="3"/>
      <c r="C58" s="13">
        <v>1</v>
      </c>
      <c r="D58" s="14" t="s">
        <v>90</v>
      </c>
      <c r="E58" s="14"/>
      <c r="F58" s="14"/>
      <c r="G58" s="14"/>
      <c r="H58" s="14">
        <v>286520</v>
      </c>
      <c r="I58" s="14">
        <v>286520</v>
      </c>
      <c r="J58" s="20">
        <f t="shared" si="0"/>
        <v>0</v>
      </c>
      <c r="K58" s="42"/>
      <c r="L58" s="21">
        <v>46258</v>
      </c>
      <c r="M58" s="21"/>
      <c r="N58" s="21"/>
      <c r="O58" s="25">
        <v>4</v>
      </c>
      <c r="P58" s="14" t="s">
        <v>16</v>
      </c>
      <c r="Q58" s="14" t="s">
        <v>17</v>
      </c>
    </row>
    <row r="59" spans="2:18" s="2" customFormat="1" ht="14.45" hidden="1">
      <c r="B59" s="3"/>
      <c r="C59" s="13">
        <v>1</v>
      </c>
      <c r="D59" s="14" t="s">
        <v>91</v>
      </c>
      <c r="E59" s="14"/>
      <c r="F59" s="14"/>
      <c r="G59" s="14"/>
      <c r="H59" s="20">
        <v>175865.58</v>
      </c>
      <c r="I59" s="20">
        <v>175865.58</v>
      </c>
      <c r="J59" s="20">
        <f t="shared" si="0"/>
        <v>0</v>
      </c>
      <c r="K59" s="42"/>
      <c r="L59" s="21">
        <v>46258</v>
      </c>
      <c r="M59" s="21"/>
      <c r="N59" s="21"/>
      <c r="O59" s="25">
        <v>4</v>
      </c>
      <c r="P59" s="14" t="s">
        <v>16</v>
      </c>
      <c r="Q59" s="14" t="s">
        <v>17</v>
      </c>
    </row>
    <row r="60" spans="2:18" s="2" customFormat="1" ht="14.45" hidden="1">
      <c r="B60" s="3"/>
      <c r="C60" s="13">
        <v>5</v>
      </c>
      <c r="D60" s="14" t="s">
        <v>92</v>
      </c>
      <c r="E60" s="14"/>
      <c r="F60" s="14"/>
      <c r="G60" s="14"/>
      <c r="H60" s="20">
        <v>736837.36</v>
      </c>
      <c r="I60" s="20">
        <f>278900.02+457937.34</f>
        <v>736837.36</v>
      </c>
      <c r="J60" s="20">
        <f t="shared" si="0"/>
        <v>0</v>
      </c>
      <c r="K60" s="42"/>
      <c r="L60" s="21">
        <v>46259</v>
      </c>
      <c r="M60" s="21">
        <v>46272</v>
      </c>
      <c r="N60" s="21"/>
      <c r="O60" s="25">
        <v>4</v>
      </c>
      <c r="P60" s="14" t="s">
        <v>16</v>
      </c>
      <c r="Q60" s="14"/>
      <c r="R60" s="3" t="s">
        <v>93</v>
      </c>
    </row>
    <row r="61" spans="2:18" s="2" customFormat="1" ht="14.45" hidden="1">
      <c r="B61" s="3"/>
      <c r="C61" s="13"/>
      <c r="D61" s="14" t="s">
        <v>19</v>
      </c>
      <c r="E61" s="14"/>
      <c r="F61" s="20"/>
      <c r="G61" s="20"/>
      <c r="H61" s="20">
        <v>250000</v>
      </c>
      <c r="I61" s="20">
        <v>250000</v>
      </c>
      <c r="J61" s="20">
        <f t="shared" si="0"/>
        <v>0</v>
      </c>
      <c r="K61" s="21"/>
      <c r="L61" s="21">
        <v>46261</v>
      </c>
      <c r="M61" s="21"/>
      <c r="N61" s="21"/>
      <c r="O61" s="25">
        <v>4</v>
      </c>
      <c r="P61" s="14" t="s">
        <v>20</v>
      </c>
      <c r="Q61" s="14" t="s">
        <v>21</v>
      </c>
      <c r="R61" s="43"/>
    </row>
    <row r="62" spans="2:18" s="2" customFormat="1" ht="14.45" hidden="1">
      <c r="B62" s="3"/>
      <c r="C62" s="13">
        <v>1</v>
      </c>
      <c r="D62" s="14" t="s">
        <v>94</v>
      </c>
      <c r="E62" s="14" t="s">
        <v>95</v>
      </c>
      <c r="F62" s="14" t="s">
        <v>96</v>
      </c>
      <c r="G62" s="14"/>
      <c r="H62" s="14">
        <v>130806.9</v>
      </c>
      <c r="I62" s="14">
        <v>130806.9</v>
      </c>
      <c r="J62" s="20">
        <f t="shared" si="0"/>
        <v>0</v>
      </c>
      <c r="K62" s="44"/>
      <c r="L62" s="21">
        <v>46265</v>
      </c>
      <c r="M62" s="21"/>
      <c r="N62" s="21"/>
      <c r="O62" s="25">
        <v>5</v>
      </c>
      <c r="P62" s="14" t="s">
        <v>34</v>
      </c>
      <c r="Q62" s="14" t="s">
        <v>17</v>
      </c>
      <c r="R62" s="3" t="s">
        <v>97</v>
      </c>
    </row>
    <row r="63" spans="2:18" s="2" customFormat="1" ht="14.45" hidden="1">
      <c r="B63" s="3"/>
      <c r="C63" s="13">
        <v>3</v>
      </c>
      <c r="D63" s="14" t="s">
        <v>98</v>
      </c>
      <c r="E63" s="14" t="s">
        <v>95</v>
      </c>
      <c r="F63" s="20" t="s">
        <v>99</v>
      </c>
      <c r="G63" s="20"/>
      <c r="H63" s="20">
        <f>439832.36+25542.35</f>
        <v>465374.71</v>
      </c>
      <c r="I63" s="20">
        <v>0</v>
      </c>
      <c r="J63" s="45">
        <f t="shared" si="0"/>
        <v>465374.71</v>
      </c>
      <c r="K63" s="44"/>
      <c r="L63" s="21">
        <v>46265</v>
      </c>
      <c r="M63" s="21">
        <v>46272</v>
      </c>
      <c r="N63" s="21"/>
      <c r="O63" s="25">
        <v>5</v>
      </c>
      <c r="P63" s="14" t="s">
        <v>16</v>
      </c>
      <c r="Q63" s="14"/>
      <c r="R63" s="43"/>
    </row>
    <row r="64" spans="2:18" s="2" customFormat="1" ht="14.45" hidden="1">
      <c r="B64" s="3"/>
      <c r="C64" s="13"/>
      <c r="D64" s="14" t="s">
        <v>19</v>
      </c>
      <c r="E64" s="14"/>
      <c r="F64" s="14"/>
      <c r="G64" s="14"/>
      <c r="H64" s="14">
        <f>450939.5-250000</f>
        <v>200939.5</v>
      </c>
      <c r="I64" s="20">
        <v>200000</v>
      </c>
      <c r="J64" s="45">
        <f t="shared" si="0"/>
        <v>939.5</v>
      </c>
      <c r="K64" s="44"/>
      <c r="L64" s="21">
        <v>46269</v>
      </c>
      <c r="M64" s="15"/>
      <c r="N64" s="15"/>
      <c r="O64" s="13">
        <v>4</v>
      </c>
      <c r="P64" s="14" t="s">
        <v>20</v>
      </c>
      <c r="Q64" s="14"/>
    </row>
    <row r="65" spans="2:18" s="2" customFormat="1" ht="14.45" hidden="1">
      <c r="B65" s="3"/>
      <c r="C65" s="13">
        <v>3</v>
      </c>
      <c r="D65" s="14" t="s">
        <v>100</v>
      </c>
      <c r="E65" s="14" t="s">
        <v>101</v>
      </c>
      <c r="F65" s="14" t="s">
        <v>102</v>
      </c>
      <c r="G65" s="14"/>
      <c r="H65" s="14">
        <f>0.24*1160000*3</f>
        <v>835200</v>
      </c>
      <c r="I65" s="20">
        <v>835200</v>
      </c>
      <c r="J65" s="14">
        <v>0</v>
      </c>
      <c r="K65" s="46"/>
      <c r="L65" s="21">
        <v>46272</v>
      </c>
      <c r="M65" s="47">
        <v>46303</v>
      </c>
      <c r="N65" s="21"/>
      <c r="O65" s="25">
        <v>2</v>
      </c>
      <c r="P65" s="14" t="s">
        <v>16</v>
      </c>
      <c r="Q65" s="14"/>
    </row>
    <row r="66" spans="2:18" s="2" customFormat="1" ht="14.45" hidden="1">
      <c r="B66" s="3"/>
      <c r="C66" s="13">
        <v>3</v>
      </c>
      <c r="D66" s="14" t="s">
        <v>103</v>
      </c>
      <c r="E66" s="14" t="s">
        <v>101</v>
      </c>
      <c r="F66" s="14" t="s">
        <v>102</v>
      </c>
      <c r="G66" s="14"/>
      <c r="H66" s="14">
        <f>0.1322*1960400*3</f>
        <v>777494.64</v>
      </c>
      <c r="I66" s="20">
        <v>777494.64</v>
      </c>
      <c r="J66" s="14">
        <f t="shared" ref="J66:J85" si="6">H66-I66</f>
        <v>0</v>
      </c>
      <c r="K66" s="15"/>
      <c r="L66" s="21">
        <v>46272</v>
      </c>
      <c r="M66" s="21"/>
      <c r="N66" s="21"/>
      <c r="O66" s="25">
        <v>2</v>
      </c>
      <c r="P66" s="14" t="s">
        <v>16</v>
      </c>
      <c r="Q66" s="14" t="s">
        <v>17</v>
      </c>
    </row>
    <row r="67" spans="2:18" s="2" customFormat="1" ht="14.45" hidden="1">
      <c r="B67" s="3"/>
      <c r="C67" s="13">
        <v>1</v>
      </c>
      <c r="D67" s="14" t="s">
        <v>104</v>
      </c>
      <c r="E67" s="14" t="s">
        <v>105</v>
      </c>
      <c r="F67" s="14" t="s">
        <v>102</v>
      </c>
      <c r="G67" s="14"/>
      <c r="H67" s="14">
        <v>185600</v>
      </c>
      <c r="I67" s="20">
        <f>27995.16+157604.84</f>
        <v>185600</v>
      </c>
      <c r="J67" s="14">
        <f t="shared" si="6"/>
        <v>0</v>
      </c>
      <c r="K67" s="15"/>
      <c r="L67" s="21">
        <v>46272</v>
      </c>
      <c r="M67" s="21"/>
      <c r="N67" s="21"/>
      <c r="O67" s="25">
        <v>2</v>
      </c>
      <c r="P67" s="14" t="s">
        <v>16</v>
      </c>
      <c r="Q67" s="14" t="s">
        <v>17</v>
      </c>
    </row>
    <row r="68" spans="2:18" s="2" customFormat="1" ht="14.45" hidden="1">
      <c r="B68" s="3"/>
      <c r="C68" s="13">
        <v>5</v>
      </c>
      <c r="D68" s="14" t="s">
        <v>106</v>
      </c>
      <c r="E68" s="14" t="s">
        <v>95</v>
      </c>
      <c r="F68" s="14" t="s">
        <v>107</v>
      </c>
      <c r="G68" s="14"/>
      <c r="H68" s="20">
        <v>1194510.2</v>
      </c>
      <c r="I68" s="20">
        <v>1194510.2</v>
      </c>
      <c r="J68" s="20">
        <f t="shared" si="6"/>
        <v>0</v>
      </c>
      <c r="K68" s="21"/>
      <c r="L68" s="21">
        <v>46272</v>
      </c>
      <c r="M68" s="21"/>
      <c r="N68" s="21"/>
      <c r="O68" s="25">
        <v>2</v>
      </c>
      <c r="P68" s="14" t="s">
        <v>16</v>
      </c>
      <c r="Q68" s="14" t="s">
        <v>17</v>
      </c>
    </row>
    <row r="69" spans="2:18" s="2" customFormat="1" ht="14.45" hidden="1">
      <c r="B69" s="3"/>
      <c r="C69" s="13">
        <v>8</v>
      </c>
      <c r="D69" s="48" t="s">
        <v>108</v>
      </c>
      <c r="E69" s="14" t="s">
        <v>95</v>
      </c>
      <c r="F69" s="14" t="s">
        <v>109</v>
      </c>
      <c r="G69" s="14"/>
      <c r="H69" s="20">
        <v>1013014.91</v>
      </c>
      <c r="I69" s="20">
        <v>1013014.91</v>
      </c>
      <c r="J69" s="20">
        <f t="shared" si="6"/>
        <v>0</v>
      </c>
      <c r="K69" s="42"/>
      <c r="L69" s="21">
        <v>46272</v>
      </c>
      <c r="M69" s="15"/>
      <c r="N69" s="15"/>
      <c r="O69" s="13">
        <v>2</v>
      </c>
      <c r="P69" s="14" t="s">
        <v>27</v>
      </c>
      <c r="Q69" s="14" t="s">
        <v>17</v>
      </c>
    </row>
    <row r="70" spans="2:18" s="2" customFormat="1" ht="14.45" hidden="1">
      <c r="B70" s="3"/>
      <c r="C70" s="13">
        <v>5</v>
      </c>
      <c r="D70" s="14" t="s">
        <v>110</v>
      </c>
      <c r="E70" s="14" t="s">
        <v>95</v>
      </c>
      <c r="F70" s="20" t="s">
        <v>111</v>
      </c>
      <c r="G70" s="20"/>
      <c r="H70" s="20">
        <v>715295.88</v>
      </c>
      <c r="I70" s="20">
        <v>715295.88</v>
      </c>
      <c r="J70" s="20">
        <f t="shared" si="6"/>
        <v>0</v>
      </c>
      <c r="K70" s="42"/>
      <c r="L70" s="21">
        <v>46272</v>
      </c>
      <c r="M70" s="21"/>
      <c r="N70" s="21"/>
      <c r="O70" s="25">
        <v>2</v>
      </c>
      <c r="P70" s="14" t="s">
        <v>27</v>
      </c>
      <c r="Q70" s="14" t="s">
        <v>17</v>
      </c>
    </row>
    <row r="71" spans="2:18" s="2" customFormat="1" ht="14.45" hidden="1">
      <c r="B71" s="3"/>
      <c r="C71" s="13">
        <v>2</v>
      </c>
      <c r="D71" s="14" t="s">
        <v>112</v>
      </c>
      <c r="E71" s="14" t="s">
        <v>95</v>
      </c>
      <c r="F71" s="14" t="s">
        <v>113</v>
      </c>
      <c r="G71" s="14"/>
      <c r="H71" s="14">
        <v>227736.9</v>
      </c>
      <c r="I71" s="14">
        <v>227736.9</v>
      </c>
      <c r="J71" s="20">
        <f t="shared" si="6"/>
        <v>0</v>
      </c>
      <c r="K71" s="21"/>
      <c r="L71" s="42">
        <v>46273</v>
      </c>
      <c r="M71" s="21"/>
      <c r="N71" s="21"/>
      <c r="O71" s="25">
        <v>2</v>
      </c>
      <c r="P71" s="14" t="s">
        <v>16</v>
      </c>
      <c r="Q71" s="14" t="s">
        <v>17</v>
      </c>
    </row>
    <row r="72" spans="2:18" s="2" customFormat="1" ht="14.45" hidden="1">
      <c r="B72" s="3"/>
      <c r="C72" s="13">
        <v>1</v>
      </c>
      <c r="D72" s="14" t="s">
        <v>114</v>
      </c>
      <c r="E72" s="14" t="s">
        <v>115</v>
      </c>
      <c r="F72" s="14" t="s">
        <v>116</v>
      </c>
      <c r="G72" s="14"/>
      <c r="H72" s="14">
        <v>113164.6</v>
      </c>
      <c r="I72" s="14">
        <v>113164.6</v>
      </c>
      <c r="J72" s="20">
        <f t="shared" si="6"/>
        <v>0</v>
      </c>
      <c r="K72" s="15"/>
      <c r="L72" s="42">
        <v>46276</v>
      </c>
      <c r="M72" s="42"/>
      <c r="N72" s="42"/>
      <c r="O72" s="24">
        <v>2</v>
      </c>
      <c r="P72" s="14" t="s">
        <v>16</v>
      </c>
      <c r="Q72" s="14" t="s">
        <v>17</v>
      </c>
      <c r="R72" s="3"/>
    </row>
    <row r="73" spans="2:18" s="2" customFormat="1" ht="14.45" hidden="1">
      <c r="B73" s="3"/>
      <c r="C73" s="13">
        <v>1</v>
      </c>
      <c r="D73" s="14" t="s">
        <v>117</v>
      </c>
      <c r="E73" s="14" t="s">
        <v>101</v>
      </c>
      <c r="F73" s="14" t="s">
        <v>107</v>
      </c>
      <c r="G73" s="14" t="s">
        <v>118</v>
      </c>
      <c r="H73" s="14">
        <v>174363</v>
      </c>
      <c r="I73" s="20">
        <v>0</v>
      </c>
      <c r="J73" s="49">
        <f t="shared" si="6"/>
        <v>174363</v>
      </c>
      <c r="K73" s="42"/>
      <c r="L73" s="21">
        <v>46279</v>
      </c>
      <c r="M73" s="15"/>
      <c r="N73" s="15"/>
      <c r="O73" s="13">
        <v>2</v>
      </c>
      <c r="P73" s="14" t="s">
        <v>24</v>
      </c>
      <c r="Q73" s="14" t="s">
        <v>17</v>
      </c>
    </row>
    <row r="74" spans="2:18" s="2" customFormat="1" ht="14.45" hidden="1">
      <c r="B74" s="3"/>
      <c r="C74" s="7"/>
      <c r="D74" s="8" t="s">
        <v>19</v>
      </c>
      <c r="E74" s="8"/>
      <c r="F74" s="8"/>
      <c r="G74" s="8" t="s">
        <v>118</v>
      </c>
      <c r="H74" s="50">
        <v>751795.96</v>
      </c>
      <c r="I74" s="51">
        <v>751795.96</v>
      </c>
      <c r="J74" s="50">
        <f t="shared" si="6"/>
        <v>0</v>
      </c>
      <c r="K74" s="52"/>
      <c r="L74" s="9">
        <v>46279</v>
      </c>
      <c r="M74" s="9">
        <v>46294</v>
      </c>
      <c r="N74" s="9"/>
      <c r="O74" s="7">
        <v>2</v>
      </c>
      <c r="P74" s="8" t="s">
        <v>20</v>
      </c>
      <c r="Q74" s="8"/>
      <c r="R74" s="3" t="s">
        <v>119</v>
      </c>
    </row>
    <row r="75" spans="2:18" s="2" customFormat="1" ht="14.45" hidden="1">
      <c r="B75" s="3"/>
      <c r="C75" s="13">
        <v>1</v>
      </c>
      <c r="D75" s="14" t="s">
        <v>120</v>
      </c>
      <c r="E75" s="14" t="s">
        <v>121</v>
      </c>
      <c r="F75" s="14" t="s">
        <v>122</v>
      </c>
      <c r="G75" s="14" t="s">
        <v>118</v>
      </c>
      <c r="H75" s="14">
        <f>536242.32514+19117.38</f>
        <v>555359.70513999998</v>
      </c>
      <c r="I75" s="14">
        <f>$H75</f>
        <v>555359.70513999998</v>
      </c>
      <c r="J75" s="20">
        <f t="shared" si="6"/>
        <v>0</v>
      </c>
      <c r="K75" s="21"/>
      <c r="L75" s="42">
        <v>46280</v>
      </c>
      <c r="M75" s="21"/>
      <c r="N75" s="21"/>
      <c r="O75" s="25">
        <v>3</v>
      </c>
      <c r="P75" s="14" t="s">
        <v>31</v>
      </c>
      <c r="Q75" s="14" t="s">
        <v>17</v>
      </c>
    </row>
    <row r="76" spans="2:18" s="2" customFormat="1" ht="14.45" hidden="1">
      <c r="B76" s="3"/>
      <c r="C76" s="13">
        <v>5</v>
      </c>
      <c r="D76" s="14" t="s">
        <v>123</v>
      </c>
      <c r="E76" s="14" t="s">
        <v>95</v>
      </c>
      <c r="F76" s="14" t="s">
        <v>107</v>
      </c>
      <c r="G76" s="14" t="s">
        <v>118</v>
      </c>
      <c r="H76" s="14">
        <v>1193499.75</v>
      </c>
      <c r="I76" s="14">
        <v>1193499.75</v>
      </c>
      <c r="J76" s="20">
        <f t="shared" si="6"/>
        <v>0</v>
      </c>
      <c r="K76" s="21"/>
      <c r="L76" s="21">
        <v>46280</v>
      </c>
      <c r="M76" s="21"/>
      <c r="N76" s="21"/>
      <c r="O76" s="25">
        <v>3</v>
      </c>
      <c r="P76" s="14" t="s">
        <v>16</v>
      </c>
      <c r="Q76" s="14" t="s">
        <v>17</v>
      </c>
      <c r="R76" s="3"/>
    </row>
    <row r="77" spans="2:18" s="2" customFormat="1" ht="14.45" hidden="1">
      <c r="B77" s="3"/>
      <c r="C77" s="13">
        <v>2</v>
      </c>
      <c r="D77" s="14" t="s">
        <v>124</v>
      </c>
      <c r="E77" s="14" t="s">
        <v>101</v>
      </c>
      <c r="F77" s="14" t="s">
        <v>102</v>
      </c>
      <c r="G77" s="14" t="s">
        <v>125</v>
      </c>
      <c r="H77" s="14">
        <f>0.24*1160000*2/40*39</f>
        <v>542880</v>
      </c>
      <c r="I77" s="41">
        <v>278400</v>
      </c>
      <c r="J77" s="53">
        <f t="shared" si="6"/>
        <v>264480</v>
      </c>
      <c r="K77" s="46"/>
      <c r="L77" s="42">
        <v>46281</v>
      </c>
      <c r="M77" s="47">
        <v>46305</v>
      </c>
      <c r="N77" s="21"/>
      <c r="O77" s="25">
        <v>3</v>
      </c>
      <c r="P77" s="14" t="s">
        <v>16</v>
      </c>
      <c r="Q77" s="14" t="s">
        <v>17</v>
      </c>
    </row>
    <row r="78" spans="2:18" s="2" customFormat="1" ht="14.45" hidden="1">
      <c r="B78" s="3"/>
      <c r="C78" s="13" t="s">
        <v>126</v>
      </c>
      <c r="D78" s="14" t="s">
        <v>127</v>
      </c>
      <c r="E78" s="14" t="s">
        <v>101</v>
      </c>
      <c r="F78" s="14" t="s">
        <v>102</v>
      </c>
      <c r="G78" s="14" t="s">
        <v>125</v>
      </c>
      <c r="H78" s="41">
        <v>14212.9</v>
      </c>
      <c r="I78" s="41">
        <v>0</v>
      </c>
      <c r="J78" s="53">
        <f t="shared" si="6"/>
        <v>14212.9</v>
      </c>
      <c r="K78" s="46"/>
      <c r="L78" s="42">
        <v>46281</v>
      </c>
      <c r="M78" s="47">
        <v>46305</v>
      </c>
      <c r="N78" s="21"/>
      <c r="O78" s="25">
        <v>3</v>
      </c>
      <c r="P78" s="14" t="s">
        <v>16</v>
      </c>
      <c r="Q78" s="14" t="s">
        <v>17</v>
      </c>
    </row>
    <row r="79" spans="2:18" s="2" customFormat="1" ht="14.45" hidden="1">
      <c r="B79" s="3"/>
      <c r="C79" s="13">
        <v>5</v>
      </c>
      <c r="D79" s="14" t="s">
        <v>128</v>
      </c>
      <c r="E79" s="14" t="s">
        <v>95</v>
      </c>
      <c r="F79" s="14" t="s">
        <v>129</v>
      </c>
      <c r="G79" s="14" t="s">
        <v>118</v>
      </c>
      <c r="H79" s="14">
        <v>700830.26100000006</v>
      </c>
      <c r="I79" s="14">
        <v>700830.26100000006</v>
      </c>
      <c r="J79" s="41">
        <f t="shared" si="6"/>
        <v>0</v>
      </c>
      <c r="K79" s="15">
        <v>46292</v>
      </c>
      <c r="L79" s="15">
        <v>46285</v>
      </c>
      <c r="M79" s="21"/>
      <c r="N79" s="21"/>
      <c r="O79" s="25">
        <v>4</v>
      </c>
      <c r="P79" s="14" t="s">
        <v>27</v>
      </c>
      <c r="Q79" s="14" t="s">
        <v>17</v>
      </c>
    </row>
    <row r="80" spans="2:18" s="2" customFormat="1" ht="14.45" hidden="1">
      <c r="B80" s="3"/>
      <c r="C80" s="13">
        <v>4</v>
      </c>
      <c r="D80" s="14" t="s">
        <v>130</v>
      </c>
      <c r="E80" s="14" t="s">
        <v>95</v>
      </c>
      <c r="F80" s="14" t="s">
        <v>107</v>
      </c>
      <c r="G80" s="14" t="s">
        <v>118</v>
      </c>
      <c r="H80" s="14">
        <v>990736</v>
      </c>
      <c r="I80" s="20">
        <f>240000+300000</f>
        <v>540000</v>
      </c>
      <c r="J80" s="45">
        <f t="shared" si="6"/>
        <v>450736</v>
      </c>
      <c r="K80" s="21">
        <v>46292</v>
      </c>
      <c r="L80" s="15">
        <v>46286</v>
      </c>
      <c r="M80" s="21"/>
      <c r="N80" s="21"/>
      <c r="O80" s="25">
        <v>4</v>
      </c>
      <c r="P80" s="14" t="s">
        <v>16</v>
      </c>
      <c r="Q80" s="14" t="s">
        <v>17</v>
      </c>
    </row>
    <row r="81" spans="2:18" s="2" customFormat="1" ht="14.45" hidden="1">
      <c r="B81" s="3"/>
      <c r="C81" s="13">
        <v>1</v>
      </c>
      <c r="D81" s="14" t="s">
        <v>131</v>
      </c>
      <c r="E81" s="14" t="s">
        <v>101</v>
      </c>
      <c r="F81" s="14" t="s">
        <v>132</v>
      </c>
      <c r="G81" s="14" t="s">
        <v>118</v>
      </c>
      <c r="H81" s="14">
        <v>277194</v>
      </c>
      <c r="I81" s="20">
        <v>0</v>
      </c>
      <c r="J81" s="54">
        <f t="shared" si="6"/>
        <v>277194</v>
      </c>
      <c r="K81" s="42"/>
      <c r="L81" s="42">
        <v>46288</v>
      </c>
      <c r="M81" s="47">
        <v>46305</v>
      </c>
      <c r="N81" s="21"/>
      <c r="O81" s="25">
        <v>3</v>
      </c>
      <c r="P81" s="14" t="s">
        <v>16</v>
      </c>
      <c r="Q81" s="14" t="s">
        <v>17</v>
      </c>
      <c r="R81" s="43" t="s">
        <v>133</v>
      </c>
    </row>
    <row r="82" spans="2:18" s="2" customFormat="1" ht="14.45" hidden="1">
      <c r="B82" s="3"/>
      <c r="C82" s="13">
        <v>1</v>
      </c>
      <c r="D82" s="14" t="s">
        <v>134</v>
      </c>
      <c r="E82" s="14" t="s">
        <v>101</v>
      </c>
      <c r="F82" s="14" t="s">
        <v>132</v>
      </c>
      <c r="G82" s="14" t="s">
        <v>118</v>
      </c>
      <c r="H82" s="14">
        <v>277194</v>
      </c>
      <c r="I82" s="20">
        <v>0</v>
      </c>
      <c r="J82" s="54">
        <f t="shared" si="6"/>
        <v>277194</v>
      </c>
      <c r="K82" s="21"/>
      <c r="L82" s="42">
        <v>46288</v>
      </c>
      <c r="M82" s="47">
        <v>46305</v>
      </c>
      <c r="N82" s="15"/>
      <c r="O82" s="13">
        <v>3</v>
      </c>
      <c r="P82" s="14" t="s">
        <v>16</v>
      </c>
      <c r="Q82" s="14" t="s">
        <v>17</v>
      </c>
    </row>
    <row r="83" spans="2:18" s="2" customFormat="1" ht="14.45" hidden="1">
      <c r="B83" s="3"/>
      <c r="C83" s="13">
        <v>4</v>
      </c>
      <c r="D83" s="14" t="s">
        <v>135</v>
      </c>
      <c r="E83" s="14" t="s">
        <v>95</v>
      </c>
      <c r="F83" s="20" t="s">
        <v>111</v>
      </c>
      <c r="G83" s="14" t="s">
        <v>118</v>
      </c>
      <c r="H83" s="20">
        <v>582153.41</v>
      </c>
      <c r="I83" s="41">
        <v>582153.41</v>
      </c>
      <c r="J83" s="20">
        <f t="shared" si="6"/>
        <v>0</v>
      </c>
      <c r="K83" s="42">
        <v>46298</v>
      </c>
      <c r="L83" s="42">
        <v>46292</v>
      </c>
      <c r="M83" s="21"/>
      <c r="N83" s="21"/>
      <c r="O83" s="25">
        <v>5</v>
      </c>
      <c r="P83" s="14" t="s">
        <v>27</v>
      </c>
      <c r="Q83" s="14"/>
      <c r="R83" s="3"/>
    </row>
    <row r="84" spans="2:18" s="2" customFormat="1" ht="14.45" hidden="1">
      <c r="B84" s="3"/>
      <c r="C84" s="13">
        <v>3</v>
      </c>
      <c r="D84" s="14" t="s">
        <v>136</v>
      </c>
      <c r="E84" s="14" t="s">
        <v>95</v>
      </c>
      <c r="F84" s="14" t="s">
        <v>107</v>
      </c>
      <c r="G84" s="14" t="s">
        <v>118</v>
      </c>
      <c r="H84" s="41">
        <f>3729200/21*3+350000/5*3</f>
        <v>742742.85714285704</v>
      </c>
      <c r="I84" s="20">
        <v>0</v>
      </c>
      <c r="J84" s="55">
        <f t="shared" si="6"/>
        <v>742742.85714285704</v>
      </c>
      <c r="K84" s="21">
        <v>46299</v>
      </c>
      <c r="L84" s="42">
        <v>46293</v>
      </c>
      <c r="M84" s="56"/>
      <c r="N84" s="21"/>
      <c r="O84" s="25">
        <v>5</v>
      </c>
      <c r="P84" s="14" t="s">
        <v>16</v>
      </c>
      <c r="Q84" s="14"/>
    </row>
    <row r="85" spans="2:18" s="2" customFormat="1" ht="14.45" hidden="1">
      <c r="B85" s="3"/>
      <c r="C85" s="57">
        <v>1</v>
      </c>
      <c r="D85" s="58" t="s">
        <v>137</v>
      </c>
      <c r="E85" s="58" t="s">
        <v>95</v>
      </c>
      <c r="F85" s="58" t="s">
        <v>116</v>
      </c>
      <c r="G85" s="58" t="s">
        <v>125</v>
      </c>
      <c r="H85" s="50">
        <v>149125.53</v>
      </c>
      <c r="I85" s="58">
        <v>135000</v>
      </c>
      <c r="J85" s="45">
        <f t="shared" si="6"/>
        <v>14125.529999999999</v>
      </c>
      <c r="K85" s="46">
        <v>46298</v>
      </c>
      <c r="L85" s="59">
        <v>46293</v>
      </c>
      <c r="M85" s="44"/>
      <c r="N85" s="44"/>
      <c r="O85" s="60">
        <v>5</v>
      </c>
      <c r="P85" s="58" t="s">
        <v>16</v>
      </c>
      <c r="Q85" s="58"/>
      <c r="R85" s="3" t="s">
        <v>138</v>
      </c>
    </row>
    <row r="86" spans="2:18" s="2" customFormat="1" ht="14.45" hidden="1">
      <c r="B86" s="3"/>
      <c r="C86" s="13"/>
      <c r="D86" s="14" t="s">
        <v>139</v>
      </c>
      <c r="E86" s="14" t="s">
        <v>95</v>
      </c>
      <c r="F86" s="14" t="s">
        <v>116</v>
      </c>
      <c r="G86" s="14" t="s">
        <v>125</v>
      </c>
      <c r="H86" s="14">
        <v>39088.620000000003</v>
      </c>
      <c r="I86" s="14">
        <v>0</v>
      </c>
      <c r="J86" s="61">
        <f>$H$87-$I$87</f>
        <v>91240.529999999897</v>
      </c>
      <c r="K86" s="15"/>
      <c r="L86" s="42">
        <v>46293</v>
      </c>
      <c r="M86" s="15"/>
      <c r="N86" s="15"/>
      <c r="O86" s="13">
        <v>5</v>
      </c>
      <c r="P86" s="14" t="s">
        <v>16</v>
      </c>
      <c r="Q86" s="14"/>
    </row>
    <row r="87" spans="2:18" s="2" customFormat="1" ht="14.45" hidden="1">
      <c r="B87" s="3"/>
      <c r="C87" s="62">
        <v>0.5</v>
      </c>
      <c r="D87" s="14" t="s">
        <v>140</v>
      </c>
      <c r="E87" s="14" t="s">
        <v>95</v>
      </c>
      <c r="F87" s="14" t="s">
        <v>116</v>
      </c>
      <c r="G87" s="14" t="s">
        <v>125</v>
      </c>
      <c r="H87" s="41">
        <v>91240.529999999897</v>
      </c>
      <c r="I87" s="14">
        <v>0</v>
      </c>
      <c r="J87" s="63">
        <f>H87-I87</f>
        <v>91240.529999999897</v>
      </c>
      <c r="K87" s="42"/>
      <c r="L87" s="42">
        <v>46293</v>
      </c>
      <c r="M87" s="21"/>
      <c r="N87" s="21"/>
      <c r="O87" s="25">
        <v>5</v>
      </c>
      <c r="P87" s="14" t="s">
        <v>16</v>
      </c>
      <c r="Q87" s="14"/>
      <c r="R87" s="3" t="s">
        <v>138</v>
      </c>
    </row>
    <row r="88" spans="2:18" s="2" customFormat="1" ht="14.45" hidden="1">
      <c r="B88" s="3"/>
      <c r="C88" s="13">
        <v>2</v>
      </c>
      <c r="D88" s="20" t="s">
        <v>141</v>
      </c>
      <c r="E88" s="14" t="s">
        <v>95</v>
      </c>
      <c r="F88" s="20" t="s">
        <v>142</v>
      </c>
      <c r="G88" s="14" t="s">
        <v>118</v>
      </c>
      <c r="H88" s="14">
        <v>291040.46999999997</v>
      </c>
      <c r="I88" s="20">
        <v>291040.46999999997</v>
      </c>
      <c r="J88" s="20">
        <f>H88-I88</f>
        <v>0</v>
      </c>
      <c r="K88" s="21">
        <v>46299</v>
      </c>
      <c r="L88" s="42">
        <v>46293</v>
      </c>
      <c r="M88" s="21"/>
      <c r="N88" s="21"/>
      <c r="O88" s="25">
        <v>5</v>
      </c>
      <c r="P88" s="14" t="s">
        <v>27</v>
      </c>
      <c r="Q88" s="14"/>
      <c r="R88" s="64" t="s">
        <v>143</v>
      </c>
    </row>
    <row r="89" spans="2:18" s="2" customFormat="1" ht="14.45" hidden="1">
      <c r="B89" s="3"/>
      <c r="C89" s="65">
        <v>1</v>
      </c>
      <c r="D89" s="51" t="s">
        <v>144</v>
      </c>
      <c r="E89" s="58" t="s">
        <v>101</v>
      </c>
      <c r="F89" s="58" t="s">
        <v>145</v>
      </c>
      <c r="G89" s="58" t="s">
        <v>125</v>
      </c>
      <c r="H89" s="50">
        <v>279010.45</v>
      </c>
      <c r="I89" s="58">
        <v>279010.45</v>
      </c>
      <c r="J89" s="50">
        <v>0</v>
      </c>
      <c r="K89" s="59">
        <v>46307</v>
      </c>
      <c r="L89" s="44">
        <v>46306</v>
      </c>
      <c r="M89" s="59"/>
      <c r="N89" s="59"/>
      <c r="O89" s="66">
        <v>3</v>
      </c>
      <c r="P89" s="58" t="s">
        <v>16</v>
      </c>
      <c r="Q89" s="58"/>
    </row>
    <row r="90" spans="2:18" s="2" customFormat="1" ht="14.45" hidden="1">
      <c r="B90" s="3" t="s">
        <v>146</v>
      </c>
      <c r="C90" s="67">
        <v>5</v>
      </c>
      <c r="D90" s="68" t="s">
        <v>147</v>
      </c>
      <c r="E90" s="68" t="s">
        <v>95</v>
      </c>
      <c r="F90" s="69" t="s">
        <v>111</v>
      </c>
      <c r="G90" s="68" t="s">
        <v>118</v>
      </c>
      <c r="H90" s="70">
        <v>694756.85</v>
      </c>
      <c r="I90" s="71">
        <v>694756.85</v>
      </c>
      <c r="J90" s="70">
        <f>H90-I90</f>
        <v>0</v>
      </c>
      <c r="K90" s="72">
        <v>46312</v>
      </c>
      <c r="L90" s="73">
        <v>46307</v>
      </c>
      <c r="M90" s="72"/>
      <c r="N90" s="72"/>
      <c r="O90" s="74">
        <v>3</v>
      </c>
      <c r="P90" s="68" t="s">
        <v>27</v>
      </c>
      <c r="Q90" s="68"/>
      <c r="R90" s="3" t="s">
        <v>138</v>
      </c>
    </row>
    <row r="91" spans="2:18" s="2" customFormat="1" ht="43.15" hidden="1">
      <c r="B91" s="3"/>
      <c r="C91" s="75">
        <v>2</v>
      </c>
      <c r="D91" s="76" t="s">
        <v>148</v>
      </c>
      <c r="E91" s="76" t="s">
        <v>95</v>
      </c>
      <c r="F91" s="76" t="s">
        <v>107</v>
      </c>
      <c r="G91" s="8" t="s">
        <v>118</v>
      </c>
      <c r="H91" s="77">
        <f>355161.904761905*0.2+140000</f>
        <v>211032.38095238101</v>
      </c>
      <c r="I91" s="78"/>
      <c r="J91" s="79">
        <v>335161.90500000003</v>
      </c>
      <c r="K91" s="80">
        <v>46313</v>
      </c>
      <c r="L91" s="81">
        <v>46308</v>
      </c>
      <c r="M91" s="82" t="s">
        <v>149</v>
      </c>
      <c r="N91" s="80">
        <f>L91+60</f>
        <v>46368</v>
      </c>
      <c r="O91" s="83">
        <v>3</v>
      </c>
      <c r="P91" s="76" t="s">
        <v>16</v>
      </c>
      <c r="Q91" s="76"/>
    </row>
    <row r="92" spans="2:18" s="2" customFormat="1" ht="14.45" hidden="1">
      <c r="B92" s="3"/>
      <c r="C92" s="7">
        <v>3</v>
      </c>
      <c r="D92" s="79" t="s">
        <v>150</v>
      </c>
      <c r="E92" s="8" t="s">
        <v>95</v>
      </c>
      <c r="F92" s="79" t="s">
        <v>142</v>
      </c>
      <c r="G92" s="8" t="s">
        <v>118</v>
      </c>
      <c r="H92" s="8">
        <f>686790/5*3</f>
        <v>412074</v>
      </c>
      <c r="I92" s="79">
        <v>0</v>
      </c>
      <c r="J92" s="79">
        <f t="shared" ref="J92:J100" si="7">H92-I92</f>
        <v>412074</v>
      </c>
      <c r="K92" s="52">
        <v>46315</v>
      </c>
      <c r="L92" s="84">
        <v>46309</v>
      </c>
      <c r="M92" s="52"/>
      <c r="N92" s="52"/>
      <c r="O92" s="85">
        <v>3</v>
      </c>
      <c r="P92" s="8" t="s">
        <v>27</v>
      </c>
      <c r="Q92" s="8"/>
    </row>
    <row r="93" spans="2:18" s="2" customFormat="1" ht="43.15" hidden="1">
      <c r="B93" s="3"/>
      <c r="C93" s="7">
        <v>3</v>
      </c>
      <c r="D93" s="8" t="s">
        <v>151</v>
      </c>
      <c r="E93" s="8" t="s">
        <v>95</v>
      </c>
      <c r="F93" s="8" t="s">
        <v>113</v>
      </c>
      <c r="G93" s="8" t="s">
        <v>118</v>
      </c>
      <c r="H93" s="86">
        <f>767600/5*3</f>
        <v>460560</v>
      </c>
      <c r="I93" s="8">
        <v>0</v>
      </c>
      <c r="J93" s="79">
        <f t="shared" si="7"/>
        <v>460560</v>
      </c>
      <c r="K93" s="80">
        <v>46315</v>
      </c>
      <c r="L93" s="81">
        <v>46310</v>
      </c>
      <c r="M93" s="82" t="s">
        <v>152</v>
      </c>
      <c r="N93" s="80">
        <f>L93+60</f>
        <v>46370</v>
      </c>
      <c r="O93" s="83">
        <v>3</v>
      </c>
      <c r="P93" s="8" t="s">
        <v>16</v>
      </c>
      <c r="Q93" s="8"/>
    </row>
    <row r="94" spans="2:18" s="2" customFormat="1" ht="14.45" hidden="1">
      <c r="B94" s="3"/>
      <c r="C94" s="7">
        <v>1</v>
      </c>
      <c r="D94" s="79" t="s">
        <v>153</v>
      </c>
      <c r="E94" s="79" t="s">
        <v>105</v>
      </c>
      <c r="F94" s="8" t="s">
        <v>102</v>
      </c>
      <c r="G94" s="8" t="s">
        <v>125</v>
      </c>
      <c r="H94" s="8">
        <v>185600</v>
      </c>
      <c r="I94" s="79">
        <v>0</v>
      </c>
      <c r="J94" s="79">
        <f t="shared" si="7"/>
        <v>185600</v>
      </c>
      <c r="K94" s="52">
        <v>46311</v>
      </c>
      <c r="L94" s="87">
        <v>46310</v>
      </c>
      <c r="M94" s="52"/>
      <c r="N94" s="52"/>
      <c r="O94" s="85">
        <v>2</v>
      </c>
      <c r="P94" s="8" t="s">
        <v>16</v>
      </c>
      <c r="Q94" s="8"/>
      <c r="R94" s="3"/>
    </row>
    <row r="95" spans="2:18" s="2" customFormat="1" ht="14.45" hidden="1">
      <c r="B95" s="3"/>
      <c r="C95" s="75">
        <v>3</v>
      </c>
      <c r="D95" s="8" t="s">
        <v>154</v>
      </c>
      <c r="E95" s="8" t="s">
        <v>95</v>
      </c>
      <c r="F95" s="8" t="s">
        <v>129</v>
      </c>
      <c r="G95" s="8" t="s">
        <v>118</v>
      </c>
      <c r="H95" s="88">
        <f>1747500/11*3</f>
        <v>476590.909090909</v>
      </c>
      <c r="I95" s="8">
        <v>0</v>
      </c>
      <c r="J95" s="88">
        <f t="shared" si="7"/>
        <v>476590.909090909</v>
      </c>
      <c r="K95" s="52">
        <v>46318</v>
      </c>
      <c r="L95" s="84">
        <v>46310</v>
      </c>
      <c r="M95" s="52"/>
      <c r="N95" s="52"/>
      <c r="O95" s="85">
        <v>3</v>
      </c>
      <c r="P95" s="8" t="s">
        <v>27</v>
      </c>
      <c r="Q95" s="8"/>
    </row>
    <row r="96" spans="2:18" s="2" customFormat="1" ht="14.45" hidden="1">
      <c r="B96" s="3" t="s">
        <v>155</v>
      </c>
      <c r="C96" s="7">
        <v>3</v>
      </c>
      <c r="D96" s="79" t="s">
        <v>156</v>
      </c>
      <c r="E96" s="8" t="s">
        <v>101</v>
      </c>
      <c r="F96" s="8" t="s">
        <v>102</v>
      </c>
      <c r="G96" s="8" t="s">
        <v>125</v>
      </c>
      <c r="H96" s="8">
        <v>777494.64</v>
      </c>
      <c r="I96" s="79">
        <v>0</v>
      </c>
      <c r="J96" s="79">
        <f t="shared" si="7"/>
        <v>777494.64</v>
      </c>
      <c r="K96" s="52">
        <v>46311</v>
      </c>
      <c r="L96" s="87">
        <v>46311</v>
      </c>
      <c r="M96" s="52">
        <v>46310</v>
      </c>
      <c r="N96" s="52"/>
      <c r="O96" s="85">
        <v>2</v>
      </c>
      <c r="P96" s="8" t="s">
        <v>16</v>
      </c>
      <c r="Q96" s="8"/>
    </row>
    <row r="97" spans="2:18" s="2" customFormat="1" ht="14.45" hidden="1">
      <c r="B97" s="3"/>
      <c r="C97" s="75">
        <v>2</v>
      </c>
      <c r="D97" s="8" t="s">
        <v>157</v>
      </c>
      <c r="E97" s="8" t="s">
        <v>95</v>
      </c>
      <c r="F97" s="8" t="s">
        <v>129</v>
      </c>
      <c r="G97" s="8" t="s">
        <v>118</v>
      </c>
      <c r="H97" s="89">
        <v>237677.71400000001</v>
      </c>
      <c r="I97" s="79">
        <v>0</v>
      </c>
      <c r="J97" s="79">
        <f t="shared" si="7"/>
        <v>237677.71400000001</v>
      </c>
      <c r="K97" s="52">
        <v>46320</v>
      </c>
      <c r="L97" s="90">
        <v>46313</v>
      </c>
      <c r="M97" s="52"/>
      <c r="N97" s="52"/>
      <c r="O97" s="85">
        <v>4</v>
      </c>
      <c r="P97" s="8" t="s">
        <v>27</v>
      </c>
      <c r="Q97" s="8"/>
      <c r="R97" s="3" t="s">
        <v>138</v>
      </c>
    </row>
    <row r="98" spans="2:18" s="2" customFormat="1" ht="14.45" hidden="1">
      <c r="B98" s="3" t="s">
        <v>158</v>
      </c>
      <c r="C98" s="7">
        <v>2</v>
      </c>
      <c r="D98" s="8" t="s">
        <v>159</v>
      </c>
      <c r="E98" s="8" t="s">
        <v>95</v>
      </c>
      <c r="F98" s="79" t="s">
        <v>111</v>
      </c>
      <c r="G98" s="8" t="s">
        <v>118</v>
      </c>
      <c r="H98" s="88">
        <f>2386017/17*2+84100</f>
        <v>364807.88235294097</v>
      </c>
      <c r="I98" s="79">
        <v>0</v>
      </c>
      <c r="J98" s="88">
        <f t="shared" si="7"/>
        <v>364807.88235294097</v>
      </c>
      <c r="K98" s="81">
        <v>46321</v>
      </c>
      <c r="L98" s="91">
        <v>46314</v>
      </c>
      <c r="M98" s="52"/>
      <c r="N98" s="52"/>
      <c r="O98" s="85">
        <v>4</v>
      </c>
      <c r="P98" s="8" t="s">
        <v>27</v>
      </c>
      <c r="Q98" s="8"/>
      <c r="R98" s="3" t="s">
        <v>138</v>
      </c>
    </row>
    <row r="99" spans="2:18" s="2" customFormat="1" ht="14.45" hidden="1">
      <c r="B99" s="3" t="s">
        <v>146</v>
      </c>
      <c r="C99" s="75">
        <v>6</v>
      </c>
      <c r="D99" s="8" t="s">
        <v>160</v>
      </c>
      <c r="E99" s="8" t="s">
        <v>95</v>
      </c>
      <c r="F99" s="79" t="s">
        <v>111</v>
      </c>
      <c r="G99" s="8" t="s">
        <v>118</v>
      </c>
      <c r="H99" s="92">
        <f>2386017/17*6</f>
        <v>842123.64705882396</v>
      </c>
      <c r="I99" s="79">
        <v>0</v>
      </c>
      <c r="J99" s="88">
        <f t="shared" si="7"/>
        <v>842123.64705882396</v>
      </c>
      <c r="K99" s="81">
        <v>46321</v>
      </c>
      <c r="L99" s="52">
        <f>K99-5</f>
        <v>46316</v>
      </c>
      <c r="M99" s="52"/>
      <c r="N99" s="52"/>
      <c r="O99" s="85">
        <v>4</v>
      </c>
      <c r="P99" s="8" t="s">
        <v>27</v>
      </c>
      <c r="Q99" s="8"/>
      <c r="R99" s="3" t="s">
        <v>138</v>
      </c>
    </row>
    <row r="100" spans="2:18" s="2" customFormat="1" ht="14.45" hidden="1">
      <c r="B100" s="3"/>
      <c r="C100" s="7">
        <v>3</v>
      </c>
      <c r="D100" s="8" t="s">
        <v>161</v>
      </c>
      <c r="E100" s="8" t="s">
        <v>101</v>
      </c>
      <c r="F100" s="8" t="s">
        <v>102</v>
      </c>
      <c r="G100" s="8" t="s">
        <v>125</v>
      </c>
      <c r="H100" s="8">
        <f>0.24*1160000*3</f>
        <v>835200</v>
      </c>
      <c r="I100" s="79">
        <v>0</v>
      </c>
      <c r="J100" s="8">
        <f t="shared" si="7"/>
        <v>835200</v>
      </c>
      <c r="K100" s="9"/>
      <c r="L100" s="81">
        <v>46320</v>
      </c>
      <c r="M100" s="52">
        <v>46341</v>
      </c>
      <c r="N100" s="52"/>
      <c r="O100" s="85">
        <v>5</v>
      </c>
      <c r="P100" s="8" t="s">
        <v>16</v>
      </c>
      <c r="Q100" s="8"/>
      <c r="R100" s="3" t="s">
        <v>138</v>
      </c>
    </row>
    <row r="101" spans="2:18" s="2" customFormat="1" ht="14.45" hidden="1">
      <c r="B101" s="3"/>
      <c r="C101" s="75">
        <v>2</v>
      </c>
      <c r="D101" s="76" t="s">
        <v>162</v>
      </c>
      <c r="E101" s="76" t="s">
        <v>95</v>
      </c>
      <c r="F101" s="76" t="s">
        <v>129</v>
      </c>
      <c r="G101" s="76" t="s">
        <v>118</v>
      </c>
      <c r="H101" s="93">
        <f>1747500/11*5</f>
        <v>794318.181818182</v>
      </c>
      <c r="I101" s="78"/>
      <c r="J101" s="93">
        <f>1747500/11*5</f>
        <v>794318.181818182</v>
      </c>
      <c r="K101" s="81">
        <v>46327</v>
      </c>
      <c r="L101" s="81">
        <v>46320</v>
      </c>
      <c r="M101" s="94"/>
      <c r="N101" s="80"/>
      <c r="O101" s="83">
        <v>4</v>
      </c>
      <c r="P101" s="76" t="s">
        <v>27</v>
      </c>
      <c r="Q101" s="76"/>
    </row>
    <row r="102" spans="2:18" s="2" customFormat="1" ht="14.45" hidden="1">
      <c r="B102" s="3"/>
      <c r="C102" s="75">
        <v>10</v>
      </c>
      <c r="D102" s="71" t="s">
        <v>163</v>
      </c>
      <c r="E102" s="8" t="s">
        <v>95</v>
      </c>
      <c r="F102" s="8" t="s">
        <v>164</v>
      </c>
      <c r="G102" s="8" t="s">
        <v>125</v>
      </c>
      <c r="H102" s="95">
        <v>2022400.14</v>
      </c>
      <c r="I102" s="79">
        <v>0</v>
      </c>
      <c r="J102" s="76">
        <f t="shared" ref="J102:J107" si="8">H102-I102</f>
        <v>2022400.14</v>
      </c>
      <c r="K102" s="96">
        <v>46328</v>
      </c>
      <c r="L102" s="84">
        <v>46322</v>
      </c>
      <c r="M102" s="87"/>
      <c r="N102" s="97"/>
      <c r="O102" s="98">
        <v>3</v>
      </c>
      <c r="P102" s="8" t="s">
        <v>16</v>
      </c>
      <c r="Q102" s="8"/>
    </row>
    <row r="103" spans="2:18" s="2" customFormat="1" ht="14.45" hidden="1">
      <c r="B103" s="3"/>
      <c r="C103" s="75">
        <v>1</v>
      </c>
      <c r="D103" s="8" t="s">
        <v>165</v>
      </c>
      <c r="E103" s="8" t="s">
        <v>95</v>
      </c>
      <c r="F103" s="79" t="s">
        <v>99</v>
      </c>
      <c r="G103" s="8" t="s">
        <v>118</v>
      </c>
      <c r="H103" s="88">
        <v>150000</v>
      </c>
      <c r="I103" s="79">
        <v>0</v>
      </c>
      <c r="J103" s="88">
        <f t="shared" si="8"/>
        <v>150000</v>
      </c>
      <c r="K103" s="87"/>
      <c r="L103" s="87">
        <v>46326</v>
      </c>
      <c r="M103" s="99"/>
      <c r="N103" s="52"/>
      <c r="O103" s="85">
        <v>3</v>
      </c>
      <c r="P103" s="8" t="s">
        <v>16</v>
      </c>
      <c r="Q103" s="8"/>
    </row>
    <row r="104" spans="2:18" s="2" customFormat="1" ht="14.45">
      <c r="B104" s="3"/>
      <c r="C104" s="7">
        <v>2</v>
      </c>
      <c r="D104" s="8" t="s">
        <v>166</v>
      </c>
      <c r="E104" s="8" t="s">
        <v>101</v>
      </c>
      <c r="F104" s="8" t="s">
        <v>107</v>
      </c>
      <c r="G104" s="8" t="s">
        <v>118</v>
      </c>
      <c r="H104" s="79">
        <v>513912</v>
      </c>
      <c r="I104" s="79">
        <v>0</v>
      </c>
      <c r="J104" s="88">
        <f t="shared" si="8"/>
        <v>513912</v>
      </c>
      <c r="K104" s="91">
        <v>46334</v>
      </c>
      <c r="L104" s="81">
        <v>46328</v>
      </c>
      <c r="M104" s="80"/>
      <c r="N104" s="80"/>
      <c r="O104" s="83">
        <v>1</v>
      </c>
      <c r="P104" s="8" t="s">
        <v>56</v>
      </c>
      <c r="Q104" s="8"/>
      <c r="R104" s="3"/>
    </row>
    <row r="105" spans="2:18" s="2" customFormat="1" ht="14.45">
      <c r="B105" s="3"/>
      <c r="C105" s="7">
        <v>1</v>
      </c>
      <c r="D105" s="8" t="s">
        <v>167</v>
      </c>
      <c r="E105" s="8" t="s">
        <v>101</v>
      </c>
      <c r="F105" s="8" t="s">
        <v>132</v>
      </c>
      <c r="G105" s="8" t="s">
        <v>118</v>
      </c>
      <c r="H105" s="1">
        <v>286520</v>
      </c>
      <c r="I105" s="79">
        <v>0</v>
      </c>
      <c r="J105" s="79">
        <f t="shared" si="8"/>
        <v>286520</v>
      </c>
      <c r="K105" s="80">
        <v>46334</v>
      </c>
      <c r="L105" s="81">
        <v>46328</v>
      </c>
      <c r="M105" s="9"/>
      <c r="N105" s="91"/>
      <c r="O105" s="75">
        <v>1</v>
      </c>
      <c r="P105" s="8" t="s">
        <v>16</v>
      </c>
      <c r="Q105" s="8"/>
    </row>
    <row r="106" spans="2:18" s="2" customFormat="1" ht="14.45">
      <c r="B106" s="3"/>
      <c r="C106" s="75">
        <v>3</v>
      </c>
      <c r="D106" s="76" t="s">
        <v>168</v>
      </c>
      <c r="E106" s="76" t="s">
        <v>95</v>
      </c>
      <c r="F106" s="76" t="s">
        <v>129</v>
      </c>
      <c r="G106" s="8" t="s">
        <v>118</v>
      </c>
      <c r="H106" s="100">
        <v>356516.571</v>
      </c>
      <c r="I106" s="78">
        <v>0</v>
      </c>
      <c r="J106" s="93">
        <f t="shared" si="8"/>
        <v>356516.571</v>
      </c>
      <c r="K106" s="101">
        <v>46334</v>
      </c>
      <c r="L106" s="81">
        <v>46328</v>
      </c>
      <c r="M106" s="7"/>
      <c r="N106" s="80"/>
      <c r="O106" s="83">
        <v>1</v>
      </c>
      <c r="P106" s="76" t="s">
        <v>27</v>
      </c>
      <c r="Q106" s="76"/>
      <c r="R106" s="3" t="s">
        <v>138</v>
      </c>
    </row>
    <row r="107" spans="2:18" s="2" customFormat="1" ht="14.45">
      <c r="B107" s="3"/>
      <c r="C107" s="7">
        <v>2</v>
      </c>
      <c r="D107" s="8" t="s">
        <v>169</v>
      </c>
      <c r="E107" s="8" t="s">
        <v>170</v>
      </c>
      <c r="F107" s="8" t="s">
        <v>171</v>
      </c>
      <c r="G107" s="8" t="s">
        <v>118</v>
      </c>
      <c r="H107" s="102">
        <v>453560</v>
      </c>
      <c r="I107" s="79">
        <v>0</v>
      </c>
      <c r="J107" s="79">
        <f t="shared" si="8"/>
        <v>453560</v>
      </c>
      <c r="K107" s="80">
        <v>46334</v>
      </c>
      <c r="L107" s="81">
        <v>46329</v>
      </c>
      <c r="M107" s="52"/>
      <c r="N107" s="80"/>
      <c r="O107" s="83">
        <v>1</v>
      </c>
      <c r="P107" s="8" t="s">
        <v>28</v>
      </c>
      <c r="Q107" s="8"/>
      <c r="R107" s="3" t="s">
        <v>138</v>
      </c>
    </row>
    <row r="108" spans="2:18" s="2" customFormat="1" ht="14.45">
      <c r="B108" s="3"/>
      <c r="C108" s="7">
        <v>2</v>
      </c>
      <c r="D108" s="8" t="s">
        <v>172</v>
      </c>
      <c r="E108" s="8" t="s">
        <v>95</v>
      </c>
      <c r="F108" s="79" t="s">
        <v>111</v>
      </c>
      <c r="G108" s="8" t="s">
        <v>118</v>
      </c>
      <c r="H108" s="103">
        <v>77575</v>
      </c>
      <c r="I108" s="79">
        <f>H108-J108</f>
        <v>0</v>
      </c>
      <c r="J108" s="104">
        <v>77575</v>
      </c>
      <c r="K108" s="52">
        <v>46334</v>
      </c>
      <c r="L108" s="52">
        <v>46329</v>
      </c>
      <c r="M108" s="52"/>
      <c r="N108" s="52"/>
      <c r="O108" s="85"/>
      <c r="P108" s="8" t="s">
        <v>16</v>
      </c>
      <c r="Q108" s="8"/>
      <c r="R108" s="3"/>
    </row>
    <row r="109" spans="2:18" s="2" customFormat="1" ht="14.45">
      <c r="B109" s="3"/>
      <c r="C109" s="7">
        <v>2</v>
      </c>
      <c r="D109" s="8" t="s">
        <v>173</v>
      </c>
      <c r="E109" s="8" t="s">
        <v>95</v>
      </c>
      <c r="F109" s="8" t="s">
        <v>113</v>
      </c>
      <c r="G109" s="8" t="s">
        <v>118</v>
      </c>
      <c r="H109" s="8">
        <v>225600</v>
      </c>
      <c r="I109" s="8">
        <v>0</v>
      </c>
      <c r="J109" s="79">
        <f t="shared" ref="J109:J118" si="9">H109-I109</f>
        <v>225600</v>
      </c>
      <c r="K109" s="9">
        <v>46336</v>
      </c>
      <c r="L109" s="9">
        <v>46331</v>
      </c>
      <c r="M109" s="99"/>
      <c r="N109" s="9"/>
      <c r="O109" s="7">
        <v>1</v>
      </c>
      <c r="P109" s="8" t="s">
        <v>16</v>
      </c>
      <c r="Q109" s="8"/>
      <c r="R109" s="3"/>
    </row>
    <row r="110" spans="2:18" s="2" customFormat="1" ht="43.15">
      <c r="B110" s="3"/>
      <c r="C110" s="75">
        <v>4</v>
      </c>
      <c r="D110" s="76" t="s">
        <v>174</v>
      </c>
      <c r="E110" s="76" t="s">
        <v>95</v>
      </c>
      <c r="F110" s="105" t="s">
        <v>111</v>
      </c>
      <c r="G110" s="76" t="s">
        <v>118</v>
      </c>
      <c r="H110" s="106">
        <v>1235520</v>
      </c>
      <c r="I110" s="76">
        <v>0</v>
      </c>
      <c r="J110" s="79">
        <f t="shared" si="9"/>
        <v>1235520</v>
      </c>
      <c r="K110" s="107">
        <v>46341</v>
      </c>
      <c r="L110" s="108">
        <f>K110-6</f>
        <v>46335</v>
      </c>
      <c r="M110" s="82" t="s">
        <v>152</v>
      </c>
      <c r="N110" s="80">
        <f>L110+60</f>
        <v>46395</v>
      </c>
      <c r="O110" s="75">
        <v>2</v>
      </c>
      <c r="P110" s="76" t="s">
        <v>16</v>
      </c>
      <c r="Q110" s="76"/>
      <c r="R110" s="3" t="s">
        <v>138</v>
      </c>
    </row>
    <row r="111" spans="2:18" s="2" customFormat="1" ht="14.45" hidden="1">
      <c r="B111" s="3"/>
      <c r="C111" s="7">
        <v>3</v>
      </c>
      <c r="D111" s="79" t="s">
        <v>175</v>
      </c>
      <c r="E111" s="8" t="s">
        <v>101</v>
      </c>
      <c r="F111" s="8" t="s">
        <v>102</v>
      </c>
      <c r="G111" s="8" t="s">
        <v>125</v>
      </c>
      <c r="H111" s="8">
        <v>777494.64</v>
      </c>
      <c r="I111" s="79">
        <v>0</v>
      </c>
      <c r="J111" s="79">
        <f t="shared" si="9"/>
        <v>777494.64</v>
      </c>
      <c r="K111" s="52"/>
      <c r="L111" s="87">
        <v>46336</v>
      </c>
      <c r="M111" s="52">
        <v>46366</v>
      </c>
      <c r="N111" s="52"/>
      <c r="O111" s="85">
        <v>2</v>
      </c>
      <c r="P111" s="8" t="s">
        <v>16</v>
      </c>
      <c r="Q111" s="8"/>
      <c r="R111" s="3" t="s">
        <v>138</v>
      </c>
    </row>
    <row r="112" spans="2:18" s="2" customFormat="1" ht="14.45" hidden="1">
      <c r="B112" s="3"/>
      <c r="C112" s="7">
        <v>1</v>
      </c>
      <c r="D112" s="79" t="s">
        <v>176</v>
      </c>
      <c r="E112" s="79" t="s">
        <v>105</v>
      </c>
      <c r="F112" s="8" t="s">
        <v>102</v>
      </c>
      <c r="G112" s="8" t="s">
        <v>125</v>
      </c>
      <c r="H112" s="8">
        <v>185600</v>
      </c>
      <c r="I112" s="79">
        <v>0</v>
      </c>
      <c r="J112" s="79">
        <f t="shared" si="9"/>
        <v>185600</v>
      </c>
      <c r="K112" s="52"/>
      <c r="L112" s="87">
        <v>46336</v>
      </c>
      <c r="M112" s="52"/>
      <c r="N112" s="52"/>
      <c r="O112" s="85">
        <v>2</v>
      </c>
      <c r="P112" s="8" t="s">
        <v>16</v>
      </c>
      <c r="Q112" s="8"/>
      <c r="R112" s="3" t="s">
        <v>138</v>
      </c>
    </row>
    <row r="113" spans="2:18" s="2" customFormat="1" ht="14.45" hidden="1">
      <c r="B113" s="3" t="s">
        <v>155</v>
      </c>
      <c r="C113" s="7">
        <v>2</v>
      </c>
      <c r="D113" s="8" t="s">
        <v>177</v>
      </c>
      <c r="E113" s="8" t="s">
        <v>95</v>
      </c>
      <c r="F113" s="8" t="s">
        <v>164</v>
      </c>
      <c r="G113" s="8" t="s">
        <v>125</v>
      </c>
      <c r="H113" s="93">
        <f>52.734*7850</f>
        <v>413961.9</v>
      </c>
      <c r="I113" s="79">
        <v>0</v>
      </c>
      <c r="J113" s="88">
        <f t="shared" si="9"/>
        <v>413961.9</v>
      </c>
      <c r="K113" s="87"/>
      <c r="L113" s="87">
        <v>46336</v>
      </c>
      <c r="M113" s="9"/>
      <c r="N113" s="9"/>
      <c r="O113" s="7">
        <v>2</v>
      </c>
      <c r="P113" s="8" t="s">
        <v>16</v>
      </c>
      <c r="Q113" s="8"/>
    </row>
    <row r="114" spans="2:18" s="2" customFormat="1" ht="14.45" hidden="1">
      <c r="B114" s="3"/>
      <c r="C114" s="7">
        <v>4</v>
      </c>
      <c r="D114" s="8" t="s">
        <v>178</v>
      </c>
      <c r="E114" s="8" t="s">
        <v>95</v>
      </c>
      <c r="F114" s="8" t="s">
        <v>164</v>
      </c>
      <c r="G114" s="8" t="s">
        <v>125</v>
      </c>
      <c r="H114" s="93">
        <f>54*2*7850</f>
        <v>847800</v>
      </c>
      <c r="I114" s="79">
        <v>0</v>
      </c>
      <c r="J114" s="88">
        <f t="shared" si="9"/>
        <v>847800</v>
      </c>
      <c r="K114" s="87"/>
      <c r="L114" s="87">
        <v>46336</v>
      </c>
      <c r="M114" s="9"/>
      <c r="N114" s="9"/>
      <c r="O114" s="7">
        <v>4</v>
      </c>
      <c r="P114" s="8" t="s">
        <v>16</v>
      </c>
      <c r="Q114" s="8"/>
      <c r="R114" s="3" t="s">
        <v>179</v>
      </c>
    </row>
    <row r="115" spans="2:18" s="2" customFormat="1" ht="14.45">
      <c r="B115" s="3"/>
      <c r="C115" s="7">
        <v>2</v>
      </c>
      <c r="D115" s="8" t="s">
        <v>180</v>
      </c>
      <c r="E115" s="8" t="s">
        <v>170</v>
      </c>
      <c r="F115" s="8" t="s">
        <v>171</v>
      </c>
      <c r="G115" s="8" t="s">
        <v>118</v>
      </c>
      <c r="H115" s="79">
        <v>453560</v>
      </c>
      <c r="I115" s="79">
        <v>0</v>
      </c>
      <c r="J115" s="79">
        <f t="shared" si="9"/>
        <v>453560</v>
      </c>
      <c r="K115" s="52"/>
      <c r="L115" s="87">
        <v>46336</v>
      </c>
      <c r="M115" s="52"/>
      <c r="N115" s="52"/>
      <c r="O115" s="85">
        <v>2</v>
      </c>
      <c r="P115" s="8" t="s">
        <v>28</v>
      </c>
      <c r="Q115" s="8"/>
      <c r="R115" s="3" t="s">
        <v>138</v>
      </c>
    </row>
    <row r="116" spans="2:18" s="2" customFormat="1" ht="14.45">
      <c r="B116" s="3"/>
      <c r="C116" s="7">
        <v>4</v>
      </c>
      <c r="D116" s="8" t="s">
        <v>181</v>
      </c>
      <c r="E116" s="8" t="s">
        <v>95</v>
      </c>
      <c r="F116" s="79" t="s">
        <v>99</v>
      </c>
      <c r="G116" s="8" t="s">
        <v>118</v>
      </c>
      <c r="H116" s="88">
        <v>408480</v>
      </c>
      <c r="I116" s="79">
        <v>0</v>
      </c>
      <c r="J116" s="88">
        <f t="shared" si="9"/>
        <v>408480</v>
      </c>
      <c r="K116" s="87"/>
      <c r="L116" s="87">
        <v>46338</v>
      </c>
      <c r="M116" s="99"/>
      <c r="N116" s="52"/>
      <c r="O116" s="85">
        <v>2</v>
      </c>
      <c r="P116" s="8" t="s">
        <v>16</v>
      </c>
      <c r="Q116" s="8"/>
      <c r="R116" s="3" t="s">
        <v>138</v>
      </c>
    </row>
    <row r="117" spans="2:18" s="2" customFormat="1" ht="14.45" hidden="1">
      <c r="B117" s="3"/>
      <c r="C117" s="7"/>
      <c r="D117" s="8" t="s">
        <v>182</v>
      </c>
      <c r="E117" s="8" t="s">
        <v>95</v>
      </c>
      <c r="F117" s="8" t="s">
        <v>116</v>
      </c>
      <c r="G117" s="8" t="s">
        <v>125</v>
      </c>
      <c r="H117" s="88">
        <v>3616900</v>
      </c>
      <c r="I117" s="79">
        <v>0</v>
      </c>
      <c r="J117" s="88">
        <f t="shared" si="9"/>
        <v>3616900</v>
      </c>
      <c r="K117" s="87"/>
      <c r="L117" s="87">
        <v>46341</v>
      </c>
      <c r="M117" s="52"/>
      <c r="N117" s="52"/>
      <c r="O117" s="109">
        <v>2</v>
      </c>
      <c r="P117" s="8" t="s">
        <v>16</v>
      </c>
      <c r="Q117" s="8"/>
      <c r="R117" s="110" t="s">
        <v>138</v>
      </c>
    </row>
    <row r="118" spans="2:18" s="2" customFormat="1" ht="43.15">
      <c r="B118" s="3"/>
      <c r="C118" s="75">
        <v>4</v>
      </c>
      <c r="D118" s="76" t="s">
        <v>183</v>
      </c>
      <c r="E118" s="76" t="s">
        <v>95</v>
      </c>
      <c r="F118" s="105" t="s">
        <v>111</v>
      </c>
      <c r="G118" s="76" t="s">
        <v>118</v>
      </c>
      <c r="H118" s="111">
        <v>1235520</v>
      </c>
      <c r="I118" s="76">
        <v>0</v>
      </c>
      <c r="J118" s="79">
        <f t="shared" si="9"/>
        <v>1235520</v>
      </c>
      <c r="K118" s="108">
        <v>46347</v>
      </c>
      <c r="L118" s="108">
        <f>K118-6</f>
        <v>46341</v>
      </c>
      <c r="M118" s="82" t="s">
        <v>152</v>
      </c>
      <c r="N118" s="80">
        <f>L118+60</f>
        <v>46401</v>
      </c>
      <c r="O118" s="112">
        <v>2</v>
      </c>
      <c r="P118" s="76" t="s">
        <v>16</v>
      </c>
      <c r="Q118" s="76"/>
      <c r="R118" s="3" t="s">
        <v>138</v>
      </c>
    </row>
    <row r="119" spans="2:18" s="2" customFormat="1" ht="14.45">
      <c r="B119" s="3"/>
      <c r="C119" s="7">
        <v>2</v>
      </c>
      <c r="D119" s="8" t="s">
        <v>184</v>
      </c>
      <c r="E119" s="8" t="s">
        <v>95</v>
      </c>
      <c r="F119" s="8" t="s">
        <v>185</v>
      </c>
      <c r="G119" s="8" t="s">
        <v>118</v>
      </c>
      <c r="H119" s="88">
        <v>245686.5</v>
      </c>
      <c r="I119" s="8">
        <v>0</v>
      </c>
      <c r="J119" s="113">
        <f>H119-I119</f>
        <v>245686.5</v>
      </c>
      <c r="K119" s="80">
        <v>46355</v>
      </c>
      <c r="L119" s="81">
        <v>46349</v>
      </c>
      <c r="M119" s="114"/>
      <c r="N119" s="80"/>
      <c r="O119" s="83">
        <v>4</v>
      </c>
      <c r="P119" s="8" t="s">
        <v>27</v>
      </c>
      <c r="Q119" s="8"/>
    </row>
    <row r="120" spans="2:18" s="2" customFormat="1" ht="14.45">
      <c r="B120" s="3"/>
      <c r="C120" s="7">
        <v>2</v>
      </c>
      <c r="D120" s="8" t="s">
        <v>186</v>
      </c>
      <c r="E120" s="8" t="s">
        <v>101</v>
      </c>
      <c r="F120" s="8" t="s">
        <v>107</v>
      </c>
      <c r="G120" s="8" t="s">
        <v>118</v>
      </c>
      <c r="H120" s="8">
        <v>373635</v>
      </c>
      <c r="I120" s="79">
        <v>0</v>
      </c>
      <c r="J120" s="79">
        <f>H120-I120</f>
        <v>373635</v>
      </c>
      <c r="K120" s="87">
        <v>46358</v>
      </c>
      <c r="L120" s="87">
        <v>46353</v>
      </c>
      <c r="M120" s="52"/>
      <c r="N120" s="80"/>
      <c r="O120" s="83">
        <v>4</v>
      </c>
      <c r="P120" s="8" t="s">
        <v>24</v>
      </c>
      <c r="Q120" s="8"/>
      <c r="R120" s="3"/>
    </row>
    <row r="121" spans="2:18" s="2" customFormat="1" ht="14.45" hidden="1">
      <c r="B121" s="3"/>
      <c r="C121" s="7">
        <v>1</v>
      </c>
      <c r="D121" s="8" t="s">
        <v>187</v>
      </c>
      <c r="E121" s="8" t="s">
        <v>101</v>
      </c>
      <c r="F121" s="8" t="s">
        <v>107</v>
      </c>
      <c r="G121" s="8" t="s">
        <v>118</v>
      </c>
      <c r="H121" s="8">
        <v>186817.5</v>
      </c>
      <c r="I121" s="79">
        <v>0</v>
      </c>
      <c r="J121" s="79">
        <v>186817.5</v>
      </c>
      <c r="K121" s="90">
        <v>46372</v>
      </c>
      <c r="L121" s="84">
        <v>46366</v>
      </c>
      <c r="M121" s="9"/>
      <c r="N121" s="52"/>
      <c r="O121" s="85">
        <v>1</v>
      </c>
      <c r="P121" s="8" t="s">
        <v>24</v>
      </c>
      <c r="Q121" s="8"/>
    </row>
    <row r="122" spans="2:18" ht="14.45" hidden="1">
      <c r="C122" s="115">
        <v>3</v>
      </c>
      <c r="D122" s="116" t="s">
        <v>188</v>
      </c>
      <c r="E122" s="117" t="s">
        <v>101</v>
      </c>
      <c r="F122" s="117" t="s">
        <v>102</v>
      </c>
      <c r="G122" s="117" t="s">
        <v>125</v>
      </c>
      <c r="H122" s="117">
        <v>777494.64</v>
      </c>
      <c r="I122" s="116">
        <v>0</v>
      </c>
      <c r="J122" s="116">
        <f>H122-I122</f>
        <v>777494.64</v>
      </c>
      <c r="K122" s="118"/>
      <c r="L122" s="119">
        <v>46366</v>
      </c>
      <c r="M122" s="118">
        <v>46397</v>
      </c>
      <c r="N122" s="118"/>
      <c r="O122" s="120">
        <v>2</v>
      </c>
      <c r="P122" s="117" t="s">
        <v>16</v>
      </c>
      <c r="Q122" s="117"/>
      <c r="R122" s="3" t="s">
        <v>138</v>
      </c>
    </row>
    <row r="123" spans="2:18" ht="14.45" hidden="1">
      <c r="C123" s="121">
        <v>1</v>
      </c>
      <c r="D123" s="122" t="s">
        <v>189</v>
      </c>
      <c r="E123" s="122" t="s">
        <v>105</v>
      </c>
      <c r="F123" s="123" t="s">
        <v>102</v>
      </c>
      <c r="G123" s="8" t="s">
        <v>125</v>
      </c>
      <c r="H123" s="124">
        <v>185600</v>
      </c>
      <c r="I123" s="122">
        <v>0</v>
      </c>
      <c r="J123" s="122">
        <f>H123-I123</f>
        <v>185600</v>
      </c>
      <c r="K123" s="125"/>
      <c r="L123" s="126">
        <v>46366</v>
      </c>
      <c r="M123" s="125"/>
      <c r="N123" s="125"/>
      <c r="O123" s="127">
        <v>2</v>
      </c>
      <c r="P123" s="124" t="s">
        <v>16</v>
      </c>
      <c r="Q123" s="124"/>
      <c r="R123" s="128" t="s">
        <v>138</v>
      </c>
    </row>
    <row r="124" spans="2:18" ht="14.45" hidden="1">
      <c r="C124" s="129">
        <v>2</v>
      </c>
      <c r="D124" s="130" t="s">
        <v>190</v>
      </c>
      <c r="E124" s="130" t="s">
        <v>170</v>
      </c>
      <c r="F124" s="123" t="s">
        <v>171</v>
      </c>
      <c r="G124" s="8" t="s">
        <v>118</v>
      </c>
      <c r="H124" s="131">
        <v>453560</v>
      </c>
      <c r="I124" s="130">
        <v>0</v>
      </c>
      <c r="J124" s="131">
        <f>H124-I124</f>
        <v>453560</v>
      </c>
      <c r="K124" s="132"/>
      <c r="L124" s="133">
        <v>46366</v>
      </c>
      <c r="M124" s="132"/>
      <c r="N124" s="132"/>
      <c r="O124" s="134">
        <v>2</v>
      </c>
      <c r="P124" s="130" t="s">
        <v>28</v>
      </c>
      <c r="Q124" s="130"/>
      <c r="R124" s="3" t="s">
        <v>138</v>
      </c>
    </row>
    <row r="125" spans="2:18" ht="14.45" hidden="1">
      <c r="C125" s="129">
        <v>4</v>
      </c>
      <c r="D125" s="130" t="s">
        <v>191</v>
      </c>
      <c r="E125" s="130" t="s">
        <v>95</v>
      </c>
      <c r="F125" s="116" t="s">
        <v>99</v>
      </c>
      <c r="G125" s="117" t="s">
        <v>118</v>
      </c>
      <c r="H125" s="135">
        <v>408480</v>
      </c>
      <c r="I125" s="131">
        <v>0</v>
      </c>
      <c r="J125" s="135">
        <f>H125-I125</f>
        <v>408480</v>
      </c>
      <c r="K125" s="133">
        <v>46411</v>
      </c>
      <c r="L125" s="133">
        <v>46368</v>
      </c>
      <c r="M125" s="132"/>
      <c r="N125" s="132"/>
      <c r="O125" s="134">
        <v>2</v>
      </c>
      <c r="P125" s="130" t="s">
        <v>16</v>
      </c>
      <c r="Q125" s="130"/>
      <c r="R125" s="3" t="s">
        <v>138</v>
      </c>
    </row>
    <row r="126" spans="2:18" ht="13.5" hidden="1" customHeight="1">
      <c r="C126" s="136"/>
      <c r="D126" s="137" t="s">
        <v>192</v>
      </c>
      <c r="E126" s="137" t="s">
        <v>95</v>
      </c>
      <c r="F126" s="137" t="s">
        <v>107</v>
      </c>
      <c r="G126" s="137" t="s">
        <v>118</v>
      </c>
      <c r="H126" s="137"/>
      <c r="I126" s="137"/>
      <c r="J126" s="137"/>
      <c r="K126" s="138"/>
      <c r="L126" s="139">
        <v>46371</v>
      </c>
      <c r="M126" s="138"/>
      <c r="N126" s="138"/>
      <c r="O126" s="136">
        <v>3</v>
      </c>
      <c r="P126" s="137"/>
      <c r="Q126" s="137"/>
      <c r="R126" s="3" t="s">
        <v>138</v>
      </c>
    </row>
    <row r="127" spans="2:18" ht="13.5" hidden="1" customHeight="1">
      <c r="C127" s="140">
        <v>2.5</v>
      </c>
      <c r="D127" s="124" t="s">
        <v>193</v>
      </c>
      <c r="E127" s="124" t="s">
        <v>170</v>
      </c>
      <c r="F127" s="124" t="s">
        <v>171</v>
      </c>
      <c r="G127" s="124" t="s">
        <v>118</v>
      </c>
      <c r="H127" s="122">
        <v>604911</v>
      </c>
      <c r="I127" s="122">
        <v>0</v>
      </c>
      <c r="J127" s="122">
        <f>H127-I127</f>
        <v>604911</v>
      </c>
      <c r="K127" s="125"/>
      <c r="L127" s="126">
        <v>46397</v>
      </c>
      <c r="M127" s="125"/>
      <c r="N127" s="125"/>
      <c r="O127" s="127">
        <v>2</v>
      </c>
      <c r="P127" s="124" t="s">
        <v>28</v>
      </c>
      <c r="Q127" s="124"/>
    </row>
    <row r="128" spans="2:18" ht="13.5" hidden="1" customHeight="1">
      <c r="C128" s="141">
        <v>2</v>
      </c>
      <c r="D128" s="142" t="s">
        <v>194</v>
      </c>
      <c r="E128" s="8" t="s">
        <v>101</v>
      </c>
      <c r="F128" s="8" t="s">
        <v>102</v>
      </c>
      <c r="G128" s="8" t="s">
        <v>125</v>
      </c>
      <c r="H128" s="143" t="s">
        <v>195</v>
      </c>
      <c r="I128" s="143">
        <v>0</v>
      </c>
      <c r="J128" s="143" t="s">
        <v>195</v>
      </c>
      <c r="K128" s="144"/>
      <c r="L128" s="144" t="s">
        <v>195</v>
      </c>
      <c r="M128" s="144"/>
      <c r="N128" s="144"/>
      <c r="O128" s="145" t="s">
        <v>195</v>
      </c>
      <c r="P128" s="146" t="s">
        <v>16</v>
      </c>
      <c r="Q128" s="146"/>
    </row>
    <row r="131" spans="3:8"/>
    <row r="141" spans="3:8" ht="13.5" customHeight="1">
      <c r="H141" s="1">
        <f>H100*0.2</f>
        <v>167040</v>
      </c>
    </row>
    <row r="142" spans="3:8" ht="13.5" customHeight="1">
      <c r="H142" s="1">
        <f>H100*0.8</f>
        <v>668160</v>
      </c>
    </row>
    <row r="143" spans="3:8" ht="14.45">
      <c r="C143" s="147" t="s">
        <v>196</v>
      </c>
    </row>
    <row r="144" spans="3:8" ht="14.45">
      <c r="C144" s="147" t="s">
        <v>197</v>
      </c>
      <c r="D144" s="1">
        <f>71*5000</f>
        <v>355000</v>
      </c>
    </row>
    <row r="145" spans="3:5" ht="14.45">
      <c r="C145" s="147" t="s">
        <v>198</v>
      </c>
      <c r="D145" s="1">
        <f>14*5000</f>
        <v>70000</v>
      </c>
    </row>
    <row r="146" spans="3:5" ht="14.45">
      <c r="C146" s="2" t="s">
        <v>199</v>
      </c>
      <c r="D146" s="1">
        <f>450000/10*9</f>
        <v>405000</v>
      </c>
    </row>
    <row r="154" spans="3:5" ht="14.45">
      <c r="D154" s="148"/>
      <c r="E154" s="149"/>
    </row>
    <row r="155" spans="3:5" ht="14.45">
      <c r="D155" s="148"/>
      <c r="E155" s="149"/>
    </row>
    <row r="156" spans="3:5" ht="14.45">
      <c r="D156" s="148"/>
      <c r="E156" s="149"/>
    </row>
    <row r="157" spans="3:5" ht="14.45">
      <c r="D157" s="148"/>
      <c r="E157" s="149"/>
    </row>
    <row r="158" spans="3:5" ht="14.45">
      <c r="D158" s="148"/>
      <c r="E158" s="149"/>
    </row>
    <row r="159" spans="3:5" ht="14.45">
      <c r="D159" s="148"/>
      <c r="E159" s="149"/>
    </row>
  </sheetData>
  <autoFilter ref="B1:R128" xr:uid="{00000000-0009-0000-0000-000000000000}">
    <filterColumn colId="5">
      <filters>
        <filter val="UAB"/>
      </filters>
    </filterColumn>
    <filterColumn colId="10">
      <filters>
        <dateGroupItem year="2026" month="11" dateTimeGrouping="month"/>
      </filters>
    </filterColumn>
  </autoFilter>
  <sortState xmlns:xlrd2="http://schemas.microsoft.com/office/spreadsheetml/2017/richdata2" ref="B2:R159">
    <sortCondition ref="L2"/>
  </sortState>
  <conditionalFormatting sqref="L1:N1">
    <cfRule type="expression" dxfId="28" priority="54">
      <formula>MONTH(#REF!)=7</formula>
    </cfRule>
  </conditionalFormatting>
  <conditionalFormatting sqref="L2:N2">
    <cfRule type="expression" dxfId="27" priority="25">
      <formula>MONTH(#REF!)=7</formula>
    </cfRule>
  </conditionalFormatting>
  <conditionalFormatting sqref="L3:N3">
    <cfRule type="expression" dxfId="26" priority="23">
      <formula>MONTH(#REF!)=7</formula>
    </cfRule>
  </conditionalFormatting>
  <conditionalFormatting sqref="L37:N37">
    <cfRule type="expression" dxfId="25" priority="18">
      <formula>MONTH(#REF!)=7</formula>
    </cfRule>
  </conditionalFormatting>
  <conditionalFormatting sqref="L38:N38">
    <cfRule type="expression" dxfId="24" priority="21">
      <formula>MONTH(#REF!)=7</formula>
    </cfRule>
  </conditionalFormatting>
  <conditionalFormatting sqref="L41:N41">
    <cfRule type="expression" dxfId="23" priority="7">
      <formula>MONTH(#REF!)=7</formula>
    </cfRule>
  </conditionalFormatting>
  <conditionalFormatting sqref="L44:N44">
    <cfRule type="expression" dxfId="22" priority="5">
      <formula>MONTH(#REF!)=7</formula>
    </cfRule>
  </conditionalFormatting>
  <conditionalFormatting sqref="L45:N45">
    <cfRule type="expression" dxfId="21" priority="24">
      <formula>MONTH(#REF!)=7</formula>
    </cfRule>
  </conditionalFormatting>
  <conditionalFormatting sqref="L46:N46">
    <cfRule type="expression" dxfId="20" priority="16">
      <formula>MONTH(#REF!)=7</formula>
    </cfRule>
  </conditionalFormatting>
  <conditionalFormatting sqref="L50:N50">
    <cfRule type="expression" dxfId="19" priority="19">
      <formula>MONTH(#REF!)=7</formula>
    </cfRule>
  </conditionalFormatting>
  <conditionalFormatting sqref="L51:N51">
    <cfRule type="expression" dxfId="18" priority="6">
      <formula>MONTH(#REF!)=7</formula>
    </cfRule>
  </conditionalFormatting>
  <conditionalFormatting sqref="L54:N54">
    <cfRule type="expression" dxfId="17" priority="15">
      <formula>MONTH(#REF!)=7</formula>
    </cfRule>
  </conditionalFormatting>
  <conditionalFormatting sqref="L55:N55">
    <cfRule type="expression" dxfId="16" priority="10">
      <formula>MONTH(#REF!)=7</formula>
    </cfRule>
  </conditionalFormatting>
  <conditionalFormatting sqref="L56:N56">
    <cfRule type="expression" dxfId="15" priority="4">
      <formula>MONTH(#REF!)=7</formula>
    </cfRule>
  </conditionalFormatting>
  <conditionalFormatting sqref="M60:N60">
    <cfRule type="expression" dxfId="14" priority="2">
      <formula>MONTH(#REF!)=7</formula>
    </cfRule>
  </conditionalFormatting>
  <conditionalFormatting sqref="L66:N66">
    <cfRule type="expression" dxfId="13" priority="3">
      <formula>MONTH(#REF!)=7</formula>
    </cfRule>
  </conditionalFormatting>
  <conditionalFormatting sqref="L71:N71">
    <cfRule type="expression" dxfId="12" priority="27">
      <formula>MONTH(#REF!)=7</formula>
    </cfRule>
  </conditionalFormatting>
  <conditionalFormatting sqref="L79">
    <cfRule type="expression" dxfId="11" priority="1">
      <formula>MONTH(#REF!)=7</formula>
    </cfRule>
  </conditionalFormatting>
  <conditionalFormatting sqref="L80:N80">
    <cfRule type="expression" dxfId="10" priority="55">
      <formula>MONTH(#REF!)=7</formula>
    </cfRule>
  </conditionalFormatting>
  <conditionalFormatting sqref="L4:N5">
    <cfRule type="expression" dxfId="9" priority="22">
      <formula>MONTH(#REF!)=7</formula>
    </cfRule>
  </conditionalFormatting>
  <conditionalFormatting sqref="L6:N8">
    <cfRule type="expression" dxfId="8" priority="9">
      <formula>MONTH(#REF!)=7</formula>
    </cfRule>
  </conditionalFormatting>
  <conditionalFormatting sqref="L9:N32">
    <cfRule type="expression" dxfId="7" priority="8">
      <formula>MONTH(#REF!)=7</formula>
    </cfRule>
  </conditionalFormatting>
  <conditionalFormatting sqref="L33:N36">
    <cfRule type="expression" dxfId="6" priority="20">
      <formula>MONTH(#REF!)=7</formula>
    </cfRule>
  </conditionalFormatting>
  <conditionalFormatting sqref="L39:N40">
    <cfRule type="expression" dxfId="5" priority="11">
      <formula>MONTH(#REF!)=7</formula>
    </cfRule>
  </conditionalFormatting>
  <conditionalFormatting sqref="L42:N43">
    <cfRule type="expression" dxfId="4" priority="12">
      <formula>MONTH(#REF!)=7</formula>
    </cfRule>
  </conditionalFormatting>
  <conditionalFormatting sqref="L47:N49">
    <cfRule type="expression" dxfId="3" priority="13">
      <formula>MONTH(#REF!)=7</formula>
    </cfRule>
  </conditionalFormatting>
  <conditionalFormatting sqref="L52:N53">
    <cfRule type="expression" dxfId="2" priority="14">
      <formula>MONTH(#REF!)=7</formula>
    </cfRule>
  </conditionalFormatting>
  <conditionalFormatting sqref="L62:N63">
    <cfRule type="expression" dxfId="1" priority="17">
      <formula>MONTH(#REF!)=7</formula>
    </cfRule>
  </conditionalFormatting>
  <conditionalFormatting sqref="L85:N85 L88 L93">
    <cfRule type="expression" dxfId="0" priority="41">
      <formula>MONTH(#REF!)=7</formula>
    </cfRule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4.4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89EA81F129DA4995D5B5C74540915C" ma:contentTypeVersion="12" ma:contentTypeDescription="Create a new document." ma:contentTypeScope="" ma:versionID="320f0dc5befd8fd50b1395d272d642c4">
  <xsd:schema xmlns:xsd="http://www.w3.org/2001/XMLSchema" xmlns:xs="http://www.w3.org/2001/XMLSchema" xmlns:p="http://schemas.microsoft.com/office/2006/metadata/properties" xmlns:ns2="aad2d8c2-1f0b-4aff-8829-49ba68381b08" xmlns:ns3="50e4b175-0ccb-42b5-9c44-ba1ba2f04b18" targetNamespace="http://schemas.microsoft.com/office/2006/metadata/properties" ma:root="true" ma:fieldsID="b824b9cd95a73ba0f6fdcffe7aa04899" ns2:_="" ns3:_="">
    <xsd:import namespace="aad2d8c2-1f0b-4aff-8829-49ba68381b08"/>
    <xsd:import namespace="50e4b175-0ccb-42b5-9c44-ba1ba2f04b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2d8c2-1f0b-4aff-8829-49ba68381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326c8d-4ee5-459b-8251-4a19900238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e4b175-0ccb-42b5-9c44-ba1ba2f04b1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f1b14a-210d-4d7d-81c4-0048fd7ad871}" ma:internalName="TaxCatchAll" ma:showField="CatchAllData" ma:web="50e4b175-0ccb-42b5-9c44-ba1ba2f04b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e4b175-0ccb-42b5-9c44-ba1ba2f04b18" xsi:nil="true"/>
    <lcf76f155ced4ddcb4097134ff3c332f xmlns="aad2d8c2-1f0b-4aff-8829-49ba68381b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15B98A-312F-4275-AE1F-433270CEFAF9}"/>
</file>

<file path=customXml/itemProps2.xml><?xml version="1.0" encoding="utf-8"?>
<ds:datastoreItem xmlns:ds="http://schemas.openxmlformats.org/officeDocument/2006/customXml" ds:itemID="{048499C5-0B70-4B32-8B2F-0EF3FEC3C7C6}"/>
</file>

<file path=customXml/itemProps3.xml><?xml version="1.0" encoding="utf-8"?>
<ds:datastoreItem xmlns:ds="http://schemas.openxmlformats.org/officeDocument/2006/customXml" ds:itemID="{55ED4957-C849-4C73-8CDA-134D8938C6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86186</dc:creator>
  <cp:keywords/>
  <dc:description/>
  <cp:lastModifiedBy>Daria</cp:lastModifiedBy>
  <cp:revision/>
  <dcterms:created xsi:type="dcterms:W3CDTF">2026-06-18T09:58:00Z</dcterms:created>
  <dcterms:modified xsi:type="dcterms:W3CDTF">2026-10-13T10:00:46Z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6DC7A6004B414755A22CC62607FBE94E_13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  <property fmtid="{D5CDD505-2E9C-101B-9397-08002B2CF9AE}" pid="5" name="ContentTypeId">
    <vt:lpwstr>0x0101003B89EA81F129DA4995D5B5C74540915C</vt:lpwstr>
  </property>
  <property fmtid="{D5CDD505-2E9C-101B-9397-08002B2CF9AE}" pid="6" name="MediaServiceImageTags">
    <vt:lpwstr/>
  </property>
  <property fmtid="{D5CDD505-2E9C-101B-9397-08002B2CF9AE}" pid="7" name="KSOReadingLayout">
    <vt:bool>true</vt:bool>
  </property>
</Properties>
</file>