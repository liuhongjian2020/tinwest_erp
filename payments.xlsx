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802\office6\"/>
    </mc:Choice>
  </mc:AlternateContent>
  <bookViews>
    <workbookView windowWidth="27945" windowHeight="12255"/>
  </bookViews>
  <sheets>
    <sheet name="payment" sheetId="1" r:id="rId1"/>
  </sheets>
  <externalReferences>
    <externalReference r:id="rId2"/>
  </externalReferences>
  <definedNames>
    <definedName name="_xlnm._FilterDatabase" localSheetId="0" hidden="1">payment!$A$1:$L$842</definedName>
    <definedName name="densit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86186</author>
  </authors>
  <commentList>
    <comment ref="G7" authorId="0">
      <text>
        <r>
          <rPr>
            <sz val="10"/>
            <rFont val="宋体"/>
            <charset val="134"/>
          </rPr>
          <t>86186:
孙姐的平汇表上记录的最后一笔打款是1268630.21
大表格上记录的是600000</t>
        </r>
      </text>
    </comment>
    <comment ref="G11" authorId="0">
      <text>
        <r>
          <rPr>
            <sz val="10"/>
            <rFont val="宋体"/>
            <charset val="134"/>
          </rPr>
          <t xml:space="preserve">86186:
孙姐平汇表记录的是收款1124880， 大表格是1793510.21。
</t>
        </r>
      </text>
    </comment>
    <comment ref="G12" authorId="0">
      <text>
        <r>
          <rPr>
            <sz val="10"/>
            <rFont val="宋体"/>
            <charset val="134"/>
          </rPr>
          <t>86186:
孙姐平汇表记录：146855.7。 大表格记录：139545。</t>
        </r>
      </text>
    </comment>
    <comment ref="G21" authorId="0">
      <text>
        <r>
          <rPr>
            <sz val="10"/>
            <rFont val="宋体"/>
            <charset val="134"/>
          </rPr>
          <t>86186:
孙姐平汇表记录没有252167.9。大表格上有</t>
        </r>
      </text>
    </comment>
  </commentList>
</comments>
</file>

<file path=xl/sharedStrings.xml><?xml version="1.0" encoding="utf-8"?>
<sst xmlns="http://schemas.openxmlformats.org/spreadsheetml/2006/main" count="3536" uniqueCount="841">
  <si>
    <t>付款的客户
Payer</t>
  </si>
  <si>
    <r>
      <rPr>
        <sz val="11"/>
        <color theme="1"/>
        <rFont val="宋体"/>
        <charset val="204"/>
      </rPr>
      <t>发票号</t>
    </r>
    <r>
      <rPr>
        <sz val="11"/>
        <color theme="1"/>
        <rFont val="Calibri"/>
        <charset val="134"/>
      </rPr>
      <t xml:space="preserve">
invoice</t>
    </r>
  </si>
  <si>
    <t>规格
specifications</t>
  </si>
  <si>
    <t>数量
QTY</t>
  </si>
  <si>
    <t>单价
UNT</t>
  </si>
  <si>
    <t>总价
TOTAL</t>
  </si>
  <si>
    <t>国外已付
paid</t>
  </si>
  <si>
    <t>国外未付
Unpaid</t>
  </si>
  <si>
    <r>
      <rPr>
        <sz val="11"/>
        <color theme="1"/>
        <rFont val="宋体"/>
        <charset val="134"/>
      </rPr>
      <t>货好时间</t>
    </r>
    <r>
      <rPr>
        <sz val="11"/>
        <color theme="1"/>
        <rFont val="Calibri"/>
        <charset val="134"/>
      </rPr>
      <t xml:space="preserve">
Ready date</t>
    </r>
  </si>
  <si>
    <t>状态
Status</t>
  </si>
  <si>
    <t>供应商</t>
  </si>
  <si>
    <t>LF</t>
  </si>
  <si>
    <t>BOC</t>
  </si>
  <si>
    <t>VAT</t>
  </si>
  <si>
    <t>TRC</t>
  </si>
  <si>
    <t>ABC</t>
  </si>
  <si>
    <t>VTB</t>
  </si>
  <si>
    <t>总额</t>
  </si>
  <si>
    <t>TW</t>
  </si>
  <si>
    <t>TJTW-9-1</t>
  </si>
  <si>
    <t>99.8mm 0.21 #401</t>
  </si>
  <si>
    <t>Shipped</t>
  </si>
  <si>
    <t>TJTW-9-2</t>
  </si>
  <si>
    <t>TJTW-11</t>
  </si>
  <si>
    <t>#401 ETP BPA FREE</t>
  </si>
  <si>
    <t>#401 TFS BPA FREE</t>
  </si>
  <si>
    <t>#401 TFS</t>
  </si>
  <si>
    <t>TJTW-13</t>
  </si>
  <si>
    <t>0.18*822；0.17*818</t>
  </si>
  <si>
    <t>TJTW-18</t>
  </si>
  <si>
    <t>0.18*905*836.5</t>
  </si>
  <si>
    <t>TJTW-20</t>
  </si>
  <si>
    <t>TJTW-21</t>
  </si>
  <si>
    <t>TJTW-23</t>
  </si>
  <si>
    <t>0.16*875*C</t>
  </si>
  <si>
    <t>TJTW-24</t>
  </si>
  <si>
    <t>0.24*963*1026</t>
  </si>
  <si>
    <t>0.26*963*1026</t>
  </si>
  <si>
    <t>0.32*856*785</t>
  </si>
  <si>
    <t>TJTW-27</t>
  </si>
  <si>
    <t>TJTW-28</t>
  </si>
  <si>
    <t>0.16*820*C</t>
  </si>
  <si>
    <t>TJTW-29</t>
  </si>
  <si>
    <t>TJTW-30</t>
  </si>
  <si>
    <t>0.22*903*836.5</t>
  </si>
  <si>
    <t>0.22*295</t>
  </si>
  <si>
    <t>TJTW-31</t>
  </si>
  <si>
    <t>0.16*820*Coil</t>
  </si>
  <si>
    <t>TJTW-33</t>
  </si>
  <si>
    <t>0.18*822*764.2</t>
  </si>
  <si>
    <t>TJTW-34</t>
  </si>
  <si>
    <t>TJTW-35</t>
  </si>
  <si>
    <t>0.16X875xC</t>
  </si>
  <si>
    <t>TJTW-37</t>
  </si>
  <si>
    <t>0.21x894x1038</t>
  </si>
  <si>
    <t>0.16x960x924</t>
  </si>
  <si>
    <t>TJTW-40</t>
  </si>
  <si>
    <t>TJTW-41</t>
  </si>
  <si>
    <t>#401</t>
  </si>
  <si>
    <t>TJTW-44</t>
  </si>
  <si>
    <t>TJTW-47</t>
  </si>
  <si>
    <t>EOE ALU 0.24 #401</t>
  </si>
  <si>
    <t>TJTW-49</t>
  </si>
  <si>
    <t>0.18*822*764.2 2.8/2.8 T4 stone,BA</t>
  </si>
  <si>
    <t>0.17*818*913.6  2.8/2.8 T4 stone,BA</t>
  </si>
  <si>
    <t>TJTW-50-1</t>
  </si>
  <si>
    <t>0.18*905*669.5 素铁</t>
  </si>
  <si>
    <t>TJTW-50-2</t>
  </si>
  <si>
    <t>0.18*905*836.5 铝膏+黄 BPA free</t>
  </si>
  <si>
    <t>0.17*905*836.5 铝膏+有机 BPA free</t>
  </si>
  <si>
    <t>TJTW-50-3</t>
  </si>
  <si>
    <t>TJTW-50-4</t>
  </si>
  <si>
    <t>0.18*905*836.5 铝膏+有机 BPA free</t>
  </si>
  <si>
    <t>TJTW-51</t>
  </si>
  <si>
    <t>0,16x784x1040 2.0/2.0</t>
  </si>
  <si>
    <t>TJTW-53</t>
  </si>
  <si>
    <t>ETP EOE 99 BPA FREE</t>
  </si>
  <si>
    <t>TJTW-55</t>
  </si>
  <si>
    <t>0.17*818*913 铝膏+有机 BPA free</t>
  </si>
  <si>
    <t>0.17*818*913 铝膏+黄 BPA free</t>
  </si>
  <si>
    <t>TJTW-55-2</t>
  </si>
  <si>
    <t>TJTW-56</t>
  </si>
  <si>
    <t>0.17*857*730 2.8/2.8 T4BA</t>
  </si>
  <si>
    <t>TJTW-59</t>
  </si>
  <si>
    <t>EOE.99.8mm 0.21 #401</t>
  </si>
  <si>
    <t>TJTW-60</t>
  </si>
  <si>
    <t>0.165*875*Coil</t>
  </si>
  <si>
    <t>0.17*875*Coil</t>
  </si>
  <si>
    <t>TJTW-60-1</t>
  </si>
  <si>
    <t>TJTW-61-4</t>
  </si>
  <si>
    <t>0.18*905*836.5 2.8/2.8 T4 BA</t>
  </si>
  <si>
    <t>TJTW-61-3</t>
  </si>
  <si>
    <t>TJTW-61-6</t>
  </si>
  <si>
    <t>0.17*905*836.5 2.8/2.8 T4 BA</t>
  </si>
  <si>
    <t>TJTW-61-5</t>
  </si>
  <si>
    <t>0.17*818*913.6 2.8/2.8 T4 BA</t>
  </si>
  <si>
    <t>0.18*900*712 2.8/2.8 T3 BA</t>
  </si>
  <si>
    <t>shipped</t>
  </si>
  <si>
    <t>0.17*857*730 2.8/2.8 T4 BA</t>
  </si>
  <si>
    <t>TJTW-61-2</t>
  </si>
  <si>
    <t>0.18*905*669.5 2.8/2.8 T4 BA</t>
  </si>
  <si>
    <t>0.18*822*764.2  2.8/2.8 T4 BA</t>
  </si>
  <si>
    <t>TJTW-61-1</t>
  </si>
  <si>
    <t>TJTW-62</t>
  </si>
  <si>
    <t>0.3*790*850 2.0/2.0 T3</t>
  </si>
  <si>
    <t>0.3*790*855 2.0/2.0 T3</t>
  </si>
  <si>
    <t>0.31*1000*665  2.0/2.0 T3</t>
  </si>
  <si>
    <t>0.31*960*640 2.0/2.0 T3</t>
  </si>
  <si>
    <t>TJTW-63</t>
  </si>
  <si>
    <t>0.155*963*961 2.0/2.0  TH 620</t>
  </si>
  <si>
    <t>0.155*931.927 2.0/2.0  TH 620</t>
  </si>
  <si>
    <t>TJTW-64</t>
  </si>
  <si>
    <t>0.20х751х710.7 2.0/2.0  Т4</t>
  </si>
  <si>
    <t>0.22х875х890  2.0/2.0  T3</t>
  </si>
  <si>
    <t>TJTW-65</t>
  </si>
  <si>
    <t>sample</t>
  </si>
  <si>
    <t>NF</t>
  </si>
  <si>
    <t>TJTW-66</t>
  </si>
  <si>
    <t>TFS EOE 72.9 BPAni FREE</t>
  </si>
  <si>
    <t>TJTW-67</t>
  </si>
  <si>
    <t>0.16*892*808.4   2.0/2.0 Т4 Stone BA</t>
  </si>
  <si>
    <t>0.15*868*872.4  1.0/1.0 DR9 Stone BA</t>
  </si>
  <si>
    <t>TJTW-67-2</t>
  </si>
  <si>
    <t>TJTW-67-3</t>
  </si>
  <si>
    <t>TJTW-68</t>
  </si>
  <si>
    <t>EOE 99.8 0.22 #401</t>
  </si>
  <si>
    <t>TJTW-69</t>
  </si>
  <si>
    <t>0.16*875*Coil</t>
  </si>
  <si>
    <t>TJTW-70-2</t>
  </si>
  <si>
    <t>0.18*862*783 2.8/2.8 T5</t>
  </si>
  <si>
    <t>0.18*890*C</t>
  </si>
  <si>
    <t>0.17*944*795 2.8/2.8 T4</t>
  </si>
  <si>
    <t>TJTW-70-3</t>
  </si>
  <si>
    <t>0.18*880*824 2.8/2.8 T3</t>
  </si>
  <si>
    <t>0.18*928*934.7 2.8/2.8 T5</t>
  </si>
  <si>
    <t>TJTW-70</t>
  </si>
  <si>
    <t>0.16*892*808.4 2.0/2.0 T4</t>
  </si>
  <si>
    <t>0.2*893*808.4 2.8/2.8 T3</t>
  </si>
  <si>
    <t>0.15*868*872.4 1.0/1.0 DR9</t>
  </si>
  <si>
    <t>NBE</t>
  </si>
  <si>
    <t>NBE-1</t>
  </si>
  <si>
    <t>Tool for Lid diameter 200 mm,</t>
  </si>
  <si>
    <t>NBE-3</t>
  </si>
  <si>
    <t>NBE-4</t>
  </si>
  <si>
    <t>0.22*765*1040 2.0/2.0 TS260(T3)</t>
  </si>
  <si>
    <t>NBE-4-2</t>
  </si>
  <si>
    <t>0.18*712*826</t>
  </si>
  <si>
    <t>NBE-5</t>
  </si>
  <si>
    <t>0,23x905x720 with lamination</t>
  </si>
  <si>
    <t>NBE-5-2</t>
  </si>
  <si>
    <t>NBE-7</t>
  </si>
  <si>
    <r>
      <rPr>
        <sz val="11"/>
        <color theme="1"/>
        <rFont val="Calibri"/>
        <charset val="134"/>
      </rPr>
      <t>8065.77</t>
    </r>
    <r>
      <rPr>
        <sz val="11"/>
        <color theme="1"/>
        <rFont val="宋体"/>
        <charset val="204"/>
      </rPr>
      <t>处理成附加服务费</t>
    </r>
  </si>
  <si>
    <t>PT</t>
  </si>
  <si>
    <t>PT-1-3</t>
  </si>
  <si>
    <t>0.26*31.8 TH620</t>
  </si>
  <si>
    <t>PT-2</t>
  </si>
  <si>
    <t>0,16 896х1057 ТН 550 2,8/2,8 CА</t>
  </si>
  <si>
    <t>2025/7/8 + 2025/7/25</t>
  </si>
  <si>
    <t>0,16 862х922   ТН 620  2,8/2,8 CА</t>
  </si>
  <si>
    <t>PT-3</t>
  </si>
  <si>
    <t>0.14*975*941 ТН520 СА 2.8/2.8</t>
  </si>
  <si>
    <t>0.15*956*991 ТН550 СА 2.8/2.8</t>
  </si>
  <si>
    <t>PT-3-2</t>
  </si>
  <si>
    <t>0.18*956*991 ТН550 СA 2.8/2.8</t>
  </si>
  <si>
    <t>IN</t>
  </si>
  <si>
    <t>INTW-6-5</t>
  </si>
  <si>
    <t>72.9mm #300</t>
  </si>
  <si>
    <t>INTW-6-5-2</t>
  </si>
  <si>
    <t>INTW-6-6</t>
  </si>
  <si>
    <t>INTW-8</t>
  </si>
  <si>
    <t>98.9mm 0.20 #401 SE*2</t>
  </si>
  <si>
    <t>INTW-9</t>
  </si>
  <si>
    <t>can making mold spare part</t>
  </si>
  <si>
    <t>INTW-9-1</t>
  </si>
  <si>
    <t>INTW-9-2</t>
  </si>
  <si>
    <t>INTW-9-3</t>
  </si>
  <si>
    <t>TJTW-71</t>
  </si>
  <si>
    <t>Easy open end diam.99.8mm 0.21 T4 gold/2x white</t>
  </si>
  <si>
    <t>TJTW-72</t>
  </si>
  <si>
    <t>NBE-2-4</t>
  </si>
  <si>
    <t>0.23*905*720 1.5/1.5</t>
  </si>
  <si>
    <t>0.23*905*720 2.0/2.0</t>
  </si>
  <si>
    <t>NBE-8</t>
  </si>
  <si>
    <t>0,22x765 x1040</t>
  </si>
  <si>
    <t>TJTW-73</t>
  </si>
  <si>
    <t>1 - 15 / июня</t>
  </si>
  <si>
    <t>1 - 15 / июля</t>
  </si>
  <si>
    <t>1 - 15 / авг</t>
  </si>
  <si>
    <t>TJTW-74-7</t>
  </si>
  <si>
    <t>0.17*730*857 T4 2.8/2.8</t>
  </si>
  <si>
    <t>15 - 30 / июня</t>
  </si>
  <si>
    <t>15 - 30 / июля</t>
  </si>
  <si>
    <t>15 - 30 / авг</t>
  </si>
  <si>
    <t>TJTW-74-6</t>
  </si>
  <si>
    <t>TJTW-74-9</t>
  </si>
  <si>
    <t>0.17*818*913 T4 2.8/2.8</t>
  </si>
  <si>
    <r>
      <rPr>
        <sz val="11"/>
        <color theme="1"/>
        <rFont val="Calibri"/>
        <charset val="134"/>
      </rPr>
      <t>2025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>12</t>
    </r>
    <r>
      <rPr>
        <sz val="11"/>
        <color theme="1"/>
        <rFont val="宋体"/>
        <charset val="134"/>
      </rPr>
      <t>月发货</t>
    </r>
  </si>
  <si>
    <t>лакировка</t>
  </si>
  <si>
    <t>TJTW-74-10</t>
  </si>
  <si>
    <t>0.18*900*712 T3 2.8/2.8</t>
  </si>
  <si>
    <t>0.17*905*836.5 T4 2.8/2.8</t>
  </si>
  <si>
    <t>TJTW-74-8</t>
  </si>
  <si>
    <t>0.18*905*836.5 T4 2.8/2.8</t>
  </si>
  <si>
    <t>TJTW-74-4</t>
  </si>
  <si>
    <t>0.18*905*669.5 T4 2.8/2.8</t>
  </si>
  <si>
    <t>TJTW-74-5</t>
  </si>
  <si>
    <t>TJTW-74-3</t>
  </si>
  <si>
    <t>TJTW-74-2</t>
  </si>
  <si>
    <t>0.18*822*764.2 T4 2.8/2.8</t>
  </si>
  <si>
    <t>TJTW-74-1</t>
  </si>
  <si>
    <t>TJTW-999</t>
  </si>
  <si>
    <t>TJTW-75-3</t>
  </si>
  <si>
    <t>TJTW-75-2</t>
  </si>
  <si>
    <t>TJTW-75-4</t>
  </si>
  <si>
    <t>TJTW-75-10</t>
  </si>
  <si>
    <t>TJTW-75-5</t>
  </si>
  <si>
    <t>TJTW-75-6</t>
  </si>
  <si>
    <t>TJTW-75-7</t>
  </si>
  <si>
    <t>TJTW-75-8</t>
  </si>
  <si>
    <t>TJTW-75-9</t>
  </si>
  <si>
    <t>0.17*905*836.5 2.8/2.8 T4</t>
  </si>
  <si>
    <t>TJTW-75-11</t>
  </si>
  <si>
    <t>TJTW-75-12</t>
  </si>
  <si>
    <t>ZM</t>
  </si>
  <si>
    <t>INTW-10</t>
  </si>
  <si>
    <t>INTW-10-1</t>
  </si>
  <si>
    <t>Easy open end diam.98.9mm #401</t>
  </si>
  <si>
    <t>INTW-11</t>
  </si>
  <si>
    <t>SE diametr 70мм thickness  0,19 GOLD/Alu+ Gold</t>
  </si>
  <si>
    <t>TJTW-76-2</t>
  </si>
  <si>
    <t>0.18*862*782 2.8/2.8 T5</t>
  </si>
  <si>
    <r>
      <rPr>
        <sz val="11"/>
        <color theme="1"/>
        <rFont val="宋体"/>
        <charset val="204"/>
      </rPr>
      <t>价格里加了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204"/>
      </rPr>
      <t>个刷箱费</t>
    </r>
  </si>
  <si>
    <t>0.18*890*807.3 2.8/2.8 T5</t>
  </si>
  <si>
    <t>TJTW-76</t>
  </si>
  <si>
    <t>0.20*892*808.4 2.8/2.8 T3</t>
  </si>
  <si>
    <t>TJTW-76-3</t>
  </si>
  <si>
    <r>
      <rPr>
        <sz val="11"/>
        <color theme="1"/>
        <rFont val="Calibri"/>
        <charset val="134"/>
      </rPr>
      <t>76</t>
    </r>
    <r>
      <rPr>
        <sz val="11"/>
        <color theme="1"/>
        <rFont val="宋体"/>
        <charset val="204"/>
      </rPr>
      <t>发货里剩下的</t>
    </r>
  </si>
  <si>
    <t>TJTW-76-4</t>
  </si>
  <si>
    <r>
      <rPr>
        <sz val="11"/>
        <color theme="1"/>
        <rFont val="Calibri"/>
        <charset val="134"/>
      </rPr>
      <t>76-3</t>
    </r>
    <r>
      <rPr>
        <sz val="11"/>
        <color theme="1"/>
        <rFont val="宋体"/>
        <charset val="204"/>
      </rPr>
      <t>发货里剩下的</t>
    </r>
  </si>
  <si>
    <t>0.15*890*917 1.0/1.0 DR9</t>
  </si>
  <si>
    <t>TJTW-77</t>
  </si>
  <si>
    <t>0.16*875*C DR8.5 2.0/2.0</t>
  </si>
  <si>
    <t>0.16*820*C T4 2.0/2.0</t>
  </si>
  <si>
    <t>0.17*807*C DR8.5 2.0/2.0</t>
  </si>
  <si>
    <t>PT-4-1</t>
  </si>
  <si>
    <t>TFS 0.21*907*868 DR8 СА 2.8/2.8</t>
  </si>
  <si>
    <t>PT-4-2</t>
  </si>
  <si>
    <t>0.17*1057*900 DR7.5 СА 2.8/2.8</t>
  </si>
  <si>
    <t>0.18*1013*931 DR8 СА 2.8/2.8</t>
  </si>
  <si>
    <t>TJTW-78</t>
  </si>
  <si>
    <t>0.17*784*1040 2.0/2.0 DR9</t>
  </si>
  <si>
    <t>0.17*910*1071 2.0/2.0 DR9</t>
  </si>
  <si>
    <t>TJTW-78-2</t>
  </si>
  <si>
    <t>TJTW-79</t>
  </si>
  <si>
    <t>0.155*931*927 2.8/2.8 TH620</t>
  </si>
  <si>
    <t>0.155*963*960 2.8/2.8 TH620</t>
  </si>
  <si>
    <t>NBE-9-4</t>
  </si>
  <si>
    <t>0,18x928x735 1.5/1.5 T4</t>
  </si>
  <si>
    <t>ETP 0,18x850x735 1.5/1.5 T2,5</t>
  </si>
  <si>
    <t>0,18x945x712 1.5/1.5 T4</t>
  </si>
  <si>
    <t>NBE-9-3</t>
  </si>
  <si>
    <t>0,22x960x712 1.5/1.5 T2,5</t>
  </si>
  <si>
    <t>NBE-9-1</t>
  </si>
  <si>
    <t>ETP 0,22x960x712 1.5/1.5 T2,5</t>
  </si>
  <si>
    <r>
      <rPr>
        <sz val="11"/>
        <color theme="1"/>
        <rFont val="Calibri"/>
        <charset val="134"/>
      </rPr>
      <t>NBE-1</t>
    </r>
    <r>
      <rPr>
        <sz val="11"/>
        <color theme="1"/>
        <rFont val="宋体"/>
        <charset val="204"/>
      </rPr>
      <t>剩下的</t>
    </r>
  </si>
  <si>
    <t>0,18x1040x826 1.5/1.5 T4</t>
  </si>
  <si>
    <t>0,18x1040x765 1.5/1.5 T4</t>
  </si>
  <si>
    <t>NBE-9-2</t>
  </si>
  <si>
    <t>ETP 0,22x765x1040 1.5/1.5 T2,5</t>
  </si>
  <si>
    <r>
      <rPr>
        <sz val="11"/>
        <color theme="1"/>
        <rFont val="Calibri"/>
        <charset val="134"/>
      </rPr>
      <t>NBE-2</t>
    </r>
    <r>
      <rPr>
        <sz val="11"/>
        <color theme="1"/>
        <rFont val="宋体"/>
        <charset val="204"/>
      </rPr>
      <t>剩下的</t>
    </r>
  </si>
  <si>
    <t>0,18x765x1040  1.5/1.5 T2,5</t>
  </si>
  <si>
    <t>NBE-9-5</t>
  </si>
  <si>
    <t>0,20x972x815  1.5/1.5 T3</t>
  </si>
  <si>
    <t>0,23x905x720  1.5/1.5 T2,5</t>
  </si>
  <si>
    <t>0,19x882x712 1.5/1.5 T2,5</t>
  </si>
  <si>
    <t>TJTW-75-1</t>
  </si>
  <si>
    <t>TJTW-80-8</t>
  </si>
  <si>
    <t>0.18*905*836.5 2.8/2.8 T4</t>
  </si>
  <si>
    <r>
      <rPr>
        <sz val="11"/>
        <color theme="1"/>
        <rFont val="Calibri"/>
        <charset val="134"/>
      </rPr>
      <t>TJTW-80(6</t>
    </r>
    <r>
      <rPr>
        <sz val="11"/>
        <color theme="1"/>
        <rFont val="宋体"/>
        <charset val="134"/>
      </rPr>
      <t>月发</t>
    </r>
    <r>
      <rPr>
        <sz val="11"/>
        <color theme="1"/>
        <rFont val="Calibri"/>
        <charset val="134"/>
      </rPr>
      <t>)</t>
    </r>
  </si>
  <si>
    <t>TJTW-80-9</t>
  </si>
  <si>
    <t>TJTW-80-10</t>
  </si>
  <si>
    <t>TJTW-80</t>
  </si>
  <si>
    <t>0.18*822*764.2 2.8/2.8 T4</t>
  </si>
  <si>
    <t>TJTW-80-7</t>
  </si>
  <si>
    <t>0.17*818*913 2.8/2.8 T4</t>
  </si>
  <si>
    <t>TJTW-80-3</t>
  </si>
  <si>
    <t>0.18*905*669.5 2.8/2.8 T4</t>
  </si>
  <si>
    <t>TJTW-80-2</t>
  </si>
  <si>
    <t>TJTW-80-4</t>
  </si>
  <si>
    <t>TJTW-80-5</t>
  </si>
  <si>
    <t>TJTW-80-1</t>
  </si>
  <si>
    <t>TJTW-81</t>
  </si>
  <si>
    <t>EOE.99.8mm 0.22 #401</t>
  </si>
  <si>
    <t>TJTW-82</t>
  </si>
  <si>
    <t>PT-5</t>
  </si>
  <si>
    <r>
      <rPr>
        <sz val="11"/>
        <color theme="1"/>
        <rFont val="Calibri"/>
        <charset val="134"/>
      </rPr>
      <t>0.18*800*924 Т5</t>
    </r>
    <r>
      <rPr>
        <sz val="11"/>
        <color theme="1"/>
        <rFont val="宋体"/>
        <charset val="204"/>
      </rPr>
      <t>（</t>
    </r>
    <r>
      <rPr>
        <sz val="11"/>
        <color theme="1"/>
        <rFont val="Calibri"/>
        <charset val="134"/>
      </rPr>
      <t>TH435</t>
    </r>
    <r>
      <rPr>
        <sz val="11"/>
        <color theme="1"/>
        <rFont val="宋体"/>
        <charset val="204"/>
      </rPr>
      <t>）</t>
    </r>
    <r>
      <rPr>
        <sz val="11"/>
        <color theme="1"/>
        <rFont val="Calibri"/>
        <charset val="134"/>
      </rPr>
      <t>2.0/2.0</t>
    </r>
  </si>
  <si>
    <t>PT-6-1</t>
  </si>
  <si>
    <t>PT-6-2</t>
  </si>
  <si>
    <r>
      <rPr>
        <sz val="11"/>
        <color theme="1"/>
        <rFont val="Calibri"/>
        <charset val="134"/>
      </rPr>
      <t>12.10</t>
    </r>
    <r>
      <rPr>
        <sz val="11"/>
        <color theme="1"/>
        <rFont val="宋体"/>
        <charset val="204"/>
      </rPr>
      <t>装</t>
    </r>
  </si>
  <si>
    <t>PT-6-3</t>
  </si>
  <si>
    <r>
      <rPr>
        <sz val="11"/>
        <color theme="1"/>
        <rFont val="Calibri"/>
        <charset val="134"/>
      </rPr>
      <t>0.18*800*944 Т5</t>
    </r>
    <r>
      <rPr>
        <sz val="11"/>
        <color theme="1"/>
        <rFont val="宋体"/>
        <charset val="204"/>
      </rPr>
      <t>（</t>
    </r>
    <r>
      <rPr>
        <sz val="11"/>
        <color theme="1"/>
        <rFont val="Calibri"/>
        <charset val="134"/>
      </rPr>
      <t>TH435</t>
    </r>
    <r>
      <rPr>
        <sz val="11"/>
        <color theme="1"/>
        <rFont val="宋体"/>
        <charset val="204"/>
      </rPr>
      <t>）</t>
    </r>
    <r>
      <rPr>
        <sz val="11"/>
        <color theme="1"/>
        <rFont val="Calibri"/>
        <charset val="134"/>
      </rPr>
      <t>2.0/2.0</t>
    </r>
  </si>
  <si>
    <r>
      <rPr>
        <sz val="11"/>
        <color theme="1"/>
        <rFont val="Calibri"/>
        <charset val="134"/>
      </rPr>
      <t>0.18*860*944 Т5</t>
    </r>
    <r>
      <rPr>
        <sz val="11"/>
        <color theme="1"/>
        <rFont val="宋体"/>
        <charset val="204"/>
      </rPr>
      <t>（</t>
    </r>
    <r>
      <rPr>
        <sz val="11"/>
        <color theme="1"/>
        <rFont val="Calibri"/>
        <charset val="134"/>
      </rPr>
      <t>TH435</t>
    </r>
    <r>
      <rPr>
        <sz val="11"/>
        <color theme="1"/>
        <rFont val="宋体"/>
        <charset val="204"/>
      </rPr>
      <t>）</t>
    </r>
    <r>
      <rPr>
        <sz val="11"/>
        <color theme="1"/>
        <rFont val="Calibri"/>
        <charset val="134"/>
      </rPr>
      <t>2.0/2.0</t>
    </r>
  </si>
  <si>
    <t>VARNISHED</t>
  </si>
  <si>
    <t>0.18*905*836.5 2.8/2.8 T4 BA 
Gold/Alum+Gold, BPA FREE</t>
  </si>
  <si>
    <t>0.18*905*836.5 2.8/2.8 T4 BA
Gold/Alum</t>
  </si>
  <si>
    <t>0.17*905*836.5 2.8/2.8 T4 BA
Gold/Alum</t>
  </si>
  <si>
    <t>0.17*818*913.6 2.8/2.8 T4 BA
Gold/Alum+Gold, BPA FREE</t>
  </si>
  <si>
    <t>0.18*905*836.5 2.8/2.8 T4 BA
Gold/Aluminium+Gold,BPA FREE</t>
  </si>
  <si>
    <t>0.17*905*836.5 2.8/2.8 T4 BA
Gold/Aluminium+Gold,BPA FREE</t>
  </si>
  <si>
    <t>0.17*818*913.6 2.8/2.8 T4 BA
Gold/Aluminium+Gold,BPA FREE</t>
  </si>
  <si>
    <t>0.18*900*712 2.8/2.8 T3 BA
Gold/Aluminium+Gold,BPA FREE</t>
  </si>
  <si>
    <t>0.17*857*730 2.8/2.8 T4 BA
Gold/Aluminium+Gold,BPA FREE</t>
  </si>
  <si>
    <t>TJTW-83</t>
  </si>
  <si>
    <t>0.30*790*855 2.0/2.0 T3 BA</t>
  </si>
  <si>
    <t>0.30*770*850 2.0/2.0 T3 BA</t>
  </si>
  <si>
    <t>0.30*1000*665 2.0/2.0 T3 BA</t>
  </si>
  <si>
    <t>0.30*960*640 2.0/2.0 T3 BA</t>
  </si>
  <si>
    <t>TJTW-85-3</t>
  </si>
  <si>
    <t>0.20*963*837.5 2.8/2.8 T3BA</t>
  </si>
  <si>
    <t>TJTW-85-4-2</t>
  </si>
  <si>
    <t>TJTW-85-5</t>
  </si>
  <si>
    <t>TJTW-85-2</t>
  </si>
  <si>
    <t>0.18*870*946 2.0/2.0 T3BA</t>
  </si>
  <si>
    <t>TJTW-85-1</t>
  </si>
  <si>
    <t>0.20*875*890 2.0/2.0 T3BA</t>
  </si>
  <si>
    <t>TJTW-85-4-1</t>
  </si>
  <si>
    <t>0.22*875*975 2.0/2.0 T3BA</t>
  </si>
  <si>
    <t>0.22*870*860 2.0/2.0 T3BA</t>
  </si>
  <si>
    <t>TJTW-85-6</t>
  </si>
  <si>
    <t>TJTW-86</t>
  </si>
  <si>
    <t>0.16*892*808.4 2.0/2.0 T4BA</t>
  </si>
  <si>
    <t>INTW-12</t>
  </si>
  <si>
    <t>TJTW-87</t>
  </si>
  <si>
    <t>EOE 98.9mm 0.21 #401</t>
  </si>
  <si>
    <t>TJTW-88</t>
  </si>
  <si>
    <t>TJTW-75</t>
  </si>
  <si>
    <r>
      <rPr>
        <sz val="11"/>
        <color theme="1"/>
        <rFont val="Calibri"/>
        <charset val="134"/>
      </rPr>
      <t>26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月发</t>
    </r>
  </si>
  <si>
    <t>INTW-13-1</t>
  </si>
  <si>
    <t>INTW-13-2</t>
  </si>
  <si>
    <t>INTW-13-3</t>
  </si>
  <si>
    <t>TJTW-89</t>
  </si>
  <si>
    <t>EOE diam.98.9mm #401</t>
  </si>
  <si>
    <t>EOE diam.98.9mm #307</t>
  </si>
  <si>
    <t>TJTW-90-2</t>
  </si>
  <si>
    <t>0.18*862*782 T5BA 2.8/2.8</t>
  </si>
  <si>
    <t>0.18*890*807.3 T5BA 2.8/2.8</t>
  </si>
  <si>
    <t>TJTW-90-3</t>
  </si>
  <si>
    <t>TJTW-90-1</t>
  </si>
  <si>
    <t>0.17*944*795 T4BA 2.8/2.8</t>
  </si>
  <si>
    <t>0.16*892*808.4 T4BA 2.0/2.0</t>
  </si>
  <si>
    <t>TJTW-90-4</t>
  </si>
  <si>
    <t>90-3里剩</t>
  </si>
  <si>
    <t>0.15*868*872.4 DR9BA 1.0/1.0</t>
  </si>
  <si>
    <t>0.15*890*917 DR9BA 1.0/1.0</t>
  </si>
  <si>
    <t>十二月未发</t>
  </si>
  <si>
    <t>Scroll knife</t>
  </si>
  <si>
    <t>TJTW-91-2</t>
  </si>
  <si>
    <t>0.24*1023*954 2.0/2.0 T3</t>
  </si>
  <si>
    <t>TJTW-91</t>
  </si>
  <si>
    <t>0.25*748*953.5 2.0/2.0 T3</t>
  </si>
  <si>
    <t>TJTW-91-3</t>
  </si>
  <si>
    <r>
      <rPr>
        <sz val="11"/>
        <color theme="1"/>
        <rFont val="Calibri"/>
        <charset val="134"/>
      </rPr>
      <t>91-2</t>
    </r>
    <r>
      <rPr>
        <sz val="11"/>
        <color theme="1"/>
        <rFont val="宋体"/>
        <charset val="204"/>
      </rPr>
      <t>里剩下的</t>
    </r>
  </si>
  <si>
    <t>INTW-6-7</t>
  </si>
  <si>
    <t>INTW-6-8</t>
  </si>
  <si>
    <t>INTW-6-9</t>
  </si>
  <si>
    <t>INTW-6-10</t>
  </si>
  <si>
    <t>INTW-6-11</t>
  </si>
  <si>
    <t>INTW-6-12</t>
  </si>
  <si>
    <t>INTW-6-13</t>
  </si>
  <si>
    <t>INTW-6-14</t>
  </si>
  <si>
    <t>INTW-6-15</t>
  </si>
  <si>
    <t>INTW-6-16</t>
  </si>
  <si>
    <t>INTW-14</t>
  </si>
  <si>
    <t>Can making mold spare part</t>
  </si>
  <si>
    <t>INTW-15</t>
  </si>
  <si>
    <t>EOE 99.8 0.21 #401 multicolor/многоцветная</t>
  </si>
  <si>
    <t>EOE 99.8 0.21 #401 monochroic/одноцветная</t>
  </si>
  <si>
    <t>SE*2 diam.98.9mm #401 0.20 T4</t>
  </si>
  <si>
    <t>INTW-17</t>
  </si>
  <si>
    <t>SE*2 diam.70mm #214 0.19 T5</t>
  </si>
  <si>
    <t>TJTW-93-5</t>
  </si>
  <si>
    <t>0.18x862x782 Scroll Sheets T5 2.8/2.8 Stone, BA</t>
  </si>
  <si>
    <t>0.18x890x807.3 Scroll sheets T5 2.8/2.8 Stone, BA</t>
  </si>
  <si>
    <t>TJTW-93-4</t>
  </si>
  <si>
    <t>TJTW-93-3</t>
  </si>
  <si>
    <t>0,17x944x795 Sheets T4 2.8/2.8 Stone, BA</t>
  </si>
  <si>
    <t>TJTW-93-1</t>
  </si>
  <si>
    <t>0,16x892x808.4 Scroll Sheets T4 2.0/2.0 Stone, BA</t>
  </si>
  <si>
    <t>TJTW-93-2</t>
  </si>
  <si>
    <t>0,15x868x872.4 Scroll Sheets DR 9 1.0/1.0 Stone, BA</t>
  </si>
  <si>
    <t>TJTW-93-6</t>
  </si>
  <si>
    <t>0,15x890x917 Scroll Sheets DR 9 1.0/1.0 Stone, BA</t>
  </si>
  <si>
    <t>INTW-18</t>
  </si>
  <si>
    <t>D45 CONE AND DOME</t>
  </si>
  <si>
    <t>TJTW-92</t>
  </si>
  <si>
    <t>0.30*790*850 2.0/2.0 T3</t>
  </si>
  <si>
    <t>0.32*940*850 2.0/2.0 T3</t>
  </si>
  <si>
    <t>TJTW-94</t>
  </si>
  <si>
    <t>0.18*788*982 2.8/2.8 T3</t>
  </si>
  <si>
    <t>NBE-10-1-4</t>
  </si>
  <si>
    <t>0,22x960x712 2.0/2.0 T3 with lamination</t>
  </si>
  <si>
    <t>NBE-10-1-1</t>
  </si>
  <si>
    <t>0,22x1040x765 2.0/2.0 T3 with lamination</t>
  </si>
  <si>
    <t>NBE-10-1-3</t>
  </si>
  <si>
    <r>
      <rPr>
        <sz val="11"/>
        <color theme="1"/>
        <rFont val="Calibri"/>
        <charset val="134"/>
      </rPr>
      <t>10-1-1</t>
    </r>
    <r>
      <rPr>
        <sz val="11"/>
        <color theme="1"/>
        <rFont val="宋体"/>
        <charset val="134"/>
      </rPr>
      <t>剩</t>
    </r>
  </si>
  <si>
    <t>NBE-10-1-2</t>
  </si>
  <si>
    <t>0,23x905x720 2.0/2.0 T3 with lamination</t>
  </si>
  <si>
    <t>NBE-10-1-5(10-9)</t>
  </si>
  <si>
    <t>NBE-10-2-1</t>
  </si>
  <si>
    <t>0,18x1040x826 2.0/2.0 T4 with lamination</t>
  </si>
  <si>
    <t>0,18x1040x765 2.0/2.0 T4 with lamination</t>
  </si>
  <si>
    <t>NBE-10-16(10-2-2)</t>
  </si>
  <si>
    <t>0,18x765x1040  2.0/2.0 T3 with lamination</t>
  </si>
  <si>
    <t>0,20x882x712 2.0/2.0 T3 with lamination</t>
  </si>
  <si>
    <r>
      <rPr>
        <sz val="11"/>
        <color theme="1"/>
        <rFont val="Calibri"/>
        <charset val="134"/>
      </rPr>
      <t>NBE-10-3-6</t>
    </r>
    <r>
      <rPr>
        <sz val="6"/>
        <color theme="1"/>
        <rFont val="Calibri"/>
        <charset val="134"/>
      </rPr>
      <t>(10-11 + 10-12)</t>
    </r>
  </si>
  <si>
    <t>0,18x928x735 2.0/2.0 T4</t>
  </si>
  <si>
    <t>0,18x850x735 2.0/2.0 T3</t>
  </si>
  <si>
    <t>NBE-10-3-4</t>
  </si>
  <si>
    <t>0,22x960x712 2.0/2.0 T3</t>
  </si>
  <si>
    <t>NBE-10-3-2-A</t>
  </si>
  <si>
    <t>0,18x1040x765 2.0/2.0 T4</t>
  </si>
  <si>
    <t>0,22x765x1040 2.0/2.0 T3</t>
  </si>
  <si>
    <t>NBE-10-3-1-B</t>
  </si>
  <si>
    <t>NBE-10-16(10-3-7)</t>
  </si>
  <si>
    <t>0,21x765x1040 2.0/2.0 T3</t>
  </si>
  <si>
    <t>NBE-10-15(10-3-7)</t>
  </si>
  <si>
    <t>0,23x905x720 2.0/2.0 T3</t>
  </si>
  <si>
    <t>NBE-10-3-1-C</t>
  </si>
  <si>
    <t>NBE-10-3-3</t>
  </si>
  <si>
    <t>0,23x1040x850 2.0/2.0 T3</t>
  </si>
  <si>
    <t>NBE-10-3-4(10-7)</t>
  </si>
  <si>
    <t>0,24x914x758 2.0/2.0 T2.5</t>
  </si>
  <si>
    <t>NBE-10-3-4-B</t>
  </si>
  <si>
    <t>NBE-10-4-3-C</t>
  </si>
  <si>
    <t>0,24x1040x824 2.0/2.0 T2.5</t>
  </si>
  <si>
    <r>
      <rPr>
        <sz val="11"/>
        <color theme="1"/>
        <rFont val="Calibri"/>
        <charset val="134"/>
      </rPr>
      <t>10-3-1</t>
    </r>
    <r>
      <rPr>
        <sz val="11"/>
        <color theme="1"/>
        <rFont val="宋体"/>
        <charset val="134"/>
      </rPr>
      <t>剩</t>
    </r>
  </si>
  <si>
    <t>NBE-10-4-1-B</t>
  </si>
  <si>
    <t>0,30x850x735 2.0/2.0 T2.5</t>
  </si>
  <si>
    <t>NBE-10-4-1-C</t>
  </si>
  <si>
    <t>0,31x712x705 2.0/2.0 T2.5</t>
  </si>
  <si>
    <t>0,30x900x882 2.0/2.0 T2.5</t>
  </si>
  <si>
    <t>NBE-10-4-3(10-10)</t>
  </si>
  <si>
    <r>
      <rPr>
        <sz val="11"/>
        <color theme="1"/>
        <rFont val="Calibri"/>
        <charset val="134"/>
      </rPr>
      <t>10-4-1</t>
    </r>
    <r>
      <rPr>
        <sz val="11"/>
        <color theme="1"/>
        <rFont val="宋体"/>
        <charset val="134"/>
      </rPr>
      <t>剩</t>
    </r>
  </si>
  <si>
    <t>0,31x712х960 2.0/2.0 T2.5</t>
  </si>
  <si>
    <t>0,35x712х670 2.0/2.0 T2.5</t>
  </si>
  <si>
    <t>0,35x712х860 2.0/2.0 T2.5</t>
  </si>
  <si>
    <t>NBE-10-5</t>
  </si>
  <si>
    <t>TJTW-85/2-1</t>
  </si>
  <si>
    <t>0.22*740*823 Scroll Т3 2.0/2.0</t>
  </si>
  <si>
    <t>TJTW-85/2</t>
  </si>
  <si>
    <t>TJTW-85/2-2</t>
  </si>
  <si>
    <r>
      <rPr>
        <sz val="11"/>
        <color theme="1"/>
        <rFont val="Calibri"/>
        <charset val="134"/>
      </rPr>
      <t>TJTW-85/2-</t>
    </r>
    <r>
      <rPr>
        <sz val="11"/>
        <color theme="1"/>
        <rFont val="宋体"/>
        <charset val="134"/>
      </rPr>
      <t>？</t>
    </r>
  </si>
  <si>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月单独发</t>
    </r>
  </si>
  <si>
    <t>TJTW-85/2-3</t>
  </si>
  <si>
    <t>TJTW-85/2-4</t>
  </si>
  <si>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134"/>
      </rPr>
      <t>月与</t>
    </r>
    <r>
      <rPr>
        <sz val="11"/>
        <color theme="1"/>
        <rFont val="Calibri"/>
        <charset val="134"/>
      </rPr>
      <t>115-2</t>
    </r>
    <r>
      <rPr>
        <sz val="11"/>
        <color theme="1"/>
        <rFont val="宋体"/>
        <charset val="134"/>
      </rPr>
      <t>一起</t>
    </r>
  </si>
  <si>
    <t>TJTW-85/2-5</t>
  </si>
  <si>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月与</t>
    </r>
    <r>
      <rPr>
        <sz val="11"/>
        <color theme="1"/>
        <rFont val="Calibri"/>
        <charset val="134"/>
      </rPr>
      <t>115-3</t>
    </r>
    <r>
      <rPr>
        <sz val="11"/>
        <color theme="1"/>
        <rFont val="宋体"/>
        <charset val="134"/>
      </rPr>
      <t>一起</t>
    </r>
  </si>
  <si>
    <t>TJTW-85/2-6</t>
  </si>
  <si>
    <t>TJTW-85/2-7</t>
  </si>
  <si>
    <t>TJTW-85/2-8</t>
  </si>
  <si>
    <t>TJTW-85/2-9</t>
  </si>
  <si>
    <t>TJTW-95</t>
  </si>
  <si>
    <t>TJTW-96</t>
  </si>
  <si>
    <t>0.22*792*652  Т3 5.6/2.8</t>
  </si>
  <si>
    <t>Varnished electrogalvanized steel 0.37*31.8*C DR7</t>
  </si>
  <si>
    <t>TJTW-99</t>
  </si>
  <si>
    <t>TJTW-99-2</t>
  </si>
  <si>
    <t>第一批发货剩</t>
  </si>
  <si>
    <t>TJTW-98</t>
  </si>
  <si>
    <t>0.20*865*1070 T3 2.0/2.0</t>
  </si>
  <si>
    <t>0.22*972*712 T3 2.0/2.0</t>
  </si>
  <si>
    <t>0.19*950*C T3 2.0/2.0</t>
  </si>
  <si>
    <t>PT-7-1</t>
  </si>
  <si>
    <t>ETP 0.17*1057*900 DR7.5 СА 2.8/2.8</t>
  </si>
  <si>
    <t>PT-7-2</t>
  </si>
  <si>
    <t>TFS 0.21*868*907 DR8 СА</t>
  </si>
  <si>
    <t>shipped by truck</t>
  </si>
  <si>
    <t>PT-7-2-2</t>
  </si>
  <si>
    <t>PT-7-2-3</t>
  </si>
  <si>
    <t>PT-7-2-4</t>
  </si>
  <si>
    <t>TFS 0.18*1013*931 DR8 СА</t>
  </si>
  <si>
    <t>PT-7-5</t>
  </si>
  <si>
    <t>PT-7-3</t>
  </si>
  <si>
    <t>PT-7-3-2</t>
  </si>
  <si>
    <t>PT-7-9</t>
  </si>
  <si>
    <t>PT-7-4</t>
  </si>
  <si>
    <t>PT-7-6</t>
  </si>
  <si>
    <t>PT-7-7</t>
  </si>
  <si>
    <t>PT-7-8</t>
  </si>
  <si>
    <t>PT-7-10</t>
  </si>
  <si>
    <t>PT-7-11</t>
  </si>
  <si>
    <t>PT-7-12</t>
  </si>
  <si>
    <t>ETP 0.18*1013*931 DR8 СА</t>
  </si>
  <si>
    <t>PT-7-14</t>
  </si>
  <si>
    <t>PT-7-16</t>
  </si>
  <si>
    <t>0.18*1013*931 DR8 СА</t>
  </si>
  <si>
    <t>PT-7-13</t>
  </si>
  <si>
    <t>PT-7-17</t>
  </si>
  <si>
    <t>PT-7</t>
  </si>
  <si>
    <t>PT-7-15</t>
  </si>
  <si>
    <t>TJTW-97-2</t>
  </si>
  <si>
    <t>TJTW-97</t>
  </si>
  <si>
    <t>TJTW-100-1</t>
  </si>
  <si>
    <t>0.18*862*782 Scroll Sheets T5 2.8/2.8</t>
  </si>
  <si>
    <t>0.18*890*807.3 Scroll Sheets T5 2.8/2.8</t>
  </si>
  <si>
    <t>TJTW-100-4</t>
  </si>
  <si>
    <t>0.17*944*795 Sheets T4 2.8/2.8</t>
  </si>
  <si>
    <t>TJTW-100-3</t>
  </si>
  <si>
    <t>0.16*892*808.4 Scroll Sheets T4 2.0/2.0</t>
  </si>
  <si>
    <t>0.20*892*808.4 Scroll Sheets T3 2.8/2.8</t>
  </si>
  <si>
    <t>TJTW-100-2</t>
  </si>
  <si>
    <t>0.15*868*872.4 Scroll Sheets DR9 1.0/1.0</t>
  </si>
  <si>
    <t>TJTW-101</t>
  </si>
  <si>
    <t>INTW-19-1</t>
  </si>
  <si>
    <t>INTW-19-2</t>
  </si>
  <si>
    <t>TJTW-102-1</t>
  </si>
  <si>
    <t>0.16*824*1048 2.0/2.0 DR9</t>
  </si>
  <si>
    <t>TJTW-102-2</t>
  </si>
  <si>
    <t>TJTW-103-2</t>
  </si>
  <si>
    <t>JHL</t>
  </si>
  <si>
    <t>TJTW-103-3</t>
  </si>
  <si>
    <t>TJTW-103-1</t>
  </si>
  <si>
    <t>0.24*1023*957  FF6716-5</t>
  </si>
  <si>
    <t>0.24*1023*957  MN7715-5</t>
  </si>
  <si>
    <t>0.24*1023*957  FF6719-5</t>
  </si>
  <si>
    <t>0.24*1023*957  FF6717-5</t>
  </si>
  <si>
    <t>TJTW-104-2</t>
  </si>
  <si>
    <t>EOE 99.8mm 0.21 #401</t>
  </si>
  <si>
    <t>TJTW-104-1</t>
  </si>
  <si>
    <t>TJTW-105</t>
  </si>
  <si>
    <t>0.30*728*1092 2.0/2.0 T3</t>
  </si>
  <si>
    <t>0.30*770*850 2.0/2.0 T3</t>
  </si>
  <si>
    <t>TJTW-106</t>
  </si>
  <si>
    <t>0.16*875*C DR8.5 2.0/2.0 BA "eye to the side"</t>
  </si>
  <si>
    <t>TJTW-107-2</t>
  </si>
  <si>
    <t>0.15*868*872.4 DR9 1.0/1.0</t>
  </si>
  <si>
    <t>TJTW-107-3</t>
  </si>
  <si>
    <t>TJTW-107-1</t>
  </si>
  <si>
    <t>0.17*944*795  T4 2.8/2.8</t>
  </si>
  <si>
    <t>0.20*892*808.4  T3 2.8/2.8</t>
  </si>
  <si>
    <t>TJTW-109</t>
  </si>
  <si>
    <t>Yiwu</t>
  </si>
  <si>
    <t>TJTW-110</t>
  </si>
  <si>
    <t>TJTW-111</t>
  </si>
  <si>
    <t>EOE 99.8mm 0.21 #401(colored)</t>
  </si>
  <si>
    <t>TJTW-112</t>
  </si>
  <si>
    <t>NBE-11-2(10-8(10-3-5)</t>
  </si>
  <si>
    <t>NBE-11-3</t>
  </si>
  <si>
    <t>NBE-11-1</t>
  </si>
  <si>
    <t>NBE-11-2</t>
  </si>
  <si>
    <t>NBE-11-10</t>
  </si>
  <si>
    <t>NBE-11-14</t>
  </si>
  <si>
    <t>NBE-11-5</t>
  </si>
  <si>
    <t>NBE-11-4(11-8)</t>
  </si>
  <si>
    <t>MAGOL</t>
  </si>
  <si>
    <t>TJTW-113</t>
  </si>
  <si>
    <t>0.16*960*930 DR9 2.0/2.0</t>
  </si>
  <si>
    <t>TJTW-114</t>
  </si>
  <si>
    <t>0.30*770*850 T3 2.0/2.0</t>
  </si>
  <si>
    <t>на складе在库</t>
  </si>
  <si>
    <t>INTW-20</t>
  </si>
  <si>
    <t>TJTW-115-1</t>
  </si>
  <si>
    <t>0.20*963*837.5 1.5/1.5 T3BA</t>
  </si>
  <si>
    <t>0.18*870*946 1.5/1.5 T3BA</t>
  </si>
  <si>
    <t>TJTW-115-2</t>
  </si>
  <si>
    <t>0.20*875*890 1.5/1.5 T3BA</t>
  </si>
  <si>
    <t>0.22*875*975 1.5/1.5 T3BA</t>
  </si>
  <si>
    <t>0.22*870*860 1.5/1.5 T3BA</t>
  </si>
  <si>
    <t>TJTW-115</t>
  </si>
  <si>
    <t>TJTW-115-3</t>
  </si>
  <si>
    <t>TJTW-115-4</t>
  </si>
  <si>
    <t>TJTW-116-1</t>
  </si>
  <si>
    <t>TJTW-116</t>
  </si>
  <si>
    <t>TJTW-117-2</t>
  </si>
  <si>
    <t>TJTW-117</t>
  </si>
  <si>
    <t>TJTW-117-1</t>
  </si>
  <si>
    <t>TJTW-118</t>
  </si>
  <si>
    <t>TJTW-999-1</t>
  </si>
  <si>
    <t>0.19*950*836 2.0/2.0, T3,5 Stone, BA</t>
  </si>
  <si>
    <t>0.19*950*875 2.0/2.0, T3,5 Stone, BA</t>
  </si>
  <si>
    <t>0.22*763*742 2.0/2.0, T3,5 Stone, BA</t>
  </si>
  <si>
    <t>0.22*900*735 2.0/2.0, T3,5 Stone, BA</t>
  </si>
  <si>
    <t>0.22*972*712 2.0/2.0, T3,5 Stone, BA</t>
  </si>
  <si>
    <t>0.22*932*1133 2.0/2.0, T3,5 Stone, BA</t>
  </si>
  <si>
    <t>0.24*870*670 2.0/2.0, T3,5 Stone, BA</t>
  </si>
  <si>
    <t>0.22*972*C 2.0/2.0, T3,5 Stone, BA</t>
  </si>
  <si>
    <t>0.22*950*C 2.0/2.0, T3,5 Stone, BA</t>
  </si>
  <si>
    <t>TJTW-119-2</t>
  </si>
  <si>
    <t>TJTW-119</t>
  </si>
  <si>
    <t>TJTW-119-3</t>
  </si>
  <si>
    <t>TJTW-121</t>
  </si>
  <si>
    <t>TJTW-121-5</t>
  </si>
  <si>
    <t>TJTW-121-3</t>
  </si>
  <si>
    <t>TJTW-121-1</t>
  </si>
  <si>
    <t>TJTW-80-6</t>
  </si>
  <si>
    <t>TJTW-121-6</t>
  </si>
  <si>
    <t>TJTW-121-4</t>
  </si>
  <si>
    <t>0.18*822*764.2 2.8/2.8 T4 BA</t>
  </si>
  <si>
    <t>INTW-21-1</t>
  </si>
  <si>
    <t>INTW-21-2</t>
  </si>
  <si>
    <t>NBE-6</t>
  </si>
  <si>
    <t>Zn-plate Bottom: diameter 268 mm</t>
  </si>
  <si>
    <t>TMBP Bottom: diameter 268 mm</t>
  </si>
  <si>
    <t>Zn-Plate Korona NBE-form: diameter 285mm</t>
  </si>
  <si>
    <t>TMBP Korona NBE-form: diameter 285mm</t>
  </si>
  <si>
    <t>TMBP Korona China-form: diameter 285mm</t>
  </si>
  <si>
    <t>PT-8-1</t>
  </si>
  <si>
    <t>0.15*890*866 DR9 (TS620) 2.8/2.8</t>
  </si>
  <si>
    <t>0.16*785*1033 DR9 (TS620) 2.8/2.8</t>
  </si>
  <si>
    <t>PT-8</t>
  </si>
  <si>
    <t>TJTW-122</t>
  </si>
  <si>
    <t>0.16*892*Coil 2.0/2.0, T4</t>
  </si>
  <si>
    <t>TJTW-122-3</t>
  </si>
  <si>
    <t>TJTW-122-2</t>
  </si>
  <si>
    <t>TJTW-122-1</t>
  </si>
  <si>
    <t>0.17*807*Coil 2.0/2.0, DR 8.5</t>
  </si>
  <si>
    <t>TJTW-123</t>
  </si>
  <si>
    <t>0.18*945*918 2.0/2.0 T4 BA</t>
  </si>
  <si>
    <t>0.24*1023*957 2.0/2.0 T3 BA</t>
  </si>
  <si>
    <t>TJTW-124-1</t>
  </si>
  <si>
    <t>0.17x944x795 Sheets Т4 2.8/2.8 Stone, BA</t>
  </si>
  <si>
    <t>TJTW-124-2</t>
  </si>
  <si>
    <t>0.18x862x782 Scroll Sheets Т5 2.8/2.8 Stone, BA</t>
  </si>
  <si>
    <t>0.18x880x824 Scroll Sheets Т3 2.8/2.8 Stone, BA</t>
  </si>
  <si>
    <t>TJTW-124-3</t>
  </si>
  <si>
    <t>INTW-22</t>
  </si>
  <si>
    <t>TJTW-120</t>
  </si>
  <si>
    <t>Zn-Plate Bottom diam. 268 mm Thikness: 0.35, Inside blank/Outside blank Standart
Packaging</t>
  </si>
  <si>
    <t>Zn-Plate Bottom diam. 268 mm Thikness: 0.35, Inside blank/Outside blank Premium
Packaging</t>
  </si>
  <si>
    <t>TMBP Bottom diam. 268 mm Thikness: 0.35, Inside PET weiss /Outside PET
transparent Standart Packaging</t>
  </si>
  <si>
    <t>TMBP Bottom diam. 268 mm Thikness: 0.35, Inside PET weiss /Outside PETtransparent Premium Packaging</t>
  </si>
  <si>
    <t>Zn-Plate Korona NBE-Form diam. 285 mm Thikness: 0.35,Inside blank/Outside PETwhite Standart Packaging</t>
  </si>
  <si>
    <t>Zn-Plate Korona NBE-Form diam. 285 mm Thikness: 0.35, Inside blank/Outside PET
white Premium Packaging</t>
  </si>
  <si>
    <t>TMBP Korona NBE-Form diam. 285 mm Thikness: 0.35, Inside PET weiss/Outside PET
transparent Standart Packaging</t>
  </si>
  <si>
    <t>TMBP Korona NBE-Form diam. 285 mm Thikness: 0.35, Inside PET weiss/Outside PET
transparent Premium Packaging</t>
  </si>
  <si>
    <t>INTW-23</t>
  </si>
  <si>
    <t>TJTW-125-4</t>
  </si>
  <si>
    <t>0.17*818*913 T4 2.8/2.8   VARNISHED</t>
  </si>
  <si>
    <t>TJTW-121-2</t>
  </si>
  <si>
    <t>TJTW-125-1</t>
  </si>
  <si>
    <t>0.18*900*712 T3 2.8/2.8    VARNISHED</t>
  </si>
  <si>
    <t>TJTW-125-2</t>
  </si>
  <si>
    <t>0.17*905*836.5 T4 2.8/2.8   VARNISHED</t>
  </si>
  <si>
    <t>TJTW-125-3</t>
  </si>
  <si>
    <t>TJTW-125-5</t>
  </si>
  <si>
    <t>TJTW-125</t>
  </si>
  <si>
    <t>0.18*905*669 T4 2.8/2.8</t>
  </si>
  <si>
    <t>TJTW-84</t>
  </si>
  <si>
    <t>99 Peel-off Lids</t>
  </si>
  <si>
    <t>WRD</t>
  </si>
  <si>
    <t>401# SE 0.18</t>
  </si>
  <si>
    <t>NBE-12</t>
  </si>
  <si>
    <t>Лента холоднокатаная оцинкованная 0,55 мм 22,0 м</t>
  </si>
  <si>
    <t>NBE-13-1</t>
  </si>
  <si>
    <t>0,23x905x720 1.5/1.5 T3 with lamination</t>
  </si>
  <si>
    <t>NBE-13-2</t>
  </si>
  <si>
    <t>NBE-13-2(samples</t>
  </si>
  <si>
    <t>0.22*765*1040 2.0/2.0 T3 with lamination</t>
  </si>
  <si>
    <t>TJTW-126</t>
  </si>
  <si>
    <t>TJTW-126-1</t>
  </si>
  <si>
    <t>TJTW-126-2</t>
  </si>
  <si>
    <t>TJTW-127-1</t>
  </si>
  <si>
    <t>0.18x890x807.3 Scroll Sheets Т5 2.8/2.8 Stone, BA</t>
  </si>
  <si>
    <t>TJTW-127-4</t>
  </si>
  <si>
    <t>TJTW-127-2</t>
  </si>
  <si>
    <t>0.18x928x934.7 Scroll Sheets Т3 2.8/2.8 Stone, BA</t>
  </si>
  <si>
    <t>TJTW-127-3</t>
  </si>
  <si>
    <t>0.15x868x872,4 Scroll Sheets DR9 1,0/1,0 Stone, BA</t>
  </si>
  <si>
    <t>TJTW-128</t>
  </si>
  <si>
    <t>TFS EOE 72.9 BPAni FREE 300#</t>
  </si>
  <si>
    <t>TJTW-129</t>
  </si>
  <si>
    <t>TJTW-108</t>
  </si>
  <si>
    <t>Seaming chuck</t>
  </si>
  <si>
    <t>Roller</t>
  </si>
  <si>
    <t>TJTW-130</t>
  </si>
  <si>
    <t>TJTW-131</t>
  </si>
  <si>
    <t>0.19* 850*790 Aluminum sheets</t>
  </si>
  <si>
    <t>SK</t>
  </si>
  <si>
    <t>INTW-24</t>
  </si>
  <si>
    <t>TJTW-132</t>
  </si>
  <si>
    <t>EOE ETP diam.99mm 0.21 T4 2.8/2.8 CA</t>
  </si>
  <si>
    <t>EOE ETP diam.83mm 0.20 T4 2.8/2.8 CA</t>
  </si>
  <si>
    <t>TJTW-133</t>
  </si>
  <si>
    <t>EOE #401, 98.9 mm, 0.21, T4</t>
  </si>
  <si>
    <t>INTW-25-1</t>
  </si>
  <si>
    <t>EOE 99mm ETP T5 Gold/Alum+Gold 0.21</t>
  </si>
  <si>
    <t>INTW-25-2</t>
  </si>
  <si>
    <t>INTW-25-3</t>
  </si>
  <si>
    <t>INTW-25-4</t>
  </si>
  <si>
    <t>TJTW-134</t>
  </si>
  <si>
    <t>TJTW-135-1</t>
  </si>
  <si>
    <t>0.30*1000*665 2.0/2.0 BA TS 275</t>
  </si>
  <si>
    <t>TJTW-135</t>
  </si>
  <si>
    <t>TJTW-136-2</t>
  </si>
  <si>
    <t>0.17*944*795 Sheets Т4 2.8/2.8 Stone, BA</t>
  </si>
  <si>
    <t>LS</t>
  </si>
  <si>
    <t>TJTW-136-1</t>
  </si>
  <si>
    <t>0.18*890*807.3 Scroll Sheets Т5 2.8/2.8 Stone, BA</t>
  </si>
  <si>
    <t>0.18*880*824 Scroll Sheets Т3 2.8/2.8 Stone, BA</t>
  </si>
  <si>
    <t>0.18*928*934.7 Scroll Sheets Т5 2.8/2.8 Stone, BA</t>
  </si>
  <si>
    <t>0.15*868*872.4 Scroll Sheets DR9 1,0/1,0 Stone, BA</t>
  </si>
  <si>
    <t>NBE-15</t>
  </si>
  <si>
    <t>0.23*905*720 1.5/1.5 T3 with lamination</t>
  </si>
  <si>
    <t>NBE-14-9</t>
  </si>
  <si>
    <t>0.24*914*758 1.5/1.5 T2.5 plain</t>
  </si>
  <si>
    <t>NBE-14-5</t>
  </si>
  <si>
    <t>0.23*1040*850 1.5/1.5 T3 plain</t>
  </si>
  <si>
    <t>NBE-14-6</t>
  </si>
  <si>
    <t>NBE-14-12</t>
  </si>
  <si>
    <t>0.22*960*712 1.5/1.5 T3 plain</t>
  </si>
  <si>
    <t>NBE-14-7</t>
  </si>
  <si>
    <t>0.22*765*1040 1.5/1.5 T3 plain</t>
  </si>
  <si>
    <t>NBE-14-8</t>
  </si>
  <si>
    <t>0.30*1100*850 1.5/1.5 T2.5 plain</t>
  </si>
  <si>
    <t>NBE-14-10</t>
  </si>
  <si>
    <t>NBE-14-14(18)</t>
  </si>
  <si>
    <t>NBE-14-11</t>
  </si>
  <si>
    <t>0.22*960*712 1.5/1.5 T3 with lamination</t>
  </si>
  <si>
    <t>0.22*1040*765 1.5/1.5 T3 with lamination</t>
  </si>
  <si>
    <t>0.22*1040*765 1.5/1.5 T3 with lamination(sample)</t>
  </si>
  <si>
    <t>0.23*905*720 1.5/1.5 T3 with lamination(sample)</t>
  </si>
  <si>
    <t>NBE-14</t>
  </si>
  <si>
    <t>NBE-14-13</t>
  </si>
  <si>
    <t>NBE-14-4</t>
  </si>
  <si>
    <t>NBE-14-2</t>
  </si>
  <si>
    <t>NBE-14-3</t>
  </si>
  <si>
    <t>NBE-14-1</t>
  </si>
  <si>
    <t>0.24*914*758 1.5/1.5 T2.5 with lamination</t>
  </si>
  <si>
    <r>
      <rPr>
        <sz val="11"/>
        <color theme="1"/>
        <rFont val="Calibri"/>
        <charset val="134"/>
      </rPr>
      <t>TJTW-75-9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</si>
  <si>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TJTW-75-10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</si>
  <si>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TJTW-80-7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</si>
  <si>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t>TJTW-75-11(NEW)</t>
  </si>
  <si>
    <r>
      <rPr>
        <sz val="11"/>
        <color theme="1"/>
        <rFont val="Calibri"/>
        <charset val="134"/>
      </rPr>
      <t>TJTW-80-8</t>
    </r>
    <r>
      <rPr>
        <sz val="11"/>
        <color theme="1"/>
        <rFont val="宋体"/>
        <charset val="134"/>
      </rPr>
      <t>（NEW）</t>
    </r>
  </si>
  <si>
    <t>TJTW-80-6(new)</t>
  </si>
  <si>
    <t>TJTW-121-4(NEW)</t>
  </si>
  <si>
    <r>
      <rPr>
        <sz val="11"/>
        <color theme="1"/>
        <rFont val="Calibri"/>
        <charset val="134"/>
      </rPr>
      <t>TJTW-121-2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</si>
  <si>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TJTW-121-3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</si>
  <si>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TJTW-125-1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</si>
  <si>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TJTW-125-2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</si>
  <si>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t>TJTW-125-3(NEW)</t>
  </si>
  <si>
    <t>TJTW-137-1</t>
  </si>
  <si>
    <t>0.18*862*782 Scroll Sheets Т5 2.8/2.8 Stone, BA</t>
  </si>
  <si>
    <t>TJTW-137</t>
  </si>
  <si>
    <t>TJTW-137-2</t>
  </si>
  <si>
    <t>0.18*836*906 Scroll Sheets Т3 2.8/2.8 Stone, BA</t>
  </si>
  <si>
    <t>TJTW-138-1</t>
  </si>
  <si>
    <t>Easy open end diam.99.8mm 0.21 T5 CA #401</t>
  </si>
  <si>
    <t>JRD</t>
  </si>
  <si>
    <t>TJTW-138-2</t>
  </si>
  <si>
    <t>TJTW-138</t>
  </si>
  <si>
    <t>TJTW-139</t>
  </si>
  <si>
    <t>SE ETP diam.83.4mm 0.19 2.8/2.8 T5</t>
  </si>
  <si>
    <t>TJTW-140</t>
  </si>
  <si>
    <t>TJTW-140-1</t>
  </si>
  <si>
    <t>TJTW-140-2</t>
  </si>
  <si>
    <t>TJTW-140-4</t>
  </si>
  <si>
    <t>TJTW-140-3</t>
  </si>
  <si>
    <t>0.18*905*836.5 T4 2.8/2.8     VARNISHED</t>
  </si>
  <si>
    <t>0.17*857*730 T4 2.8/2.8 VARNISHED</t>
  </si>
  <si>
    <t>TJTW-140-5</t>
  </si>
  <si>
    <t>张总，天津付</t>
  </si>
  <si>
    <t>TJTW-141</t>
  </si>
  <si>
    <t>TJTW-142-2</t>
  </si>
  <si>
    <t>0.20*735*712 2.0/2.0, TS 290 Stone, BA</t>
  </si>
  <si>
    <t>张总，UAB付</t>
  </si>
  <si>
    <t>0.20*892*712 2.0/2.0, TS 290 Stone, BA</t>
  </si>
  <si>
    <t>TJTW-142-1</t>
  </si>
  <si>
    <t>0.20*865*1070 2.0/2.0, TS 290 Stone, BA</t>
  </si>
  <si>
    <t>TJTW-142</t>
  </si>
  <si>
    <t>0.22*900*735  2.0/2.0, TS 290 Stone, BA</t>
  </si>
  <si>
    <t>TJTW-143</t>
  </si>
  <si>
    <t>TJTW-144-2</t>
  </si>
  <si>
    <t>TJTW-144-5</t>
  </si>
  <si>
    <t>TJTW-144-4</t>
  </si>
  <si>
    <t>TJTW-144-1</t>
  </si>
  <si>
    <t>TJTW-144</t>
  </si>
  <si>
    <t>0.18*936*906.5 Scroll Sheets Т3 2.8/2.8 Stone, BA</t>
  </si>
  <si>
    <t>TJTW-144-3</t>
  </si>
  <si>
    <t>0.16*892*808.4 Scroll Sheets Т4 2.0/2.0 Stone, BA</t>
  </si>
  <si>
    <t>0.20*892*808.4 Scroll Sheets Т3 2.8/2.8 Stone, BA</t>
  </si>
  <si>
    <t>TJTW-145-1</t>
  </si>
  <si>
    <t>TJTW-145-2</t>
  </si>
  <si>
    <t>TJTW-146</t>
  </si>
  <si>
    <t>EOE #401, 99.8 mm, 0.21, T4, ETP</t>
  </si>
  <si>
    <t>TJTW-147</t>
  </si>
  <si>
    <t>TJTW-148</t>
  </si>
  <si>
    <t>INTW-26</t>
  </si>
  <si>
    <t>EOE 99mm ETP T5 GLitografy/Alum 0.21</t>
  </si>
  <si>
    <t>TJTW-149</t>
  </si>
  <si>
    <t>TJTW-149-1</t>
  </si>
  <si>
    <t>TJTW-150</t>
  </si>
  <si>
    <t>TJTW-151</t>
  </si>
  <si>
    <t>TJTW-152-2</t>
  </si>
  <si>
    <t>TJTW-152-1</t>
  </si>
  <si>
    <t>INTW-27-1</t>
  </si>
  <si>
    <t>73mm #300 0.19</t>
  </si>
  <si>
    <t>INTW-27-2</t>
  </si>
  <si>
    <t>INTW-27-3</t>
  </si>
  <si>
    <t>INTW-27-4</t>
  </si>
  <si>
    <t>INTW-28-1</t>
  </si>
  <si>
    <t>99mm 0.20 #401 SE*2</t>
  </si>
  <si>
    <t>INTW-28-2</t>
  </si>
  <si>
    <t>INTW-28-3</t>
  </si>
  <si>
    <t>INTW-28-4</t>
  </si>
  <si>
    <t>INTW-33</t>
  </si>
  <si>
    <t>73mm #300 0.20 T5</t>
  </si>
  <si>
    <t>INTW-30</t>
  </si>
  <si>
    <t>TJTW-153</t>
  </si>
  <si>
    <t>TJTW-154</t>
  </si>
  <si>
    <t>TJTW-155</t>
  </si>
  <si>
    <t>0.17*730*857 T4 2.8/2.8  VARNISHED</t>
  </si>
  <si>
    <t>NBE-16</t>
  </si>
  <si>
    <t>0,22x1040x765 1.5/1.5 T3 with lamination</t>
  </si>
  <si>
    <t>0,22x960x712 1.5/1.5 T3 with lamination</t>
  </si>
  <si>
    <t>NBE-17</t>
  </si>
  <si>
    <t>0,20x972x815  1.5/1.5 T4 with lamination</t>
  </si>
  <si>
    <t>0,18x1040x765  1.5/1.5 T4 with lamination</t>
  </si>
  <si>
    <t>0,18x1040x826  1.5/1.5 T4 with lamination</t>
  </si>
  <si>
    <t>0,18x945x765  1.5/1.5 T4 with lamination</t>
  </si>
  <si>
    <t>0,18x945x838  1.5/1.5 T4 with lamination</t>
  </si>
  <si>
    <t>0,18x928x735  1.5/1.5 T4 with lamination</t>
  </si>
  <si>
    <t>TJTW-156</t>
  </si>
  <si>
    <t>TJTW-157</t>
  </si>
  <si>
    <t>TJTW-158</t>
  </si>
  <si>
    <t>NBE-18</t>
  </si>
  <si>
    <t>0,25x914x758  2.0/2.0 T3 Plain</t>
  </si>
  <si>
    <t>NBE-19</t>
  </si>
  <si>
    <t>0,18x850x735 1.5/1.5 T4 plain</t>
  </si>
  <si>
    <t>0,24x914x758 1.5/1.5 T3 plain</t>
  </si>
  <si>
    <t>0,23x1040x850 1.5/1.5 T3 plain</t>
  </si>
  <si>
    <t>0,22x972x712 1.5/1.5 T4 plain</t>
  </si>
  <si>
    <t>0,22x972x800 1.5/1.5 T4 plain</t>
  </si>
  <si>
    <t>0,20x882x712 1.5/1.5 T4 plain</t>
  </si>
  <si>
    <t>0,20x960x712 1.5/1.5 T4 plain</t>
  </si>
  <si>
    <t>0,30x850x735 1.5/1.5 T3 plain</t>
  </si>
  <si>
    <t>0,30x850x1100 1.5/1.5 T3 plain</t>
  </si>
  <si>
    <t>TJTW-159</t>
  </si>
  <si>
    <t>TJTW-160</t>
  </si>
  <si>
    <t>0.30*790*855 2.0/2.0 TS 275 BA</t>
  </si>
  <si>
    <t>TJTW-161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</si>
</sst>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;@"/>
    <numFmt numFmtId="177" formatCode="#,##0.000_ "/>
    <numFmt numFmtId="178" formatCode="0.0000_ "/>
    <numFmt numFmtId="179" formatCode="#,##0.000"/>
    <numFmt numFmtId="180" formatCode="#,##0.0000"/>
    <numFmt numFmtId="181" formatCode="#,##0_ "/>
    <numFmt numFmtId="182" formatCode="_(* #,##0.00_);_(* \(#,##0.00\);_(* &quot;-&quot;??_);_(@_)"/>
    <numFmt numFmtId="183" formatCode="0.00_ "/>
    <numFmt numFmtId="184" formatCode="0.000_ "/>
    <numFmt numFmtId="185" formatCode="#,##0.00_ "/>
    <numFmt numFmtId="186" formatCode="#,##0.0000_ "/>
    <numFmt numFmtId="187" formatCode="0.00_);[Red]\(0.00\)"/>
    <numFmt numFmtId="188" formatCode="#,##0.00000_ "/>
    <numFmt numFmtId="189" formatCode="yyyy/m/d;@"/>
    <numFmt numFmtId="190" formatCode="\$#,##0.00;\-\$#,##0.00"/>
    <numFmt numFmtId="191" formatCode="0.00000_ "/>
  </numFmts>
  <fonts count="3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204"/>
    </font>
    <font>
      <sz val="11"/>
      <color theme="1"/>
      <name val="宋体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rgb="FF0070C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Calibri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8" applyNumberFormat="0" applyAlignment="0" applyProtection="0">
      <alignment vertical="center"/>
    </xf>
    <xf numFmtId="0" fontId="20" fillId="9" borderId="29" applyNumberFormat="0" applyAlignment="0" applyProtection="0">
      <alignment vertical="center"/>
    </xf>
    <xf numFmtId="0" fontId="21" fillId="9" borderId="28" applyNumberFormat="0" applyAlignment="0" applyProtection="0">
      <alignment vertical="center"/>
    </xf>
    <xf numFmtId="0" fontId="22" fillId="10" borderId="30" applyNumberFormat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</cellStyleXfs>
  <cellXfs count="19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1" xfId="49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49" applyFont="1" applyBorder="1" applyAlignment="1">
      <alignment horizontal="center" vertical="center"/>
    </xf>
    <xf numFmtId="4" fontId="1" fillId="0" borderId="1" xfId="49" applyNumberFormat="1" applyFont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177" fontId="1" fillId="0" borderId="1" xfId="49" applyNumberFormat="1" applyFont="1" applyBorder="1" applyAlignment="1">
      <alignment horizontal="center" vertical="center"/>
    </xf>
    <xf numFmtId="178" fontId="1" fillId="0" borderId="1" xfId="49" applyNumberFormat="1" applyFont="1" applyBorder="1" applyAlignment="1">
      <alignment horizontal="center" vertical="center"/>
    </xf>
    <xf numFmtId="4" fontId="1" fillId="3" borderId="1" xfId="49" applyNumberFormat="1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179" fontId="1" fillId="0" borderId="1" xfId="49" applyNumberFormat="1" applyFont="1" applyBorder="1" applyAlignment="1">
      <alignment horizontal="center" vertical="center"/>
    </xf>
    <xf numFmtId="180" fontId="1" fillId="0" borderId="1" xfId="49" applyNumberFormat="1" applyFont="1" applyBorder="1" applyAlignment="1">
      <alignment horizontal="center" vertical="center"/>
    </xf>
    <xf numFmtId="181" fontId="1" fillId="0" borderId="1" xfId="49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/>
    </xf>
    <xf numFmtId="4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1" fillId="0" borderId="6" xfId="0" applyFont="1" applyBorder="1" applyAlignment="1">
      <alignment horizontal="center" vertical="center"/>
    </xf>
    <xf numFmtId="14" fontId="1" fillId="0" borderId="1" xfId="49" applyNumberFormat="1" applyFont="1" applyBorder="1" applyAlignment="1">
      <alignment horizontal="center" vertical="center"/>
    </xf>
    <xf numFmtId="0" fontId="1" fillId="0" borderId="6" xfId="49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82" fontId="1" fillId="0" borderId="0" xfId="0" applyNumberFormat="1" applyFont="1">
      <alignment vertical="center"/>
    </xf>
    <xf numFmtId="177" fontId="1" fillId="0" borderId="6" xfId="49" applyNumberFormat="1" applyFont="1" applyBorder="1" applyAlignment="1">
      <alignment horizontal="center" vertical="center"/>
    </xf>
    <xf numFmtId="4" fontId="1" fillId="0" borderId="6" xfId="49" applyNumberFormat="1" applyFont="1" applyBorder="1" applyAlignment="1">
      <alignment horizontal="center" vertical="center"/>
    </xf>
    <xf numFmtId="14" fontId="1" fillId="0" borderId="0" xfId="49" applyNumberFormat="1" applyFont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4" fontId="1" fillId="2" borderId="6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 wrapText="1"/>
    </xf>
    <xf numFmtId="4" fontId="6" fillId="0" borderId="1" xfId="49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183" fontId="6" fillId="0" borderId="1" xfId="49" applyNumberFormat="1" applyFont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4" fontId="1" fillId="2" borderId="7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0" fontId="7" fillId="0" borderId="6" xfId="0" applyFont="1" applyBorder="1" applyAlignment="1"/>
    <xf numFmtId="4" fontId="1" fillId="0" borderId="9" xfId="0" applyNumberFormat="1" applyFont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49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7" xfId="49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/>
    <xf numFmtId="18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4" fontId="1" fillId="0" borderId="16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1" fillId="0" borderId="11" xfId="49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10" xfId="49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right" vertical="center"/>
    </xf>
    <xf numFmtId="43" fontId="1" fillId="0" borderId="0" xfId="0" applyNumberFormat="1" applyFont="1">
      <alignment vertical="center"/>
    </xf>
    <xf numFmtId="177" fontId="1" fillId="0" borderId="10" xfId="49" applyNumberFormat="1" applyFont="1" applyBorder="1" applyAlignment="1">
      <alignment horizontal="center" vertical="center"/>
    </xf>
    <xf numFmtId="4" fontId="1" fillId="4" borderId="10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" fontId="10" fillId="3" borderId="10" xfId="0" applyNumberFormat="1" applyFont="1" applyFill="1" applyBorder="1" applyAlignment="1">
      <alignment horizontal="center" vertical="center"/>
    </xf>
    <xf numFmtId="4" fontId="1" fillId="0" borderId="17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3" fontId="1" fillId="0" borderId="17" xfId="0" applyNumberFormat="1" applyFont="1" applyBorder="1">
      <alignment vertical="center"/>
    </xf>
    <xf numFmtId="0" fontId="1" fillId="0" borderId="17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4" fontId="1" fillId="5" borderId="10" xfId="0" applyNumberFormat="1" applyFont="1" applyFill="1" applyBorder="1" applyAlignment="1">
      <alignment horizontal="center" vertical="center"/>
    </xf>
    <xf numFmtId="177" fontId="6" fillId="0" borderId="10" xfId="49" applyNumberFormat="1" applyFont="1" applyBorder="1" applyAlignment="1">
      <alignment horizontal="center" vertical="center"/>
    </xf>
    <xf numFmtId="177" fontId="4" fillId="0" borderId="10" xfId="49" applyNumberFormat="1" applyFont="1" applyBorder="1" applyAlignment="1">
      <alignment horizontal="center" vertical="center"/>
    </xf>
    <xf numFmtId="177" fontId="1" fillId="0" borderId="11" xfId="49" applyNumberFormat="1" applyFont="1" applyBorder="1" applyAlignment="1">
      <alignment horizontal="center" vertical="center"/>
    </xf>
    <xf numFmtId="3" fontId="1" fillId="0" borderId="10" xfId="49" applyNumberFormat="1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0" xfId="49" applyFont="1" applyBorder="1" applyAlignment="1">
      <alignment horizontal="center" vertical="center" wrapText="1"/>
    </xf>
    <xf numFmtId="0" fontId="1" fillId="0" borderId="7" xfId="0" applyFont="1" applyBorder="1">
      <alignment vertical="center"/>
    </xf>
    <xf numFmtId="0" fontId="1" fillId="0" borderId="1" xfId="0" applyFont="1" applyBorder="1">
      <alignment vertical="center"/>
    </xf>
    <xf numFmtId="0" fontId="6" fillId="0" borderId="10" xfId="49" applyFont="1" applyBorder="1" applyAlignment="1">
      <alignment horizontal="center" vertical="center"/>
    </xf>
    <xf numFmtId="0" fontId="1" fillId="0" borderId="7" xfId="49" applyFont="1" applyBorder="1" applyAlignment="1">
      <alignment horizontal="center" vertical="center" wrapText="1"/>
    </xf>
    <xf numFmtId="177" fontId="6" fillId="0" borderId="7" xfId="49" applyNumberFormat="1" applyFont="1" applyBorder="1" applyAlignment="1">
      <alignment horizontal="center" vertical="center"/>
    </xf>
    <xf numFmtId="177" fontId="1" fillId="0" borderId="7" xfId="49" applyNumberFormat="1" applyFont="1" applyBorder="1" applyAlignment="1">
      <alignment horizontal="center" vertical="center"/>
    </xf>
    <xf numFmtId="0" fontId="1" fillId="0" borderId="6" xfId="49" applyFont="1" applyBorder="1" applyAlignment="1">
      <alignment horizontal="center" vertical="center" wrapText="1"/>
    </xf>
    <xf numFmtId="177" fontId="6" fillId="0" borderId="6" xfId="49" applyNumberFormat="1" applyFont="1" applyBorder="1" applyAlignment="1">
      <alignment horizontal="center" vertical="center"/>
    </xf>
    <xf numFmtId="0" fontId="1" fillId="0" borderId="7" xfId="49" applyFont="1" applyBorder="1" applyAlignment="1">
      <alignment horizontal="center" vertical="center"/>
    </xf>
    <xf numFmtId="177" fontId="1" fillId="0" borderId="13" xfId="49" applyNumberFormat="1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8" xfId="0" applyFont="1" applyBorder="1" applyAlignment="1">
      <alignment horizontal="center" vertical="center"/>
    </xf>
    <xf numFmtId="177" fontId="6" fillId="0" borderId="11" xfId="49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7" fontId="1" fillId="0" borderId="16" xfId="49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185" fontId="1" fillId="0" borderId="7" xfId="49" applyNumberFormat="1" applyFont="1" applyBorder="1" applyAlignment="1">
      <alignment horizontal="center" vertical="center"/>
    </xf>
    <xf numFmtId="185" fontId="1" fillId="0" borderId="1" xfId="49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3" xfId="49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4" fontId="1" fillId="4" borderId="13" xfId="0" applyNumberFormat="1" applyFont="1" applyFill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4" fontId="10" fillId="3" borderId="13" xfId="0" applyNumberFormat="1" applyFont="1" applyFill="1" applyBorder="1" applyAlignment="1">
      <alignment horizontal="center" vertical="center"/>
    </xf>
    <xf numFmtId="0" fontId="1" fillId="0" borderId="16" xfId="49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4" fontId="10" fillId="3" borderId="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83" fontId="1" fillId="0" borderId="1" xfId="49" applyNumberFormat="1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2" xfId="0" applyFont="1" applyBorder="1">
      <alignment vertical="center"/>
    </xf>
    <xf numFmtId="177" fontId="6" fillId="0" borderId="1" xfId="49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4" fontId="1" fillId="0" borderId="10" xfId="49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>
      <alignment vertical="center"/>
    </xf>
    <xf numFmtId="186" fontId="1" fillId="0" borderId="1" xfId="49" applyNumberFormat="1" applyFont="1" applyBorder="1" applyAlignment="1">
      <alignment horizontal="center" vertical="center"/>
    </xf>
    <xf numFmtId="181" fontId="1" fillId="0" borderId="7" xfId="49" applyNumberFormat="1" applyFont="1" applyBorder="1" applyAlignment="1">
      <alignment horizontal="center" vertical="center"/>
    </xf>
    <xf numFmtId="186" fontId="1" fillId="0" borderId="7" xfId="49" applyNumberFormat="1" applyFont="1" applyBorder="1" applyAlignment="1">
      <alignment horizontal="center" vertical="center"/>
    </xf>
    <xf numFmtId="4" fontId="1" fillId="6" borderId="1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4" fontId="1" fillId="6" borderId="1" xfId="0" applyNumberFormat="1" applyFont="1" applyFill="1" applyBorder="1" applyAlignment="1">
      <alignment horizontal="center" vertical="center"/>
    </xf>
    <xf numFmtId="177" fontId="4" fillId="0" borderId="7" xfId="49" applyNumberFormat="1" applyFont="1" applyBorder="1" applyAlignment="1">
      <alignment horizontal="center" vertical="center"/>
    </xf>
    <xf numFmtId="187" fontId="1" fillId="0" borderId="7" xfId="0" applyNumberFormat="1" applyFont="1" applyBorder="1" applyAlignment="1">
      <alignment horizontal="center" vertical="center"/>
    </xf>
    <xf numFmtId="4" fontId="1" fillId="4" borderId="1" xfId="0" applyNumberFormat="1" applyFont="1" applyFill="1" applyBorder="1" applyAlignment="1">
      <alignment horizontal="center" vertical="center"/>
    </xf>
    <xf numFmtId="188" fontId="1" fillId="0" borderId="1" xfId="49" applyNumberFormat="1" applyFont="1" applyBorder="1" applyAlignment="1">
      <alignment horizontal="center" vertical="center"/>
    </xf>
    <xf numFmtId="0" fontId="1" fillId="0" borderId="7" xfId="49" applyFont="1" applyBorder="1" applyAlignment="1">
      <alignment horizontal="left" vertical="center"/>
    </xf>
    <xf numFmtId="4" fontId="1" fillId="0" borderId="7" xfId="49" applyNumberFormat="1" applyFont="1" applyBorder="1" applyAlignment="1">
      <alignment horizontal="center" vertical="center"/>
    </xf>
    <xf numFmtId="4" fontId="10" fillId="3" borderId="7" xfId="0" applyNumberFormat="1" applyFont="1" applyFill="1" applyBorder="1" applyAlignment="1">
      <alignment horizontal="center" vertical="center"/>
    </xf>
    <xf numFmtId="176" fontId="1" fillId="0" borderId="7" xfId="49" applyNumberFormat="1" applyFont="1" applyBorder="1" applyAlignment="1">
      <alignment horizontal="center" vertical="center"/>
    </xf>
    <xf numFmtId="0" fontId="1" fillId="0" borderId="1" xfId="49" applyFont="1" applyBorder="1" applyAlignment="1">
      <alignment horizontal="left" vertical="center"/>
    </xf>
    <xf numFmtId="176" fontId="1" fillId="0" borderId="1" xfId="49" applyNumberFormat="1" applyFont="1" applyBorder="1" applyAlignment="1">
      <alignment horizontal="center" vertical="center"/>
    </xf>
    <xf numFmtId="177" fontId="4" fillId="0" borderId="1" xfId="49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89" fontId="1" fillId="0" borderId="1" xfId="0" applyNumberFormat="1" applyFont="1" applyBorder="1" applyAlignment="1">
      <alignment horizontal="center" vertical="center"/>
    </xf>
    <xf numFmtId="185" fontId="4" fillId="0" borderId="1" xfId="49" applyNumberFormat="1" applyFont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190" fontId="1" fillId="0" borderId="1" xfId="49" applyNumberFormat="1" applyFont="1" applyBorder="1" applyAlignment="1">
      <alignment horizontal="center" vertical="center"/>
    </xf>
    <xf numFmtId="190" fontId="1" fillId="0" borderId="1" xfId="0" applyNumberFormat="1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  <xf numFmtId="4" fontId="10" fillId="0" borderId="1" xfId="49" applyNumberFormat="1" applyFont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0" xfId="0" applyNumberFormat="1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9" xfId="49" applyFont="1" applyBorder="1" applyAlignment="1">
      <alignment horizontal="center" vertical="center"/>
    </xf>
    <xf numFmtId="191" fontId="1" fillId="0" borderId="1" xfId="0" applyNumberFormat="1" applyFont="1" applyBorder="1" applyAlignment="1">
      <alignment horizontal="center" vertical="center"/>
    </xf>
    <xf numFmtId="184" fontId="1" fillId="0" borderId="1" xfId="49" applyNumberFormat="1" applyFont="1" applyBorder="1" applyAlignment="1">
      <alignment horizontal="center" vertical="center"/>
    </xf>
    <xf numFmtId="184" fontId="1" fillId="0" borderId="6" xfId="0" applyNumberFormat="1" applyFont="1" applyBorder="1" applyAlignment="1">
      <alignment horizontal="center" vertical="center"/>
    </xf>
    <xf numFmtId="184" fontId="1" fillId="0" borderId="6" xfId="49" applyNumberFormat="1" applyFont="1" applyBorder="1" applyAlignment="1">
      <alignment horizontal="center" vertical="center"/>
    </xf>
    <xf numFmtId="187" fontId="1" fillId="0" borderId="1" xfId="0" applyNumberFormat="1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4" fontId="1" fillId="0" borderId="8" xfId="49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ho\Desktop\Excel%20&#22823;&#34920;&#26684;%20Big%20Exce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7 (2)"/>
      <sheetName val="knife"/>
      <sheetName val="payment"/>
      <sheetName val="Varnish"/>
      <sheetName val="payment1"/>
      <sheetName val="copper payment"/>
    </sheetNames>
    <sheetDataSet>
      <sheetData sheetId="0">
        <row r="360">
          <cell r="AN360">
            <v>540328</v>
          </cell>
          <cell r="AO360">
            <v>0</v>
          </cell>
        </row>
        <row r="518">
          <cell r="E518" t="str">
            <v>0.16*820 2.0/2.0, T4 Stone, BA</v>
          </cell>
        </row>
        <row r="519">
          <cell r="E519" t="str">
            <v>0.16*875 2.0/2.0, DR 8.5 Stone, BA</v>
          </cell>
        </row>
        <row r="651">
          <cell r="V651">
            <v>45955</v>
          </cell>
        </row>
        <row r="655">
          <cell r="V655">
            <v>45969</v>
          </cell>
        </row>
        <row r="657">
          <cell r="V657">
            <v>45968</v>
          </cell>
        </row>
      </sheetData>
      <sheetData sheetId="1"/>
      <sheetData sheetId="2"/>
      <sheetData sheetId="3">
        <row r="84">
          <cell r="Z84">
            <v>-333340.737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854"/>
  <sheetViews>
    <sheetView tabSelected="1" workbookViewId="0">
      <pane ySplit="1" topLeftCell="A780" activePane="bottomLeft" state="frozen"/>
      <selection/>
      <selection pane="bottomLeft" activeCell="G786" sqref="G786"/>
    </sheetView>
  </sheetViews>
  <sheetFormatPr defaultColWidth="8.88333333333333" defaultRowHeight="13.5" customHeight="1"/>
  <cols>
    <col min="1" max="1" width="13" style="1" customWidth="1"/>
    <col min="2" max="2" width="21.25" style="1" customWidth="1"/>
    <col min="3" max="3" width="43.25" style="1" customWidth="1"/>
    <col min="4" max="4" width="10.8833333333333" style="1" customWidth="1"/>
    <col min="5" max="5" width="13" style="1" customWidth="1"/>
    <col min="6" max="6" width="13" style="2" customWidth="1"/>
    <col min="7" max="7" width="13.25" style="2" customWidth="1"/>
    <col min="8" max="8" width="13.1333333333333" style="2" customWidth="1"/>
    <col min="9" max="9" width="13.75" style="3" customWidth="1"/>
    <col min="10" max="10" width="14.3833333333333" style="1" customWidth="1"/>
    <col min="11" max="11" width="6.75" style="1" customWidth="1"/>
    <col min="12" max="12" width="20.8833333333333" style="1" customWidth="1"/>
    <col min="13" max="13" width="16.5" style="4" customWidth="1"/>
    <col min="14" max="14" width="4.38333333333333" style="4" customWidth="1"/>
    <col min="15" max="15" width="13.75" style="4" customWidth="1"/>
    <col min="16" max="16" width="7.5" style="5" customWidth="1"/>
    <col min="17" max="17" width="1.88333333333333" style="4" customWidth="1"/>
    <col min="18" max="18" width="5.63333333333333" style="4" customWidth="1"/>
    <col min="19" max="19" width="9.5" style="5" customWidth="1"/>
    <col min="20" max="20" width="1.63333333333333" style="4" customWidth="1"/>
    <col min="21" max="21" width="10.6333333333333" style="4" customWidth="1"/>
    <col min="22" max="22" width="9.13333333333333" style="4" customWidth="1"/>
    <col min="23" max="23" width="4.63333333333333" style="4" customWidth="1"/>
    <col min="24" max="24" width="6.13333333333333" style="4" customWidth="1"/>
    <col min="25" max="25" width="12.5" style="5" customWidth="1"/>
    <col min="26" max="26" width="1.63333333333333" style="4" customWidth="1"/>
    <col min="27" max="27" width="5.75" style="4" customWidth="1"/>
    <col min="28" max="28" width="8.88333333333333" style="5" customWidth="1"/>
    <col min="29" max="29" width="1.88333333333333" style="4" customWidth="1"/>
    <col min="30" max="30" width="6.88333333333333" style="4" customWidth="1"/>
    <col min="31" max="31" width="9.88333333333333" style="5" customWidth="1"/>
    <col min="32" max="32" width="1.75" style="4" customWidth="1"/>
    <col min="33" max="35" width="8.88333333333333" style="4" customWidth="1"/>
    <col min="36" max="16384" width="8.88333333333333" style="4"/>
  </cols>
  <sheetData>
    <row r="1" s="1" customFormat="1" ht="29.45" customHeight="1" spans="1:34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/>
      <c r="M1" s="12"/>
      <c r="O1" s="13" t="s">
        <v>11</v>
      </c>
      <c r="P1" s="14">
        <v>800</v>
      </c>
      <c r="Q1" s="2"/>
      <c r="R1" s="13" t="s">
        <v>12</v>
      </c>
      <c r="S1" s="15">
        <v>752804.58</v>
      </c>
      <c r="T1" s="2"/>
      <c r="U1" s="16" t="s">
        <v>13</v>
      </c>
      <c r="V1" s="14">
        <v>30446.9203539823</v>
      </c>
      <c r="W1" s="2"/>
      <c r="X1" s="13" t="s">
        <v>14</v>
      </c>
      <c r="Y1" s="14">
        <v>443.06</v>
      </c>
      <c r="Z1" s="2"/>
      <c r="AA1" s="13" t="s">
        <v>15</v>
      </c>
      <c r="AB1" s="14">
        <v>2756671.43</v>
      </c>
      <c r="AC1" s="2"/>
      <c r="AD1" s="13" t="s">
        <v>16</v>
      </c>
      <c r="AE1" s="14">
        <v>2010</v>
      </c>
      <c r="AF1" s="2"/>
      <c r="AG1" s="13" t="s">
        <v>17</v>
      </c>
      <c r="AH1" s="14">
        <f>P1+S1+Y1+AB1+AE1</f>
        <v>3512729.07</v>
      </c>
    </row>
    <row r="2" ht="15" spans="1:34">
      <c r="A2" s="17" t="s">
        <v>18</v>
      </c>
      <c r="B2" s="17" t="s">
        <v>19</v>
      </c>
      <c r="C2" s="17" t="s">
        <v>20</v>
      </c>
      <c r="D2" s="17">
        <v>957600</v>
      </c>
      <c r="E2" s="17">
        <v>0.2524</v>
      </c>
      <c r="F2" s="18">
        <f t="shared" ref="F2:F6" si="0">E2*D2</f>
        <v>241698.24</v>
      </c>
      <c r="G2" s="19">
        <f>154931.2+86767.04</f>
        <v>241698.24</v>
      </c>
      <c r="H2" s="18">
        <f t="shared" ref="H2:H11" si="1">F2-G2</f>
        <v>0</v>
      </c>
      <c r="I2" s="20">
        <v>45807</v>
      </c>
      <c r="J2" s="21" t="s">
        <v>21</v>
      </c>
      <c r="K2" s="22"/>
      <c r="L2" s="17"/>
      <c r="M2" s="1"/>
      <c r="V2" s="4">
        <v>576408</v>
      </c>
      <c r="AH2" s="23"/>
    </row>
    <row r="3" ht="15" spans="1:34">
      <c r="A3" s="17" t="s">
        <v>18</v>
      </c>
      <c r="B3" s="17" t="s">
        <v>22</v>
      </c>
      <c r="C3" s="17" t="s">
        <v>20</v>
      </c>
      <c r="D3" s="17">
        <v>957600</v>
      </c>
      <c r="E3" s="17">
        <v>0.2524</v>
      </c>
      <c r="F3" s="18">
        <f t="shared" si="0"/>
        <v>241698.24</v>
      </c>
      <c r="G3" s="19">
        <f>232698.6+9001.44000000001</f>
        <v>241700.04</v>
      </c>
      <c r="H3" s="18">
        <f>F3-G3+1.8</f>
        <v>1.16415765916145e-11</v>
      </c>
      <c r="I3" s="20">
        <v>45807</v>
      </c>
      <c r="J3" s="21" t="s">
        <v>21</v>
      </c>
      <c r="K3" s="22"/>
      <c r="L3" s="17"/>
      <c r="M3" s="1"/>
    </row>
    <row r="4" ht="15" spans="1:34">
      <c r="A4" s="17" t="s">
        <v>18</v>
      </c>
      <c r="B4" s="17" t="s">
        <v>23</v>
      </c>
      <c r="C4" s="24" t="s">
        <v>24</v>
      </c>
      <c r="D4" s="24">
        <v>933520</v>
      </c>
      <c r="E4" s="17">
        <v>0.244</v>
      </c>
      <c r="F4" s="18">
        <f t="shared" si="0"/>
        <v>227778.88</v>
      </c>
      <c r="G4" s="25">
        <f>152976.6+74802.28</f>
        <v>227778.88</v>
      </c>
      <c r="H4" s="18">
        <f t="shared" si="1"/>
        <v>0</v>
      </c>
      <c r="I4" s="20">
        <v>45807</v>
      </c>
      <c r="J4" s="21" t="s">
        <v>21</v>
      </c>
      <c r="K4" s="22"/>
      <c r="L4" s="17"/>
      <c r="M4" s="1"/>
    </row>
    <row r="5" ht="15" spans="1:34">
      <c r="A5" s="17" t="s">
        <v>18</v>
      </c>
      <c r="B5" s="17" t="s">
        <v>23</v>
      </c>
      <c r="C5" s="24" t="s">
        <v>25</v>
      </c>
      <c r="D5" s="24">
        <v>478800</v>
      </c>
      <c r="E5" s="17">
        <v>0.24</v>
      </c>
      <c r="F5" s="18">
        <f t="shared" si="0"/>
        <v>114912</v>
      </c>
      <c r="G5" s="18">
        <v>114912</v>
      </c>
      <c r="H5" s="18">
        <f t="shared" si="1"/>
        <v>0</v>
      </c>
      <c r="I5" s="20">
        <v>45807</v>
      </c>
      <c r="J5" s="21" t="s">
        <v>21</v>
      </c>
      <c r="K5" s="22"/>
      <c r="L5" s="17"/>
      <c r="M5" s="1"/>
    </row>
    <row r="6" ht="15" spans="1:34">
      <c r="A6" s="17" t="s">
        <v>18</v>
      </c>
      <c r="B6" s="17" t="s">
        <v>23</v>
      </c>
      <c r="C6" s="24" t="s">
        <v>26</v>
      </c>
      <c r="D6" s="24">
        <v>478800</v>
      </c>
      <c r="E6" s="17">
        <v>0.235</v>
      </c>
      <c r="F6" s="18">
        <f t="shared" si="0"/>
        <v>112518</v>
      </c>
      <c r="G6" s="18">
        <v>112518</v>
      </c>
      <c r="H6" s="18">
        <f t="shared" si="1"/>
        <v>0</v>
      </c>
      <c r="I6" s="20">
        <v>45807</v>
      </c>
      <c r="J6" s="21" t="s">
        <v>21</v>
      </c>
      <c r="K6" s="22"/>
      <c r="L6" s="17"/>
      <c r="M6" s="1"/>
    </row>
    <row r="7" ht="15" spans="1:34">
      <c r="A7" s="17" t="s">
        <v>18</v>
      </c>
      <c r="B7" s="17" t="s">
        <v>27</v>
      </c>
      <c r="C7" s="17" t="s">
        <v>28</v>
      </c>
      <c r="D7" s="17">
        <v>436.345</v>
      </c>
      <c r="E7" s="17"/>
      <c r="F7" s="18">
        <v>3603352.86</v>
      </c>
      <c r="G7" s="26">
        <f>4089971.12-486618.26</f>
        <v>3603352.86</v>
      </c>
      <c r="H7" s="18">
        <f t="shared" si="1"/>
        <v>0</v>
      </c>
      <c r="I7" s="20">
        <v>45807</v>
      </c>
      <c r="J7" s="21" t="s">
        <v>21</v>
      </c>
      <c r="K7" s="22"/>
      <c r="L7" s="17"/>
      <c r="M7" s="1"/>
    </row>
    <row r="8" ht="15" spans="1:34">
      <c r="A8" s="17" t="s">
        <v>18</v>
      </c>
      <c r="B8" s="17" t="s">
        <v>29</v>
      </c>
      <c r="C8" s="17" t="s">
        <v>30</v>
      </c>
      <c r="D8" s="17">
        <v>374.036</v>
      </c>
      <c r="E8" s="17"/>
      <c r="F8" s="18">
        <v>2898776.68</v>
      </c>
      <c r="G8" s="18">
        <f>2842096+458.33+56222.35</f>
        <v>2898776.68</v>
      </c>
      <c r="H8" s="18">
        <f t="shared" si="1"/>
        <v>0</v>
      </c>
      <c r="I8" s="20">
        <v>45807</v>
      </c>
      <c r="J8" s="21" t="s">
        <v>21</v>
      </c>
      <c r="K8" s="22"/>
      <c r="L8" s="17"/>
      <c r="M8" s="1"/>
    </row>
    <row r="9" ht="15" spans="1:34">
      <c r="A9" s="17" t="s">
        <v>18</v>
      </c>
      <c r="B9" s="17" t="s">
        <v>31</v>
      </c>
      <c r="C9" s="17" t="s">
        <v>20</v>
      </c>
      <c r="D9" s="17">
        <v>2246000</v>
      </c>
      <c r="E9" s="17">
        <v>0.2344</v>
      </c>
      <c r="F9" s="18">
        <f t="shared" ref="F9:F15" si="2">E9*D9</f>
        <v>526462.4</v>
      </c>
      <c r="G9" s="18">
        <f>521173.68+5288.72</f>
        <v>526462.4</v>
      </c>
      <c r="H9" s="18">
        <f t="shared" si="1"/>
        <v>0</v>
      </c>
      <c r="I9" s="20">
        <v>45807</v>
      </c>
      <c r="J9" s="21" t="s">
        <v>21</v>
      </c>
      <c r="K9" s="22"/>
      <c r="L9" s="17"/>
      <c r="M9" s="1"/>
    </row>
    <row r="10" ht="15" spans="1:34">
      <c r="A10" s="17" t="s">
        <v>18</v>
      </c>
      <c r="B10" s="17" t="s">
        <v>32</v>
      </c>
      <c r="C10" s="17" t="s">
        <v>30</v>
      </c>
      <c r="D10" s="17">
        <v>162.968</v>
      </c>
      <c r="E10" s="17"/>
      <c r="F10" s="18">
        <v>1225563.14</v>
      </c>
      <c r="G10" s="18">
        <f>1359750-134186.86</f>
        <v>1225563.14</v>
      </c>
      <c r="H10" s="18">
        <f t="shared" si="1"/>
        <v>0</v>
      </c>
      <c r="I10" s="20">
        <v>45807</v>
      </c>
      <c r="J10" s="21" t="s">
        <v>21</v>
      </c>
      <c r="K10" s="22"/>
      <c r="L10" s="17"/>
      <c r="M10" s="1"/>
    </row>
    <row r="11" ht="15" spans="1:34">
      <c r="A11" s="17" t="s">
        <v>18</v>
      </c>
      <c r="B11" s="17" t="s">
        <v>33</v>
      </c>
      <c r="C11" s="17" t="s">
        <v>34</v>
      </c>
      <c r="D11" s="17">
        <v>274.657</v>
      </c>
      <c r="E11" s="17">
        <v>6780</v>
      </c>
      <c r="F11" s="18">
        <f t="shared" si="2"/>
        <v>1862174.46</v>
      </c>
      <c r="G11" s="26">
        <f>1124880+737294.46</f>
        <v>1862174.46</v>
      </c>
      <c r="H11" s="18">
        <f t="shared" si="1"/>
        <v>0</v>
      </c>
      <c r="I11" s="20">
        <v>45807</v>
      </c>
      <c r="J11" s="21" t="s">
        <v>21</v>
      </c>
      <c r="K11" s="22"/>
      <c r="L11" s="17"/>
      <c r="M11" s="1"/>
    </row>
    <row r="12" ht="15" spans="1:34">
      <c r="A12" s="17" t="s">
        <v>18</v>
      </c>
      <c r="B12" s="17" t="s">
        <v>35</v>
      </c>
      <c r="C12" s="27" t="s">
        <v>36</v>
      </c>
      <c r="D12" s="28">
        <v>25.164</v>
      </c>
      <c r="E12" s="29">
        <v>6390</v>
      </c>
      <c r="F12" s="18">
        <f t="shared" si="2"/>
        <v>160797.96</v>
      </c>
      <c r="G12" s="30">
        <f>146855.7+313226.43</f>
        <v>460082.13</v>
      </c>
      <c r="H12" s="18">
        <f>SUM(F12:F14)-G12</f>
        <v>0</v>
      </c>
      <c r="I12" s="20">
        <v>45807</v>
      </c>
      <c r="J12" s="21" t="s">
        <v>21</v>
      </c>
      <c r="K12" s="22"/>
      <c r="L12" s="17"/>
      <c r="M12" s="1"/>
    </row>
    <row r="13" ht="15" spans="1:34">
      <c r="A13" s="17" t="s">
        <v>18</v>
      </c>
      <c r="B13" s="17" t="s">
        <v>35</v>
      </c>
      <c r="C13" s="27" t="s">
        <v>37</v>
      </c>
      <c r="D13" s="28">
        <v>25.153</v>
      </c>
      <c r="E13" s="29">
        <v>6330</v>
      </c>
      <c r="F13" s="18">
        <f t="shared" si="2"/>
        <v>159218.49</v>
      </c>
      <c r="G13" s="31"/>
      <c r="H13" s="31"/>
      <c r="I13" s="20">
        <v>45807</v>
      </c>
      <c r="J13" s="21" t="s">
        <v>21</v>
      </c>
      <c r="K13" s="22"/>
      <c r="L13" s="17"/>
      <c r="M13" s="1"/>
    </row>
    <row r="14" ht="15" spans="1:34">
      <c r="A14" s="17" t="s">
        <v>18</v>
      </c>
      <c r="B14" s="17" t="s">
        <v>35</v>
      </c>
      <c r="C14" s="27" t="s">
        <v>38</v>
      </c>
      <c r="D14" s="28">
        <v>22.812</v>
      </c>
      <c r="E14" s="29">
        <v>6140</v>
      </c>
      <c r="F14" s="18">
        <f t="shared" si="2"/>
        <v>140065.68</v>
      </c>
      <c r="G14" s="32"/>
      <c r="H14" s="32"/>
      <c r="I14" s="20">
        <v>45807</v>
      </c>
      <c r="J14" s="21" t="s">
        <v>21</v>
      </c>
      <c r="K14" s="22"/>
      <c r="L14" s="17"/>
      <c r="M14" s="1"/>
    </row>
    <row r="15" ht="15" spans="1:34">
      <c r="A15" s="17" t="s">
        <v>18</v>
      </c>
      <c r="B15" s="17" t="s">
        <v>39</v>
      </c>
      <c r="C15" s="17" t="s">
        <v>20</v>
      </c>
      <c r="D15" s="17">
        <v>2280000</v>
      </c>
      <c r="E15" s="17">
        <v>0.2329</v>
      </c>
      <c r="F15" s="18">
        <f t="shared" si="2"/>
        <v>531012</v>
      </c>
      <c r="G15" s="18">
        <f>510000+21012</f>
        <v>531012</v>
      </c>
      <c r="H15" s="18">
        <f t="shared" ref="H15:H17" si="3">F15-G15</f>
        <v>0</v>
      </c>
      <c r="I15" s="20">
        <v>45807</v>
      </c>
      <c r="J15" s="21" t="s">
        <v>21</v>
      </c>
      <c r="K15" s="22"/>
      <c r="L15" s="17"/>
      <c r="M15" s="1"/>
    </row>
    <row r="16" ht="15" spans="1:34">
      <c r="A16" s="17" t="s">
        <v>18</v>
      </c>
      <c r="B16" s="17" t="s">
        <v>40</v>
      </c>
      <c r="C16" s="17" t="s">
        <v>41</v>
      </c>
      <c r="D16" s="17">
        <v>343.195</v>
      </c>
      <c r="E16" s="17"/>
      <c r="F16" s="18">
        <v>1866214.275</v>
      </c>
      <c r="G16" s="18">
        <f>1000000+866214.275</f>
        <v>1866214.275</v>
      </c>
      <c r="H16" s="18">
        <f t="shared" si="3"/>
        <v>0</v>
      </c>
      <c r="I16" s="20">
        <v>45807</v>
      </c>
      <c r="J16" s="21" t="s">
        <v>21</v>
      </c>
      <c r="K16" s="22"/>
      <c r="L16" s="17"/>
      <c r="M16" s="1"/>
    </row>
    <row r="17" ht="15" spans="1:13">
      <c r="A17" s="17" t="s">
        <v>18</v>
      </c>
      <c r="B17" s="17" t="s">
        <v>42</v>
      </c>
      <c r="C17" s="17" t="s">
        <v>41</v>
      </c>
      <c r="D17" s="17">
        <v>70.53</v>
      </c>
      <c r="E17" s="17">
        <v>6841.1</v>
      </c>
      <c r="F17" s="18">
        <f t="shared" ref="F17:F25" si="4">E17*D17</f>
        <v>482502.783</v>
      </c>
      <c r="G17" s="18">
        <f>321750+160752.783</f>
        <v>482502.783</v>
      </c>
      <c r="H17" s="18">
        <f t="shared" si="3"/>
        <v>0</v>
      </c>
      <c r="I17" s="20">
        <v>45807</v>
      </c>
      <c r="J17" s="21" t="s">
        <v>21</v>
      </c>
      <c r="K17" s="22"/>
      <c r="L17" s="17"/>
      <c r="M17" s="1"/>
    </row>
    <row r="18" ht="15" spans="1:13">
      <c r="A18" s="17" t="s">
        <v>18</v>
      </c>
      <c r="B18" s="17" t="s">
        <v>43</v>
      </c>
      <c r="C18" s="24" t="s">
        <v>44</v>
      </c>
      <c r="D18" s="28">
        <v>744</v>
      </c>
      <c r="E18" s="33">
        <v>26.305</v>
      </c>
      <c r="F18" s="18">
        <f t="shared" si="4"/>
        <v>19570.92</v>
      </c>
      <c r="G18" s="18">
        <f>26147.17</f>
        <v>26147.17</v>
      </c>
      <c r="H18" s="18">
        <f>SUM(F18:F19)-G18</f>
        <v>0</v>
      </c>
      <c r="I18" s="20">
        <v>45807</v>
      </c>
      <c r="J18" s="21" t="s">
        <v>21</v>
      </c>
      <c r="K18" s="22"/>
      <c r="L18" s="17"/>
      <c r="M18" s="1"/>
    </row>
    <row r="19" ht="15" spans="1:13">
      <c r="A19" s="17" t="s">
        <v>18</v>
      </c>
      <c r="B19" s="17" t="s">
        <v>43</v>
      </c>
      <c r="C19" s="24" t="s">
        <v>45</v>
      </c>
      <c r="D19" s="28">
        <v>250</v>
      </c>
      <c r="E19" s="33">
        <v>26.305</v>
      </c>
      <c r="F19" s="18">
        <f t="shared" si="4"/>
        <v>6576.25</v>
      </c>
      <c r="G19" s="32"/>
      <c r="H19" s="32"/>
      <c r="I19" s="20">
        <v>45807</v>
      </c>
      <c r="J19" s="21" t="s">
        <v>21</v>
      </c>
      <c r="K19" s="22"/>
      <c r="L19" s="17"/>
      <c r="M19" s="1"/>
    </row>
    <row r="20" ht="15" spans="1:13">
      <c r="A20" s="17" t="s">
        <v>18</v>
      </c>
      <c r="B20" s="17" t="s">
        <v>46</v>
      </c>
      <c r="C20" s="17" t="s">
        <v>47</v>
      </c>
      <c r="D20" s="17">
        <v>156.698</v>
      </c>
      <c r="E20" s="17">
        <v>6320</v>
      </c>
      <c r="F20" s="18">
        <f t="shared" si="4"/>
        <v>990331.36</v>
      </c>
      <c r="G20" s="18">
        <f>980000+10331.3600000001</f>
        <v>990331.36</v>
      </c>
      <c r="H20" s="18">
        <f t="shared" ref="H20:H23" si="5">F20-G20</f>
        <v>0</v>
      </c>
      <c r="I20" s="20">
        <v>45807</v>
      </c>
      <c r="J20" s="21" t="s">
        <v>21</v>
      </c>
      <c r="K20" s="22"/>
      <c r="L20" s="17"/>
      <c r="M20" s="1"/>
    </row>
    <row r="21" ht="15" spans="1:13">
      <c r="A21" s="17" t="s">
        <v>18</v>
      </c>
      <c r="B21" s="17" t="s">
        <v>48</v>
      </c>
      <c r="C21" s="17" t="s">
        <v>49</v>
      </c>
      <c r="D21" s="17">
        <v>41.339</v>
      </c>
      <c r="E21" s="17">
        <v>6350</v>
      </c>
      <c r="F21" s="18">
        <f t="shared" si="4"/>
        <v>262502.65</v>
      </c>
      <c r="G21" s="26">
        <f>99000+63216.31+100286.34</f>
        <v>262502.65</v>
      </c>
      <c r="H21" s="18">
        <f t="shared" si="5"/>
        <v>0</v>
      </c>
      <c r="I21" s="20">
        <v>45807</v>
      </c>
      <c r="J21" s="21" t="s">
        <v>21</v>
      </c>
      <c r="K21" s="22"/>
      <c r="L21" s="17"/>
      <c r="M21" s="1"/>
    </row>
    <row r="22" ht="15" spans="1:13">
      <c r="A22" s="17" t="s">
        <v>18</v>
      </c>
      <c r="B22" s="17" t="s">
        <v>50</v>
      </c>
      <c r="C22" s="17" t="s">
        <v>20</v>
      </c>
      <c r="D22" s="17">
        <v>2275275</v>
      </c>
      <c r="E22" s="34">
        <v>0.2334</v>
      </c>
      <c r="F22" s="18">
        <f t="shared" si="4"/>
        <v>531049.185</v>
      </c>
      <c r="G22" s="18">
        <f>500000+31049.185</f>
        <v>531049.185</v>
      </c>
      <c r="H22" s="18">
        <f t="shared" si="5"/>
        <v>0</v>
      </c>
      <c r="I22" s="20">
        <v>45807</v>
      </c>
      <c r="J22" s="21" t="s">
        <v>21</v>
      </c>
      <c r="K22" s="22"/>
      <c r="L22" s="17"/>
      <c r="M22" s="1"/>
    </row>
    <row r="23" ht="15" spans="1:13">
      <c r="A23" s="17" t="s">
        <v>18</v>
      </c>
      <c r="B23" s="17" t="s">
        <v>51</v>
      </c>
      <c r="C23" s="24" t="s">
        <v>52</v>
      </c>
      <c r="D23" s="17">
        <v>264.507</v>
      </c>
      <c r="E23" s="17">
        <v>6160</v>
      </c>
      <c r="F23" s="18">
        <f t="shared" si="4"/>
        <v>1629363.12</v>
      </c>
      <c r="G23" s="18">
        <f>1688400-59036.8799999999</f>
        <v>1629363.12</v>
      </c>
      <c r="H23" s="18">
        <f t="shared" si="5"/>
        <v>0</v>
      </c>
      <c r="I23" s="20">
        <v>45807</v>
      </c>
      <c r="J23" s="21" t="s">
        <v>21</v>
      </c>
      <c r="K23" s="22"/>
      <c r="L23" s="17"/>
      <c r="M23" s="1"/>
    </row>
    <row r="24" ht="15" spans="1:13">
      <c r="A24" s="17" t="s">
        <v>18</v>
      </c>
      <c r="B24" s="17" t="s">
        <v>53</v>
      </c>
      <c r="C24" s="17" t="s">
        <v>54</v>
      </c>
      <c r="D24" s="17">
        <v>42.337</v>
      </c>
      <c r="E24" s="17">
        <v>5892</v>
      </c>
      <c r="F24" s="18">
        <f t="shared" si="4"/>
        <v>249449.604</v>
      </c>
      <c r="G24" s="18">
        <f>547057-17480.4519999999</f>
        <v>529576.548</v>
      </c>
      <c r="H24" s="18">
        <f>SUM(F24:F25)-G24</f>
        <v>0</v>
      </c>
      <c r="I24" s="20">
        <v>45807</v>
      </c>
      <c r="J24" s="21" t="s">
        <v>21</v>
      </c>
      <c r="K24" s="22"/>
      <c r="L24" s="17"/>
      <c r="M24" s="1"/>
    </row>
    <row r="25" ht="15" spans="1:13">
      <c r="A25" s="17" t="s">
        <v>18</v>
      </c>
      <c r="B25" s="17" t="s">
        <v>53</v>
      </c>
      <c r="C25" s="17" t="s">
        <v>55</v>
      </c>
      <c r="D25" s="17">
        <v>44.592</v>
      </c>
      <c r="E25" s="17">
        <v>6282</v>
      </c>
      <c r="F25" s="18">
        <f t="shared" si="4"/>
        <v>280126.944</v>
      </c>
      <c r="G25" s="32"/>
      <c r="H25" s="32"/>
      <c r="I25" s="20">
        <v>45807</v>
      </c>
      <c r="J25" s="21" t="s">
        <v>21</v>
      </c>
      <c r="K25" s="22"/>
      <c r="L25" s="17"/>
      <c r="M25" s="1"/>
    </row>
    <row r="26" ht="15" spans="1:13">
      <c r="A26" s="17" t="s">
        <v>18</v>
      </c>
      <c r="B26" s="17" t="s">
        <v>56</v>
      </c>
      <c r="C26" s="17" t="s">
        <v>30</v>
      </c>
      <c r="D26" s="17">
        <v>339.295</v>
      </c>
      <c r="E26" s="17"/>
      <c r="F26" s="18">
        <v>2337593.35</v>
      </c>
      <c r="G26" s="18">
        <f>2875989-538395.65</f>
        <v>2337593.35</v>
      </c>
      <c r="H26" s="18">
        <f t="shared" ref="H26:H29" si="6">F26-G26</f>
        <v>0</v>
      </c>
      <c r="I26" s="20">
        <v>45807</v>
      </c>
      <c r="J26" s="21" t="s">
        <v>21</v>
      </c>
      <c r="K26" s="22"/>
      <c r="L26" s="17"/>
      <c r="M26" s="1"/>
    </row>
    <row r="27" ht="15" spans="1:13">
      <c r="A27" s="17" t="s">
        <v>18</v>
      </c>
      <c r="B27" s="17" t="s">
        <v>57</v>
      </c>
      <c r="C27" s="17" t="s">
        <v>58</v>
      </c>
      <c r="D27" s="17">
        <v>2280000</v>
      </c>
      <c r="E27" s="17">
        <v>0.2329</v>
      </c>
      <c r="F27" s="18">
        <f t="shared" ref="F27:F70" si="7">E27*D27</f>
        <v>531012</v>
      </c>
      <c r="G27" s="18">
        <f>701780-170768</f>
        <v>531012</v>
      </c>
      <c r="H27" s="18">
        <f t="shared" si="6"/>
        <v>0</v>
      </c>
      <c r="I27" s="20">
        <v>45807</v>
      </c>
      <c r="J27" s="21" t="s">
        <v>21</v>
      </c>
      <c r="K27" s="22"/>
      <c r="L27" s="17"/>
      <c r="M27" s="1"/>
    </row>
    <row r="28" ht="15" spans="1:13">
      <c r="A28" s="17" t="s">
        <v>18</v>
      </c>
      <c r="B28" s="17" t="s">
        <v>59</v>
      </c>
      <c r="C28" s="17" t="s">
        <v>20</v>
      </c>
      <c r="D28" s="35">
        <v>2097600</v>
      </c>
      <c r="E28" s="17">
        <v>0.23</v>
      </c>
      <c r="F28" s="18">
        <f t="shared" si="7"/>
        <v>482448</v>
      </c>
      <c r="G28" s="18">
        <f>499960-17512</f>
        <v>482448</v>
      </c>
      <c r="H28" s="18">
        <f t="shared" si="6"/>
        <v>0</v>
      </c>
      <c r="I28" s="20">
        <v>45807</v>
      </c>
      <c r="J28" s="21" t="s">
        <v>21</v>
      </c>
      <c r="K28" s="22"/>
      <c r="L28" s="17"/>
      <c r="M28" s="1"/>
    </row>
    <row r="29" ht="15" spans="1:13">
      <c r="A29" s="17" t="s">
        <v>18</v>
      </c>
      <c r="B29" s="17" t="s">
        <v>60</v>
      </c>
      <c r="C29" s="17" t="s">
        <v>61</v>
      </c>
      <c r="D29" s="17">
        <v>934800</v>
      </c>
      <c r="E29" s="17">
        <v>0.367</v>
      </c>
      <c r="F29" s="18">
        <f t="shared" si="7"/>
        <v>343071.6</v>
      </c>
      <c r="G29" s="18">
        <f>120000+247000-23928.4</f>
        <v>343071.6</v>
      </c>
      <c r="H29" s="18">
        <f t="shared" si="6"/>
        <v>0</v>
      </c>
      <c r="I29" s="20">
        <v>45971</v>
      </c>
      <c r="J29" s="21"/>
      <c r="K29" s="22"/>
      <c r="L29" s="17"/>
      <c r="M29" s="1"/>
    </row>
    <row r="30" ht="15" spans="1:13">
      <c r="A30" s="17" t="s">
        <v>18</v>
      </c>
      <c r="B30" s="17" t="s">
        <v>62</v>
      </c>
      <c r="C30" s="17" t="s">
        <v>63</v>
      </c>
      <c r="D30" s="17">
        <v>83.654</v>
      </c>
      <c r="E30" s="17">
        <v>6650</v>
      </c>
      <c r="F30" s="18">
        <f t="shared" si="7"/>
        <v>556299.1</v>
      </c>
      <c r="G30" s="18">
        <f>661150-11759.4</f>
        <v>649390.6</v>
      </c>
      <c r="H30" s="18">
        <f>SUM(F30:F31)-G30</f>
        <v>0</v>
      </c>
      <c r="I30" s="20">
        <v>45807</v>
      </c>
      <c r="J30" s="21" t="s">
        <v>21</v>
      </c>
      <c r="K30" s="22"/>
      <c r="L30" s="17"/>
      <c r="M30" s="1"/>
    </row>
    <row r="31" ht="15" spans="1:13">
      <c r="A31" s="17" t="s">
        <v>18</v>
      </c>
      <c r="B31" s="17" t="s">
        <v>62</v>
      </c>
      <c r="C31" s="17" t="s">
        <v>64</v>
      </c>
      <c r="D31" s="17">
        <v>13.59</v>
      </c>
      <c r="E31" s="17">
        <v>6850</v>
      </c>
      <c r="F31" s="18">
        <f t="shared" si="7"/>
        <v>93091.5</v>
      </c>
      <c r="G31" s="32"/>
      <c r="H31" s="32"/>
      <c r="I31" s="20">
        <v>45807</v>
      </c>
      <c r="J31" s="21" t="s">
        <v>21</v>
      </c>
      <c r="K31" s="22"/>
      <c r="L31" s="17"/>
      <c r="M31" s="1"/>
    </row>
    <row r="32" ht="15" spans="1:13">
      <c r="A32" s="17" t="s">
        <v>18</v>
      </c>
      <c r="B32" s="17" t="s">
        <v>65</v>
      </c>
      <c r="C32" s="17" t="s">
        <v>66</v>
      </c>
      <c r="D32" s="17">
        <v>136.35</v>
      </c>
      <c r="E32" s="17">
        <v>6570</v>
      </c>
      <c r="F32" s="18">
        <f t="shared" si="7"/>
        <v>895819.5</v>
      </c>
      <c r="G32" s="18">
        <f>2334554.25+134259.95</f>
        <v>2468814.2</v>
      </c>
      <c r="H32" s="18">
        <f>(SUM(F32:F38))-G32</f>
        <v>0</v>
      </c>
      <c r="I32" s="20">
        <v>45807</v>
      </c>
      <c r="J32" s="21" t="s">
        <v>21</v>
      </c>
      <c r="K32" s="22"/>
      <c r="L32" s="17"/>
      <c r="M32" s="1"/>
    </row>
    <row r="33" ht="15" spans="1:16">
      <c r="A33" s="17" t="s">
        <v>18</v>
      </c>
      <c r="B33" s="17" t="s">
        <v>67</v>
      </c>
      <c r="C33" s="17" t="s">
        <v>66</v>
      </c>
      <c r="D33" s="17">
        <v>7.575</v>
      </c>
      <c r="E33" s="17">
        <v>6640</v>
      </c>
      <c r="F33" s="18">
        <f t="shared" si="7"/>
        <v>50298</v>
      </c>
      <c r="G33" s="31"/>
      <c r="H33" s="31"/>
      <c r="I33" s="20">
        <v>45807</v>
      </c>
      <c r="J33" s="21" t="s">
        <v>21</v>
      </c>
      <c r="K33" s="22"/>
      <c r="L33" s="17"/>
      <c r="M33" s="1"/>
    </row>
    <row r="34" ht="15" spans="1:16">
      <c r="A34" s="17" t="s">
        <v>18</v>
      </c>
      <c r="B34" s="17" t="s">
        <v>67</v>
      </c>
      <c r="C34" s="17" t="s">
        <v>68</v>
      </c>
      <c r="D34" s="17">
        <v>54.339</v>
      </c>
      <c r="E34" s="17">
        <v>6640</v>
      </c>
      <c r="F34" s="18">
        <f t="shared" si="7"/>
        <v>360810.96</v>
      </c>
      <c r="G34" s="31"/>
      <c r="H34" s="31"/>
      <c r="I34" s="20">
        <v>45807</v>
      </c>
      <c r="J34" s="21" t="s">
        <v>21</v>
      </c>
      <c r="K34" s="22"/>
      <c r="L34" s="17"/>
      <c r="M34" s="1"/>
    </row>
    <row r="35" ht="15" spans="1:16">
      <c r="A35" s="17" t="s">
        <v>18</v>
      </c>
      <c r="B35" s="17" t="s">
        <v>67</v>
      </c>
      <c r="C35" s="17" t="s">
        <v>69</v>
      </c>
      <c r="D35" s="17">
        <v>43.501</v>
      </c>
      <c r="E35" s="17">
        <v>6790</v>
      </c>
      <c r="F35" s="18">
        <f t="shared" si="7"/>
        <v>295371.79</v>
      </c>
      <c r="G35" s="31"/>
      <c r="H35" s="31"/>
      <c r="I35" s="20">
        <v>45807</v>
      </c>
      <c r="J35" s="21" t="s">
        <v>21</v>
      </c>
      <c r="K35" s="22"/>
      <c r="L35" s="17"/>
      <c r="M35" s="1"/>
    </row>
    <row r="36" ht="15" spans="1:16">
      <c r="A36" s="17" t="s">
        <v>18</v>
      </c>
      <c r="B36" s="17" t="s">
        <v>70</v>
      </c>
      <c r="C36" s="17" t="s">
        <v>69</v>
      </c>
      <c r="D36" s="17">
        <v>54.54</v>
      </c>
      <c r="E36" s="17">
        <v>6790</v>
      </c>
      <c r="F36" s="18">
        <f t="shared" si="7"/>
        <v>370326.6</v>
      </c>
      <c r="G36" s="31"/>
      <c r="H36" s="31"/>
      <c r="I36" s="20">
        <v>45807</v>
      </c>
      <c r="J36" s="21" t="s">
        <v>21</v>
      </c>
      <c r="K36" s="22"/>
      <c r="L36" s="17"/>
      <c r="M36" s="1"/>
    </row>
    <row r="37" ht="15" spans="1:16">
      <c r="A37" s="17" t="s">
        <v>18</v>
      </c>
      <c r="B37" s="36" t="s">
        <v>71</v>
      </c>
      <c r="C37" s="17" t="s">
        <v>69</v>
      </c>
      <c r="D37" s="17">
        <v>9.047</v>
      </c>
      <c r="E37" s="17">
        <v>7000</v>
      </c>
      <c r="F37" s="18">
        <f t="shared" si="7"/>
        <v>63329</v>
      </c>
      <c r="G37" s="31"/>
      <c r="H37" s="31"/>
      <c r="I37" s="20">
        <v>45807</v>
      </c>
      <c r="J37" s="21" t="s">
        <v>21</v>
      </c>
      <c r="K37" s="22"/>
      <c r="L37" s="17"/>
      <c r="M37" s="1"/>
    </row>
    <row r="38" ht="15" spans="1:16">
      <c r="A38" s="17" t="s">
        <v>18</v>
      </c>
      <c r="B38" s="36" t="s">
        <v>71</v>
      </c>
      <c r="C38" s="17" t="s">
        <v>72</v>
      </c>
      <c r="D38" s="17">
        <v>63.191</v>
      </c>
      <c r="E38" s="17">
        <v>6850</v>
      </c>
      <c r="F38" s="18">
        <f t="shared" si="7"/>
        <v>432858.35</v>
      </c>
      <c r="G38" s="32"/>
      <c r="H38" s="32"/>
      <c r="I38" s="20">
        <v>45807</v>
      </c>
      <c r="J38" s="21" t="s">
        <v>21</v>
      </c>
      <c r="K38" s="22"/>
      <c r="L38" s="17"/>
      <c r="M38" s="1"/>
    </row>
    <row r="39" ht="15" spans="1:16">
      <c r="A39" s="17" t="s">
        <v>18</v>
      </c>
      <c r="B39" s="17" t="s">
        <v>73</v>
      </c>
      <c r="C39" s="17" t="s">
        <v>74</v>
      </c>
      <c r="D39" s="17">
        <v>13.806</v>
      </c>
      <c r="E39" s="17">
        <v>6330</v>
      </c>
      <c r="F39" s="18">
        <f t="shared" si="7"/>
        <v>87391.98</v>
      </c>
      <c r="G39" s="18">
        <v>87391.98</v>
      </c>
      <c r="H39" s="18">
        <f t="shared" ref="H39:H44" si="8">F39-G39</f>
        <v>0</v>
      </c>
      <c r="I39" s="20">
        <v>45807</v>
      </c>
      <c r="J39" s="21" t="s">
        <v>21</v>
      </c>
      <c r="K39" s="22"/>
      <c r="L39" s="17"/>
      <c r="M39" s="1"/>
    </row>
    <row r="40" ht="15" spans="1:16">
      <c r="A40" s="17" t="s">
        <v>18</v>
      </c>
      <c r="B40" s="17" t="s">
        <v>75</v>
      </c>
      <c r="C40" s="17" t="s">
        <v>76</v>
      </c>
      <c r="D40" s="17">
        <v>2097600</v>
      </c>
      <c r="E40" s="17">
        <v>0.23</v>
      </c>
      <c r="F40" s="18">
        <f t="shared" si="7"/>
        <v>482448</v>
      </c>
      <c r="G40" s="18">
        <f>476364.96+6083.04</f>
        <v>482448</v>
      </c>
      <c r="H40" s="18">
        <f t="shared" si="8"/>
        <v>0</v>
      </c>
      <c r="I40" s="20">
        <v>45807</v>
      </c>
      <c r="J40" s="21" t="s">
        <v>21</v>
      </c>
      <c r="K40" s="22"/>
      <c r="L40" s="17"/>
      <c r="M40" s="1"/>
    </row>
    <row r="41" ht="15" spans="1:16">
      <c r="A41" s="17" t="s">
        <v>18</v>
      </c>
      <c r="B41" s="17" t="s">
        <v>77</v>
      </c>
      <c r="C41" s="17" t="s">
        <v>78</v>
      </c>
      <c r="D41" s="17">
        <v>58.443</v>
      </c>
      <c r="E41" s="17">
        <v>6750</v>
      </c>
      <c r="F41" s="18">
        <f t="shared" si="7"/>
        <v>394490.25</v>
      </c>
      <c r="G41" s="18">
        <f>770000+29767</f>
        <v>799767</v>
      </c>
      <c r="H41" s="18">
        <f>SUM(F41:F43)-G41</f>
        <v>0</v>
      </c>
      <c r="I41" s="20">
        <v>45807</v>
      </c>
      <c r="J41" s="21" t="s">
        <v>21</v>
      </c>
      <c r="K41" s="22"/>
      <c r="L41" s="17"/>
      <c r="M41" s="1"/>
    </row>
    <row r="42" ht="15" spans="1:16">
      <c r="A42" s="17" t="s">
        <v>18</v>
      </c>
      <c r="B42" s="17" t="s">
        <v>77</v>
      </c>
      <c r="C42" s="17" t="s">
        <v>79</v>
      </c>
      <c r="D42" s="17">
        <v>53.981</v>
      </c>
      <c r="E42" s="17">
        <v>6750</v>
      </c>
      <c r="F42" s="18">
        <f t="shared" si="7"/>
        <v>364371.75</v>
      </c>
      <c r="G42" s="31"/>
      <c r="H42" s="31"/>
      <c r="I42" s="20">
        <v>45807</v>
      </c>
      <c r="J42" s="21" t="s">
        <v>21</v>
      </c>
      <c r="K42" s="22"/>
      <c r="L42" s="17"/>
      <c r="M42" s="1"/>
    </row>
    <row r="43" ht="15" spans="1:16">
      <c r="A43" s="17" t="s">
        <v>18</v>
      </c>
      <c r="B43" s="17" t="s">
        <v>80</v>
      </c>
      <c r="C43" s="17" t="s">
        <v>79</v>
      </c>
      <c r="D43" s="17">
        <v>6.06</v>
      </c>
      <c r="E43" s="17">
        <v>6750</v>
      </c>
      <c r="F43" s="18">
        <f t="shared" si="7"/>
        <v>40905</v>
      </c>
      <c r="G43" s="32"/>
      <c r="H43" s="32"/>
      <c r="I43" s="20">
        <v>45807</v>
      </c>
      <c r="J43" s="21" t="s">
        <v>21</v>
      </c>
      <c r="K43" s="22"/>
      <c r="L43" s="17"/>
      <c r="M43" s="1"/>
    </row>
    <row r="44" ht="15" spans="1:16">
      <c r="A44" s="17" t="s">
        <v>18</v>
      </c>
      <c r="B44" s="17" t="s">
        <v>81</v>
      </c>
      <c r="C44" s="17" t="s">
        <v>82</v>
      </c>
      <c r="D44" s="17">
        <v>27.104</v>
      </c>
      <c r="E44" s="17">
        <v>6800</v>
      </c>
      <c r="F44" s="18">
        <f t="shared" si="7"/>
        <v>184307.2</v>
      </c>
      <c r="G44" s="37">
        <f>182952+1355.2</f>
        <v>184307.2</v>
      </c>
      <c r="H44" s="37">
        <f t="shared" si="8"/>
        <v>0</v>
      </c>
      <c r="I44" s="20">
        <v>45807</v>
      </c>
      <c r="J44" s="21" t="s">
        <v>21</v>
      </c>
      <c r="K44" s="22"/>
      <c r="L44" s="17"/>
      <c r="M44" s="1"/>
      <c r="O44" s="38"/>
      <c r="P44" s="39"/>
    </row>
    <row r="45" ht="15" spans="1:16">
      <c r="A45" s="17" t="s">
        <v>18</v>
      </c>
      <c r="B45" s="17" t="s">
        <v>83</v>
      </c>
      <c r="C45" s="17" t="s">
        <v>84</v>
      </c>
      <c r="D45" s="17">
        <v>2320000</v>
      </c>
      <c r="E45" s="17">
        <v>0.2329</v>
      </c>
      <c r="F45" s="18">
        <f t="shared" si="7"/>
        <v>540328</v>
      </c>
      <c r="G45" s="18">
        <f>'[1]Sheet7 (2)'!AN360</f>
        <v>540328</v>
      </c>
      <c r="H45" s="18">
        <f>'[1]Sheet7 (2)'!AO360</f>
        <v>0</v>
      </c>
      <c r="I45" s="20">
        <v>45836</v>
      </c>
      <c r="J45" s="21" t="s">
        <v>21</v>
      </c>
      <c r="K45" s="22"/>
      <c r="L45" s="17"/>
      <c r="M45" s="1"/>
      <c r="O45" s="38">
        <f>H45</f>
        <v>0</v>
      </c>
      <c r="P45" s="39">
        <v>0.9</v>
      </c>
    </row>
    <row r="46" ht="15" spans="1:16">
      <c r="A46" s="17" t="s">
        <v>18</v>
      </c>
      <c r="B46" s="17" t="s">
        <v>85</v>
      </c>
      <c r="C46" s="24" t="s">
        <v>47</v>
      </c>
      <c r="D46" s="24">
        <v>109.252</v>
      </c>
      <c r="E46" s="28">
        <v>6380</v>
      </c>
      <c r="F46" s="18">
        <f t="shared" si="7"/>
        <v>697027.76</v>
      </c>
      <c r="G46" s="18">
        <f>F46</f>
        <v>697027.76</v>
      </c>
      <c r="H46" s="18">
        <f t="shared" ref="H46:H109" si="9">F46-G46</f>
        <v>0</v>
      </c>
      <c r="I46" s="20">
        <v>45823</v>
      </c>
      <c r="J46" s="21" t="s">
        <v>21</v>
      </c>
      <c r="K46" s="22"/>
      <c r="L46" s="17"/>
      <c r="M46" s="1"/>
    </row>
    <row r="47" ht="15" spans="1:16">
      <c r="A47" s="17" t="s">
        <v>18</v>
      </c>
      <c r="B47" s="17" t="s">
        <v>85</v>
      </c>
      <c r="C47" s="24" t="s">
        <v>86</v>
      </c>
      <c r="D47" s="24">
        <v>25.515</v>
      </c>
      <c r="E47" s="28">
        <v>6480</v>
      </c>
      <c r="F47" s="18">
        <f t="shared" si="7"/>
        <v>165337.2</v>
      </c>
      <c r="G47" s="18">
        <f>F47</f>
        <v>165337.2</v>
      </c>
      <c r="H47" s="18">
        <f t="shared" si="9"/>
        <v>0</v>
      </c>
      <c r="I47" s="20">
        <v>45818</v>
      </c>
      <c r="J47" s="21" t="s">
        <v>21</v>
      </c>
      <c r="K47" s="22"/>
      <c r="L47" s="17"/>
      <c r="M47" s="1"/>
      <c r="O47" s="38">
        <f>H46</f>
        <v>0</v>
      </c>
    </row>
    <row r="48" ht="15" spans="1:16">
      <c r="A48" s="17" t="s">
        <v>18</v>
      </c>
      <c r="B48" s="17" t="s">
        <v>85</v>
      </c>
      <c r="C48" s="24" t="s">
        <v>87</v>
      </c>
      <c r="D48" s="24">
        <v>26.005</v>
      </c>
      <c r="E48" s="28">
        <v>6380</v>
      </c>
      <c r="F48" s="18">
        <f t="shared" si="7"/>
        <v>165911.9</v>
      </c>
      <c r="G48" s="18">
        <f>41595.04+124316.86</f>
        <v>165911.9</v>
      </c>
      <c r="H48" s="18">
        <f t="shared" si="9"/>
        <v>0</v>
      </c>
      <c r="I48" s="20">
        <v>45818</v>
      </c>
      <c r="J48" s="21" t="s">
        <v>21</v>
      </c>
      <c r="K48" s="22"/>
      <c r="L48" s="17"/>
      <c r="M48" s="1"/>
    </row>
    <row r="49" ht="15" spans="1:18">
      <c r="A49" s="17" t="s">
        <v>18</v>
      </c>
      <c r="B49" s="40" t="s">
        <v>88</v>
      </c>
      <c r="C49" s="24" t="s">
        <v>47</v>
      </c>
      <c r="D49" s="24">
        <v>6.248</v>
      </c>
      <c r="E49" s="28">
        <v>6380</v>
      </c>
      <c r="F49" s="18">
        <f t="shared" si="7"/>
        <v>39862.24</v>
      </c>
      <c r="G49" s="18">
        <v>39862.24</v>
      </c>
      <c r="H49" s="18">
        <f t="shared" si="9"/>
        <v>0</v>
      </c>
      <c r="I49" s="20">
        <v>45861</v>
      </c>
      <c r="J49" s="21" t="s">
        <v>21</v>
      </c>
      <c r="K49" s="22"/>
      <c r="L49" s="17"/>
      <c r="M49" s="1"/>
      <c r="O49" s="38"/>
    </row>
    <row r="50" ht="14.45" customHeight="1" spans="1:18">
      <c r="A50" s="17" t="s">
        <v>18</v>
      </c>
      <c r="B50" s="17" t="s">
        <v>89</v>
      </c>
      <c r="C50" s="27" t="s">
        <v>90</v>
      </c>
      <c r="D50" s="24">
        <v>7.918</v>
      </c>
      <c r="E50" s="28">
        <v>6570</v>
      </c>
      <c r="F50" s="18">
        <f t="shared" si="7"/>
        <v>52021.26</v>
      </c>
      <c r="G50" s="18">
        <v>52021.26</v>
      </c>
      <c r="H50" s="18">
        <f t="shared" si="9"/>
        <v>0</v>
      </c>
      <c r="I50" s="41">
        <v>45853</v>
      </c>
      <c r="J50" s="21" t="s">
        <v>21</v>
      </c>
      <c r="K50" s="22"/>
      <c r="L50" s="17"/>
      <c r="M50" s="1"/>
      <c r="O50">
        <f>H50*R50</f>
        <v>0</v>
      </c>
      <c r="R50" s="39">
        <v>0.9</v>
      </c>
    </row>
    <row r="51" ht="14.45" customHeight="1" spans="1:18">
      <c r="A51" s="17" t="s">
        <v>18</v>
      </c>
      <c r="B51" s="17" t="s">
        <v>91</v>
      </c>
      <c r="C51" s="27" t="s">
        <v>90</v>
      </c>
      <c r="D51" s="24">
        <v>149.193</v>
      </c>
      <c r="E51" s="28">
        <v>6575</v>
      </c>
      <c r="F51" s="18">
        <f t="shared" si="7"/>
        <v>980943.975</v>
      </c>
      <c r="G51" s="18">
        <v>980943.975</v>
      </c>
      <c r="H51" s="18">
        <f t="shared" si="9"/>
        <v>0</v>
      </c>
      <c r="I51" s="41">
        <v>45853</v>
      </c>
      <c r="J51" s="21" t="s">
        <v>21</v>
      </c>
      <c r="K51" s="22"/>
      <c r="L51" s="17"/>
      <c r="M51" s="1"/>
      <c r="O51" s="39"/>
    </row>
    <row r="52" ht="14.45" customHeight="1" spans="1:18">
      <c r="A52" s="17" t="s">
        <v>18</v>
      </c>
      <c r="B52" s="17" t="s">
        <v>92</v>
      </c>
      <c r="C52" s="27" t="s">
        <v>93</v>
      </c>
      <c r="D52" s="24">
        <v>10.605</v>
      </c>
      <c r="E52" s="28">
        <v>6720</v>
      </c>
      <c r="F52" s="18">
        <f t="shared" si="7"/>
        <v>71265.6</v>
      </c>
      <c r="G52" s="18">
        <f>69674.85+9828-6377.3075-1859.9425</f>
        <v>71265.6</v>
      </c>
      <c r="H52" s="18">
        <f t="shared" si="9"/>
        <v>0</v>
      </c>
      <c r="I52" s="41">
        <v>45853</v>
      </c>
      <c r="J52" s="21" t="s">
        <v>21</v>
      </c>
      <c r="K52" s="22"/>
      <c r="L52" s="17"/>
      <c r="M52" s="1"/>
      <c r="O52" s="4">
        <f>H52*R50</f>
        <v>0</v>
      </c>
    </row>
    <row r="53" ht="14.45" customHeight="1" spans="1:18">
      <c r="A53" s="17" t="s">
        <v>18</v>
      </c>
      <c r="B53" s="17" t="s">
        <v>91</v>
      </c>
      <c r="C53" s="27" t="s">
        <v>93</v>
      </c>
      <c r="D53" s="24">
        <v>13.616</v>
      </c>
      <c r="E53" s="28">
        <v>6725</v>
      </c>
      <c r="F53" s="18">
        <f t="shared" si="7"/>
        <v>91567.6</v>
      </c>
      <c r="G53" s="18">
        <v>91567.6</v>
      </c>
      <c r="H53" s="18">
        <f t="shared" si="9"/>
        <v>0</v>
      </c>
      <c r="I53" s="41">
        <v>45853</v>
      </c>
      <c r="J53" s="21" t="s">
        <v>21</v>
      </c>
      <c r="K53" s="22"/>
      <c r="L53" s="17"/>
      <c r="M53" s="1"/>
    </row>
    <row r="54" ht="14.45" customHeight="1" spans="1:18">
      <c r="A54" s="17" t="s">
        <v>18</v>
      </c>
      <c r="B54" s="17" t="s">
        <v>89</v>
      </c>
      <c r="C54" s="27" t="s">
        <v>93</v>
      </c>
      <c r="D54" s="24">
        <v>27.27</v>
      </c>
      <c r="E54" s="28">
        <v>6720</v>
      </c>
      <c r="F54" s="18">
        <f t="shared" si="7"/>
        <v>183254.4</v>
      </c>
      <c r="G54" s="18">
        <v>183254.4</v>
      </c>
      <c r="H54" s="18">
        <f t="shared" si="9"/>
        <v>0</v>
      </c>
      <c r="I54" s="41">
        <v>45853</v>
      </c>
      <c r="J54" s="21" t="s">
        <v>21</v>
      </c>
      <c r="K54" s="22"/>
      <c r="L54" s="17"/>
      <c r="M54" s="1"/>
    </row>
    <row r="55" ht="14.45" customHeight="1" spans="1:18">
      <c r="A55" s="17" t="s">
        <v>18</v>
      </c>
      <c r="B55" s="17" t="s">
        <v>94</v>
      </c>
      <c r="C55" s="27" t="s">
        <v>93</v>
      </c>
      <c r="D55" s="24">
        <v>94.602</v>
      </c>
      <c r="E55" s="28">
        <v>6720</v>
      </c>
      <c r="F55" s="18">
        <f t="shared" si="7"/>
        <v>635725.44</v>
      </c>
      <c r="G55" s="18">
        <v>635725.44</v>
      </c>
      <c r="H55" s="18">
        <f t="shared" si="9"/>
        <v>0</v>
      </c>
      <c r="I55" s="41">
        <v>45853</v>
      </c>
      <c r="J55" s="21" t="s">
        <v>21</v>
      </c>
      <c r="K55" s="22"/>
      <c r="L55" s="17"/>
      <c r="M55" s="1"/>
    </row>
    <row r="56" ht="14.45" customHeight="1" spans="1:18">
      <c r="A56" s="17" t="s">
        <v>18</v>
      </c>
      <c r="B56" s="17" t="s">
        <v>89</v>
      </c>
      <c r="C56" s="27" t="s">
        <v>95</v>
      </c>
      <c r="D56" s="24">
        <v>19.695</v>
      </c>
      <c r="E56" s="28">
        <v>6720</v>
      </c>
      <c r="F56" s="18">
        <f t="shared" si="7"/>
        <v>132350.4</v>
      </c>
      <c r="G56" s="18">
        <v>132350.4</v>
      </c>
      <c r="H56" s="18">
        <f t="shared" si="9"/>
        <v>0</v>
      </c>
      <c r="I56" s="41">
        <v>45853</v>
      </c>
      <c r="J56" s="21" t="s">
        <v>21</v>
      </c>
      <c r="K56" s="22"/>
      <c r="L56" s="17">
        <v>7.14</v>
      </c>
      <c r="M56" s="1"/>
    </row>
    <row r="57" ht="14.45" customHeight="1" spans="1:18">
      <c r="A57" s="17" t="s">
        <v>18</v>
      </c>
      <c r="B57" s="17" t="s">
        <v>94</v>
      </c>
      <c r="C57" s="27" t="s">
        <v>95</v>
      </c>
      <c r="D57" s="24">
        <v>69.291</v>
      </c>
      <c r="E57" s="28">
        <v>6720</v>
      </c>
      <c r="F57" s="18">
        <f t="shared" si="7"/>
        <v>465635.52</v>
      </c>
      <c r="G57" s="18">
        <v>465635.52</v>
      </c>
      <c r="H57" s="18">
        <f t="shared" si="9"/>
        <v>0</v>
      </c>
      <c r="I57" s="41">
        <v>45853</v>
      </c>
      <c r="J57" s="21" t="s">
        <v>21</v>
      </c>
      <c r="K57" s="22"/>
      <c r="L57" s="17"/>
      <c r="M57" s="1"/>
    </row>
    <row r="58" ht="14.45" customHeight="1" spans="1:18">
      <c r="A58" s="17" t="s">
        <v>18</v>
      </c>
      <c r="B58" s="17" t="s">
        <v>92</v>
      </c>
      <c r="C58" s="27" t="s">
        <v>96</v>
      </c>
      <c r="D58" s="24">
        <v>52.223</v>
      </c>
      <c r="E58" s="28">
        <v>6570</v>
      </c>
      <c r="F58" s="18">
        <f t="shared" si="7"/>
        <v>343105.11</v>
      </c>
      <c r="G58" s="18">
        <v>343105.11</v>
      </c>
      <c r="H58" s="18">
        <f t="shared" si="9"/>
        <v>0</v>
      </c>
      <c r="I58" s="41">
        <v>45853</v>
      </c>
      <c r="J58" s="21" t="s">
        <v>97</v>
      </c>
      <c r="K58" s="22"/>
      <c r="L58" s="17">
        <v>7.14</v>
      </c>
      <c r="M58" s="1"/>
      <c r="O58" s="2">
        <v>0.9</v>
      </c>
    </row>
    <row r="59" ht="14.45" customHeight="1" spans="1:18">
      <c r="A59" s="17" t="s">
        <v>18</v>
      </c>
      <c r="B59" s="17" t="s">
        <v>92</v>
      </c>
      <c r="C59" s="27" t="s">
        <v>98</v>
      </c>
      <c r="D59" s="24">
        <v>46.172</v>
      </c>
      <c r="E59" s="28">
        <v>6720</v>
      </c>
      <c r="F59" s="18">
        <f t="shared" si="7"/>
        <v>310275.84</v>
      </c>
      <c r="G59" s="18">
        <v>310275.84</v>
      </c>
      <c r="H59" s="18">
        <f t="shared" si="9"/>
        <v>0</v>
      </c>
      <c r="I59" s="41">
        <v>45853</v>
      </c>
      <c r="J59" s="21" t="s">
        <v>97</v>
      </c>
      <c r="K59" s="22"/>
      <c r="L59" s="17">
        <v>7.14</v>
      </c>
      <c r="M59" s="1"/>
    </row>
    <row r="60" ht="14.45" customHeight="1" spans="1:18">
      <c r="A60" s="17" t="s">
        <v>18</v>
      </c>
      <c r="B60" s="17" t="s">
        <v>99</v>
      </c>
      <c r="C60" s="27" t="s">
        <v>100</v>
      </c>
      <c r="D60" s="24">
        <f>54.54</f>
        <v>54.54</v>
      </c>
      <c r="E60" s="28">
        <v>6575</v>
      </c>
      <c r="F60" s="18">
        <f t="shared" si="7"/>
        <v>358600.5</v>
      </c>
      <c r="G60" s="18">
        <v>358600.5</v>
      </c>
      <c r="H60" s="18">
        <f t="shared" si="9"/>
        <v>0</v>
      </c>
      <c r="I60" s="41">
        <v>45853</v>
      </c>
      <c r="J60" s="21" t="s">
        <v>21</v>
      </c>
      <c r="K60" s="22"/>
      <c r="L60" s="17">
        <v>7.14</v>
      </c>
      <c r="M60" s="1"/>
      <c r="O60" s="38">
        <f>H60</f>
        <v>0</v>
      </c>
    </row>
    <row r="61" ht="15" spans="1:18">
      <c r="A61" s="17" t="s">
        <v>18</v>
      </c>
      <c r="B61" s="17" t="s">
        <v>89</v>
      </c>
      <c r="C61" s="27" t="s">
        <v>101</v>
      </c>
      <c r="D61" s="24">
        <v>81.355</v>
      </c>
      <c r="E61" s="28">
        <v>6570</v>
      </c>
      <c r="F61" s="18">
        <f t="shared" si="7"/>
        <v>534502.35</v>
      </c>
      <c r="G61" s="18">
        <v>534502.35</v>
      </c>
      <c r="H61" s="18">
        <f t="shared" si="9"/>
        <v>0</v>
      </c>
      <c r="I61" s="41">
        <v>45853</v>
      </c>
      <c r="J61" s="21" t="s">
        <v>21</v>
      </c>
      <c r="K61" s="22"/>
      <c r="L61" s="17">
        <v>7.14</v>
      </c>
      <c r="M61" s="1"/>
      <c r="O61" s="38">
        <f>H61*R50</f>
        <v>0</v>
      </c>
    </row>
    <row r="62" ht="15" spans="1:18">
      <c r="A62" s="17" t="s">
        <v>18</v>
      </c>
      <c r="B62" s="40" t="s">
        <v>102</v>
      </c>
      <c r="C62" s="27" t="s">
        <v>100</v>
      </c>
      <c r="D62" s="24">
        <v>109.08</v>
      </c>
      <c r="E62" s="28">
        <v>6500</v>
      </c>
      <c r="F62" s="18">
        <f t="shared" si="7"/>
        <v>709020</v>
      </c>
      <c r="G62" s="18">
        <v>709020</v>
      </c>
      <c r="H62" s="18">
        <f t="shared" si="9"/>
        <v>0</v>
      </c>
      <c r="I62" s="41">
        <v>45853</v>
      </c>
      <c r="J62" s="21" t="s">
        <v>21</v>
      </c>
      <c r="K62" s="22"/>
      <c r="L62" s="17">
        <v>7.14</v>
      </c>
      <c r="M62" s="1"/>
      <c r="O62" s="38"/>
    </row>
    <row r="63" ht="15" spans="1:18">
      <c r="A63" s="17" t="s">
        <v>18</v>
      </c>
      <c r="B63" s="17" t="s">
        <v>103</v>
      </c>
      <c r="C63" s="27" t="s">
        <v>104</v>
      </c>
      <c r="D63" s="24">
        <f>1.502*19+1.85</f>
        <v>30.388</v>
      </c>
      <c r="E63" s="28">
        <v>5500</v>
      </c>
      <c r="F63" s="18">
        <f t="shared" si="7"/>
        <v>167134</v>
      </c>
      <c r="G63" s="18">
        <v>167134</v>
      </c>
      <c r="H63" s="18">
        <f t="shared" si="9"/>
        <v>0</v>
      </c>
      <c r="I63" s="41">
        <v>45823</v>
      </c>
      <c r="J63" s="21" t="s">
        <v>21</v>
      </c>
      <c r="K63" s="22"/>
      <c r="L63" s="17"/>
      <c r="M63" s="1"/>
    </row>
    <row r="64" ht="15" spans="1:18">
      <c r="A64" s="17" t="s">
        <v>18</v>
      </c>
      <c r="B64" s="17" t="s">
        <v>103</v>
      </c>
      <c r="C64" s="27" t="s">
        <v>105</v>
      </c>
      <c r="D64" s="24">
        <f>1.511*6+1.193</f>
        <v>10.259</v>
      </c>
      <c r="E64" s="28">
        <v>5500</v>
      </c>
      <c r="F64" s="18">
        <f t="shared" si="7"/>
        <v>56424.5</v>
      </c>
      <c r="G64" s="18">
        <v>56424.5</v>
      </c>
      <c r="H64" s="18">
        <f t="shared" si="9"/>
        <v>0</v>
      </c>
      <c r="I64" s="41">
        <v>45823</v>
      </c>
      <c r="J64" s="21" t="s">
        <v>21</v>
      </c>
      <c r="K64" s="22"/>
      <c r="L64" s="17"/>
      <c r="M64" s="1"/>
    </row>
    <row r="65" ht="15" spans="1:15">
      <c r="A65" s="17" t="s">
        <v>18</v>
      </c>
      <c r="B65" s="17" t="s">
        <v>103</v>
      </c>
      <c r="C65" s="27" t="s">
        <v>106</v>
      </c>
      <c r="D65" s="24">
        <v>17.179</v>
      </c>
      <c r="E65" s="28">
        <v>5480</v>
      </c>
      <c r="F65" s="18">
        <f t="shared" si="7"/>
        <v>94140.92</v>
      </c>
      <c r="G65" s="18">
        <v>94140.92</v>
      </c>
      <c r="H65" s="18">
        <f t="shared" si="9"/>
        <v>0</v>
      </c>
      <c r="I65" s="41">
        <v>45823</v>
      </c>
      <c r="J65" s="21" t="s">
        <v>21</v>
      </c>
      <c r="K65" s="22"/>
      <c r="L65" s="17"/>
      <c r="M65" s="1"/>
      <c r="O65" s="38">
        <f>H63</f>
        <v>0</v>
      </c>
    </row>
    <row r="66" ht="15" spans="1:15">
      <c r="A66" s="17" t="s">
        <v>18</v>
      </c>
      <c r="B66" s="17" t="s">
        <v>103</v>
      </c>
      <c r="C66" s="27" t="s">
        <v>107</v>
      </c>
      <c r="D66" s="24">
        <v>17.27</v>
      </c>
      <c r="E66" s="28">
        <v>5480</v>
      </c>
      <c r="F66" s="18">
        <f t="shared" si="7"/>
        <v>94639.6</v>
      </c>
      <c r="G66" s="18">
        <v>94639.6</v>
      </c>
      <c r="H66" s="18">
        <f t="shared" si="9"/>
        <v>0</v>
      </c>
      <c r="I66" s="41">
        <v>45823</v>
      </c>
      <c r="J66" s="21" t="s">
        <v>21</v>
      </c>
      <c r="K66" s="22"/>
      <c r="L66" s="17"/>
      <c r="M66" s="1"/>
    </row>
    <row r="67" ht="15" spans="1:15">
      <c r="A67" s="17" t="s">
        <v>18</v>
      </c>
      <c r="B67" s="17" t="s">
        <v>108</v>
      </c>
      <c r="C67" s="27" t="s">
        <v>109</v>
      </c>
      <c r="D67" s="42">
        <v>35.054</v>
      </c>
      <c r="E67" s="28">
        <v>6430</v>
      </c>
      <c r="F67" s="18">
        <f t="shared" si="7"/>
        <v>225397.22</v>
      </c>
      <c r="G67" s="18">
        <v>225397.22</v>
      </c>
      <c r="H67" s="18">
        <f t="shared" si="9"/>
        <v>0</v>
      </c>
      <c r="I67" s="41">
        <v>45823</v>
      </c>
      <c r="J67" s="21" t="s">
        <v>21</v>
      </c>
      <c r="K67" s="22"/>
      <c r="L67" s="17"/>
      <c r="M67" s="1"/>
      <c r="O67" s="38">
        <f t="shared" ref="O67:O72" si="10">H67</f>
        <v>0</v>
      </c>
    </row>
    <row r="68" ht="15" spans="1:15">
      <c r="A68" s="17" t="s">
        <v>18</v>
      </c>
      <c r="B68" s="40" t="s">
        <v>108</v>
      </c>
      <c r="C68" s="27" t="s">
        <v>110</v>
      </c>
      <c r="D68" s="42">
        <v>33.915</v>
      </c>
      <c r="E68" s="28">
        <v>6430</v>
      </c>
      <c r="F68" s="18">
        <f t="shared" si="7"/>
        <v>218073.45</v>
      </c>
      <c r="G68" s="37">
        <f>218073.45</f>
        <v>218073.45</v>
      </c>
      <c r="H68" s="18">
        <f t="shared" si="9"/>
        <v>0</v>
      </c>
      <c r="I68" s="41">
        <v>45823</v>
      </c>
      <c r="J68" s="21" t="s">
        <v>21</v>
      </c>
      <c r="K68" s="22"/>
      <c r="L68" s="17"/>
      <c r="M68" s="1"/>
    </row>
    <row r="69" ht="15" spans="1:15">
      <c r="A69" s="17" t="s">
        <v>18</v>
      </c>
      <c r="B69" s="36" t="s">
        <v>111</v>
      </c>
      <c r="C69" s="24" t="s">
        <v>112</v>
      </c>
      <c r="D69" s="24">
        <v>14.79</v>
      </c>
      <c r="E69" s="28">
        <v>5860</v>
      </c>
      <c r="F69" s="18">
        <f t="shared" si="7"/>
        <v>86669.4</v>
      </c>
      <c r="G69" s="18">
        <v>86669.4</v>
      </c>
      <c r="H69" s="18">
        <f t="shared" si="9"/>
        <v>0</v>
      </c>
      <c r="I69" s="41">
        <v>45838</v>
      </c>
      <c r="J69" s="21" t="s">
        <v>21</v>
      </c>
      <c r="K69" s="22"/>
      <c r="L69" s="17"/>
      <c r="M69" s="1"/>
      <c r="O69" s="38">
        <f t="shared" si="10"/>
        <v>0</v>
      </c>
    </row>
    <row r="70" ht="15" spans="1:15">
      <c r="A70" s="17" t="s">
        <v>18</v>
      </c>
      <c r="B70" s="43" t="s">
        <v>111</v>
      </c>
      <c r="C70" s="24" t="s">
        <v>113</v>
      </c>
      <c r="D70" s="24">
        <v>11.215</v>
      </c>
      <c r="E70" s="28">
        <v>5710</v>
      </c>
      <c r="F70" s="18">
        <f t="shared" si="7"/>
        <v>64037.65</v>
      </c>
      <c r="G70" s="37">
        <v>64037.65</v>
      </c>
      <c r="H70" s="18">
        <f t="shared" si="9"/>
        <v>0</v>
      </c>
      <c r="I70" s="41">
        <v>45838</v>
      </c>
      <c r="J70" s="21" t="s">
        <v>21</v>
      </c>
      <c r="K70" s="22"/>
      <c r="L70" s="17"/>
      <c r="M70" s="1"/>
    </row>
    <row r="71" ht="15" spans="1:15">
      <c r="A71" s="17" t="s">
        <v>18</v>
      </c>
      <c r="B71" s="17" t="s">
        <v>114</v>
      </c>
      <c r="C71" s="17" t="s">
        <v>115</v>
      </c>
      <c r="D71" s="17"/>
      <c r="E71" s="17"/>
      <c r="F71" s="18">
        <v>126922.58</v>
      </c>
      <c r="G71" s="18">
        <v>126922.58</v>
      </c>
      <c r="H71" s="18">
        <f t="shared" si="9"/>
        <v>0</v>
      </c>
      <c r="I71" s="20">
        <v>45839</v>
      </c>
      <c r="J71" s="21" t="s">
        <v>21</v>
      </c>
      <c r="K71" s="22"/>
      <c r="L71" s="17"/>
      <c r="M71" s="1"/>
    </row>
    <row r="72" ht="15" hidden="1" spans="1:15">
      <c r="A72" s="17" t="s">
        <v>116</v>
      </c>
      <c r="B72" s="17" t="s">
        <v>117</v>
      </c>
      <c r="C72" s="24" t="s">
        <v>118</v>
      </c>
      <c r="D72" s="17">
        <v>1960400</v>
      </c>
      <c r="E72" s="17">
        <v>0.0178</v>
      </c>
      <c r="F72" s="18">
        <f t="shared" ref="F72:F76" si="11">E72*D72</f>
        <v>34895.12</v>
      </c>
      <c r="G72" s="18">
        <f>6960.52+27934.6</f>
        <v>34895.12</v>
      </c>
      <c r="H72" s="18">
        <f t="shared" si="9"/>
        <v>0</v>
      </c>
      <c r="I72" s="20">
        <v>45814</v>
      </c>
      <c r="J72" s="21" t="s">
        <v>97</v>
      </c>
      <c r="K72" s="44"/>
      <c r="L72" s="20">
        <f>I72+97</f>
        <v>45911</v>
      </c>
      <c r="M72" s="3"/>
      <c r="O72" s="38">
        <f t="shared" si="10"/>
        <v>0</v>
      </c>
    </row>
    <row r="73" ht="15" spans="1:15">
      <c r="A73" s="17" t="s">
        <v>18</v>
      </c>
      <c r="B73" s="17" t="s">
        <v>119</v>
      </c>
      <c r="C73" s="24" t="s">
        <v>120</v>
      </c>
      <c r="D73" s="28">
        <v>136.664</v>
      </c>
      <c r="E73" s="28">
        <v>6150</v>
      </c>
      <c r="F73" s="18">
        <f t="shared" si="11"/>
        <v>840483.6</v>
      </c>
      <c r="G73" s="25">
        <v>840483.6</v>
      </c>
      <c r="H73" s="18">
        <f t="shared" si="9"/>
        <v>0</v>
      </c>
      <c r="I73" s="41">
        <v>45867</v>
      </c>
      <c r="J73" s="21" t="s">
        <v>97</v>
      </c>
      <c r="K73" s="22"/>
      <c r="L73" s="17"/>
      <c r="M73" s="1"/>
      <c r="O73" s="45"/>
    </row>
    <row r="74" ht="15" spans="1:15">
      <c r="A74" s="17" t="s">
        <v>18</v>
      </c>
      <c r="B74" s="17" t="s">
        <v>119</v>
      </c>
      <c r="C74" s="24" t="s">
        <v>121</v>
      </c>
      <c r="D74" s="28">
        <v>24.544</v>
      </c>
      <c r="E74" s="28">
        <v>6000</v>
      </c>
      <c r="F74" s="18">
        <f t="shared" si="11"/>
        <v>147264</v>
      </c>
      <c r="G74" s="25">
        <v>147264</v>
      </c>
      <c r="H74" s="18">
        <f t="shared" si="9"/>
        <v>0</v>
      </c>
      <c r="I74" s="41">
        <v>45867</v>
      </c>
      <c r="J74" s="21" t="s">
        <v>97</v>
      </c>
      <c r="K74" s="22"/>
      <c r="L74" s="17"/>
      <c r="M74" s="1"/>
      <c r="O74" s="45">
        <f>H74*90%</f>
        <v>0</v>
      </c>
    </row>
    <row r="75" ht="15" spans="1:15">
      <c r="A75" s="17" t="s">
        <v>18</v>
      </c>
      <c r="B75" s="17" t="s">
        <v>122</v>
      </c>
      <c r="C75" s="24" t="s">
        <v>120</v>
      </c>
      <c r="D75" s="28">
        <v>6.268</v>
      </c>
      <c r="E75" s="28">
        <v>6150</v>
      </c>
      <c r="F75" s="18">
        <f t="shared" si="11"/>
        <v>38548.2</v>
      </c>
      <c r="G75" s="25">
        <f>36981.2+1567</f>
        <v>38548.2</v>
      </c>
      <c r="H75" s="18">
        <f t="shared" si="9"/>
        <v>0</v>
      </c>
      <c r="I75" s="41">
        <v>45926</v>
      </c>
      <c r="J75" s="21" t="s">
        <v>21</v>
      </c>
      <c r="K75" s="22"/>
      <c r="L75" s="17"/>
      <c r="M75" s="1"/>
      <c r="O75" s="45"/>
    </row>
    <row r="76" ht="15" spans="1:15">
      <c r="A76" s="17" t="s">
        <v>18</v>
      </c>
      <c r="B76" s="17" t="s">
        <v>123</v>
      </c>
      <c r="C76" s="24" t="s">
        <v>120</v>
      </c>
      <c r="D76" s="46">
        <v>3.406</v>
      </c>
      <c r="E76" s="28">
        <v>6150</v>
      </c>
      <c r="F76" s="18">
        <f t="shared" si="11"/>
        <v>20946.9</v>
      </c>
      <c r="G76" s="47">
        <v>20946.9</v>
      </c>
      <c r="H76" s="18">
        <f t="shared" si="9"/>
        <v>0</v>
      </c>
      <c r="I76" s="48">
        <v>45945</v>
      </c>
      <c r="J76" s="21" t="s">
        <v>21</v>
      </c>
      <c r="K76" s="22"/>
      <c r="L76" s="17"/>
      <c r="M76" s="1"/>
      <c r="O76" s="45"/>
    </row>
    <row r="77" ht="15" spans="1:15">
      <c r="A77" s="40" t="s">
        <v>18</v>
      </c>
      <c r="B77" s="40" t="s">
        <v>124</v>
      </c>
      <c r="C77" s="40" t="s">
        <v>125</v>
      </c>
      <c r="D77" s="40">
        <v>2097600</v>
      </c>
      <c r="E77" s="40">
        <v>0.23</v>
      </c>
      <c r="F77" s="49">
        <f>E77*D77*0.3</f>
        <v>144734.4</v>
      </c>
      <c r="G77" s="37">
        <v>144734.4</v>
      </c>
      <c r="H77" s="50">
        <f t="shared" si="9"/>
        <v>0</v>
      </c>
      <c r="I77" s="51">
        <v>45834</v>
      </c>
      <c r="J77" s="21" t="s">
        <v>97</v>
      </c>
      <c r="K77" s="22"/>
      <c r="L77" s="17"/>
      <c r="M77" s="1"/>
    </row>
    <row r="78" ht="15" spans="1:15">
      <c r="A78" s="17" t="s">
        <v>18</v>
      </c>
      <c r="B78" s="17" t="s">
        <v>124</v>
      </c>
      <c r="C78" s="32"/>
      <c r="D78" s="32"/>
      <c r="E78" s="32"/>
      <c r="F78" s="18">
        <f>D77*E77*0.7</f>
        <v>337713.6</v>
      </c>
      <c r="G78" s="52">
        <f>130260.96+207452.64</f>
        <v>337713.6</v>
      </c>
      <c r="H78" s="18">
        <f t="shared" si="9"/>
        <v>0</v>
      </c>
      <c r="I78" s="20">
        <v>45847</v>
      </c>
      <c r="J78" s="21" t="s">
        <v>97</v>
      </c>
      <c r="K78" s="44"/>
      <c r="L78" s="20">
        <v>45863</v>
      </c>
      <c r="M78" s="3"/>
      <c r="O78" s="38">
        <f>H78</f>
        <v>0</v>
      </c>
    </row>
    <row r="79" ht="15" spans="1:15">
      <c r="A79" s="17" t="s">
        <v>18</v>
      </c>
      <c r="B79" s="17" t="s">
        <v>126</v>
      </c>
      <c r="C79" s="17" t="s">
        <v>127</v>
      </c>
      <c r="D79" s="17">
        <v>74.548</v>
      </c>
      <c r="E79" s="53">
        <v>5980</v>
      </c>
      <c r="F79" s="18">
        <f t="shared" ref="F79:F84" si="12">E79*D79</f>
        <v>445797.04</v>
      </c>
      <c r="G79" s="52">
        <v>445797.04</v>
      </c>
      <c r="H79" s="52">
        <f t="shared" si="9"/>
        <v>0</v>
      </c>
      <c r="I79" s="20">
        <v>45859</v>
      </c>
      <c r="J79" s="21" t="s">
        <v>21</v>
      </c>
      <c r="K79" s="44"/>
      <c r="L79" s="20">
        <v>45863</v>
      </c>
      <c r="M79" s="3"/>
      <c r="O79" s="45" t="e">
        <f>H79*#REF!</f>
        <v>#REF!</v>
      </c>
    </row>
    <row r="80" ht="15" spans="1:15">
      <c r="A80" s="17" t="s">
        <v>18</v>
      </c>
      <c r="B80" s="17" t="s">
        <v>128</v>
      </c>
      <c r="C80" s="27" t="s">
        <v>129</v>
      </c>
      <c r="D80" s="54">
        <v>25.585</v>
      </c>
      <c r="E80" s="55">
        <f t="shared" ref="E80:E84" si="13">280+5750</f>
        <v>6030</v>
      </c>
      <c r="F80" s="56">
        <f t="shared" si="12"/>
        <v>154277.55</v>
      </c>
      <c r="G80" s="52">
        <f>162810-8321.39999999999-211.050000000017</f>
        <v>154277.55</v>
      </c>
      <c r="H80" s="52">
        <f t="shared" si="9"/>
        <v>0</v>
      </c>
      <c r="I80" s="57">
        <v>45920</v>
      </c>
      <c r="J80" s="21" t="s">
        <v>21</v>
      </c>
      <c r="K80" s="22"/>
      <c r="L80" s="17"/>
      <c r="M80" s="1"/>
    </row>
    <row r="81" ht="15" spans="1:16">
      <c r="A81" s="17" t="s">
        <v>18</v>
      </c>
      <c r="B81" s="17" t="s">
        <v>128</v>
      </c>
      <c r="C81" s="27" t="s">
        <v>130</v>
      </c>
      <c r="D81" s="54">
        <v>25.39</v>
      </c>
      <c r="E81" s="55">
        <f t="shared" si="13"/>
        <v>6030</v>
      </c>
      <c r="F81" s="56">
        <f t="shared" si="12"/>
        <v>153101.7</v>
      </c>
      <c r="G81" s="52">
        <f>31477.55+579162-41075.96+8321.39999999999+147523.95-1567-20946.9-541282.5-8510.84000000014</f>
        <v>153101.7</v>
      </c>
      <c r="H81" s="52">
        <f t="shared" si="9"/>
        <v>0</v>
      </c>
      <c r="I81" s="57">
        <v>45928</v>
      </c>
      <c r="J81" s="21" t="s">
        <v>21</v>
      </c>
      <c r="K81" s="22"/>
      <c r="L81" s="17"/>
      <c r="M81" s="1"/>
    </row>
    <row r="82" ht="15" spans="1:16">
      <c r="A82" s="17" t="s">
        <v>18</v>
      </c>
      <c r="B82" s="17" t="s">
        <v>128</v>
      </c>
      <c r="C82" s="27" t="s">
        <v>131</v>
      </c>
      <c r="D82" s="54">
        <v>48.865</v>
      </c>
      <c r="E82" s="55">
        <f>280+5850</f>
        <v>6130</v>
      </c>
      <c r="F82" s="56">
        <f t="shared" si="12"/>
        <v>299542.45</v>
      </c>
      <c r="G82" s="52">
        <f>331020-31477.55</f>
        <v>299542.45</v>
      </c>
      <c r="H82" s="52">
        <f t="shared" si="9"/>
        <v>0</v>
      </c>
      <c r="I82" s="57">
        <v>45920</v>
      </c>
      <c r="J82" s="21" t="s">
        <v>21</v>
      </c>
      <c r="K82" s="22"/>
      <c r="L82" s="17"/>
      <c r="M82" s="1"/>
    </row>
    <row r="83" ht="15" spans="1:16">
      <c r="A83" s="17" t="s">
        <v>18</v>
      </c>
      <c r="B83" s="17" t="s">
        <v>132</v>
      </c>
      <c r="C83" s="27" t="s">
        <v>133</v>
      </c>
      <c r="D83" s="58">
        <v>21.729</v>
      </c>
      <c r="E83" s="55">
        <f>280+5700</f>
        <v>5980</v>
      </c>
      <c r="F83" s="56">
        <f t="shared" si="12"/>
        <v>129939.42</v>
      </c>
      <c r="G83" s="52">
        <f>161460-31520.58</f>
        <v>129939.42</v>
      </c>
      <c r="H83" s="52">
        <f t="shared" si="9"/>
        <v>0</v>
      </c>
      <c r="I83" s="57">
        <v>45920</v>
      </c>
      <c r="J83" s="21" t="s">
        <v>21</v>
      </c>
      <c r="K83" s="22"/>
      <c r="L83" s="17"/>
      <c r="M83" s="1"/>
    </row>
    <row r="84" ht="15" spans="1:16">
      <c r="A84" s="17" t="s">
        <v>18</v>
      </c>
      <c r="B84" s="17" t="s">
        <v>132</v>
      </c>
      <c r="C84" s="27" t="s">
        <v>134</v>
      </c>
      <c r="D84" s="58">
        <v>32.594</v>
      </c>
      <c r="E84" s="55">
        <f t="shared" si="13"/>
        <v>6030</v>
      </c>
      <c r="F84" s="56">
        <f t="shared" si="12"/>
        <v>196541.82</v>
      </c>
      <c r="G84" s="52">
        <f>31520.58+162810+2211.23999999999</f>
        <v>196541.82</v>
      </c>
      <c r="H84" s="52">
        <f t="shared" si="9"/>
        <v>0</v>
      </c>
      <c r="I84" s="57">
        <v>45920</v>
      </c>
      <c r="J84" s="21" t="s">
        <v>21</v>
      </c>
      <c r="K84" s="22"/>
      <c r="L84" s="17"/>
      <c r="M84" s="1"/>
    </row>
    <row r="85" ht="15" spans="1:16">
      <c r="A85" s="17" t="s">
        <v>18</v>
      </c>
      <c r="B85" s="17" t="s">
        <v>135</v>
      </c>
      <c r="C85" s="27" t="s">
        <v>136</v>
      </c>
      <c r="D85" s="54">
        <v>116.855</v>
      </c>
      <c r="E85" s="59">
        <f>5480+340</f>
        <v>5820</v>
      </c>
      <c r="F85" s="60">
        <f>E85*D85*0.3</f>
        <v>204028.83</v>
      </c>
      <c r="G85" s="52">
        <v>204028.83</v>
      </c>
      <c r="H85" s="61">
        <f t="shared" si="9"/>
        <v>0</v>
      </c>
      <c r="I85" s="62">
        <v>45825</v>
      </c>
      <c r="J85" s="21"/>
      <c r="K85" s="22"/>
      <c r="L85" s="17"/>
      <c r="M85" s="1"/>
      <c r="O85" s="45"/>
    </row>
    <row r="86" ht="15" spans="1:16">
      <c r="A86" s="17" t="s">
        <v>18</v>
      </c>
      <c r="B86" s="17" t="s">
        <v>135</v>
      </c>
      <c r="C86" s="32"/>
      <c r="D86" s="63"/>
      <c r="E86" s="32"/>
      <c r="F86" s="56">
        <f>E85*D85*0.7</f>
        <v>476067.27</v>
      </c>
      <c r="G86" s="52">
        <v>476067.27</v>
      </c>
      <c r="H86" s="52">
        <f t="shared" si="9"/>
        <v>0</v>
      </c>
      <c r="I86" s="57">
        <f>I85+50</f>
        <v>45875</v>
      </c>
      <c r="J86" s="21"/>
      <c r="K86" s="22"/>
      <c r="L86" s="17"/>
      <c r="M86" s="1"/>
      <c r="O86" s="38"/>
    </row>
    <row r="87" ht="15" spans="1:16">
      <c r="A87" s="17" t="s">
        <v>18</v>
      </c>
      <c r="B87" s="17" t="s">
        <v>132</v>
      </c>
      <c r="C87" s="27" t="s">
        <v>137</v>
      </c>
      <c r="D87" s="54">
        <v>33.724</v>
      </c>
      <c r="E87" s="55">
        <f>280+5500</f>
        <v>5780</v>
      </c>
      <c r="F87" s="56">
        <f t="shared" ref="F87:F95" si="14">E87*D87</f>
        <v>194924.72</v>
      </c>
      <c r="G87" s="52">
        <f>156060-2211.23999999999+41075.96</f>
        <v>194924.72</v>
      </c>
      <c r="H87" s="52">
        <f t="shared" si="9"/>
        <v>0</v>
      </c>
      <c r="I87" s="57">
        <v>45920</v>
      </c>
      <c r="J87" s="21" t="s">
        <v>21</v>
      </c>
      <c r="K87" s="22"/>
      <c r="L87" s="17"/>
      <c r="M87" s="1"/>
    </row>
    <row r="88" ht="15" spans="1:16">
      <c r="A88" s="17" t="s">
        <v>18</v>
      </c>
      <c r="B88" s="17" t="s">
        <v>135</v>
      </c>
      <c r="C88" s="27" t="s">
        <v>138</v>
      </c>
      <c r="D88" s="54">
        <v>78.578</v>
      </c>
      <c r="E88" s="55">
        <f>5150+340</f>
        <v>5490</v>
      </c>
      <c r="F88" s="60">
        <f>E88*D88*0.3</f>
        <v>129417.966</v>
      </c>
      <c r="G88" s="52">
        <v>129417.966</v>
      </c>
      <c r="H88" s="61">
        <f t="shared" si="9"/>
        <v>0</v>
      </c>
      <c r="I88" s="62">
        <v>45825</v>
      </c>
      <c r="J88" s="21"/>
      <c r="K88" s="22"/>
      <c r="L88" s="17"/>
      <c r="M88" s="1"/>
      <c r="P88" s="45">
        <f>H88*90%</f>
        <v>0</v>
      </c>
    </row>
    <row r="89" ht="15" spans="1:16">
      <c r="A89" s="17" t="s">
        <v>18</v>
      </c>
      <c r="B89" s="17" t="s">
        <v>135</v>
      </c>
      <c r="C89" s="32"/>
      <c r="D89" s="63"/>
      <c r="E89" s="32"/>
      <c r="F89" s="56">
        <f>E88*D88*0.7</f>
        <v>301975.254</v>
      </c>
      <c r="G89" s="64">
        <v>301975.254</v>
      </c>
      <c r="H89" s="65">
        <f t="shared" si="9"/>
        <v>0</v>
      </c>
      <c r="I89" s="57">
        <f>I88+50</f>
        <v>45875</v>
      </c>
      <c r="J89" s="21"/>
      <c r="K89" s="22"/>
      <c r="L89" s="17"/>
      <c r="M89" s="1"/>
    </row>
    <row r="90" ht="15" hidden="1" spans="1:16">
      <c r="A90" s="17" t="s">
        <v>139</v>
      </c>
      <c r="B90" s="17" t="s">
        <v>140</v>
      </c>
      <c r="C90" s="17" t="s">
        <v>141</v>
      </c>
      <c r="D90" s="17">
        <v>1</v>
      </c>
      <c r="E90" s="28">
        <v>74530</v>
      </c>
      <c r="F90" s="18">
        <f t="shared" si="14"/>
        <v>74530</v>
      </c>
      <c r="G90" s="37">
        <v>74530</v>
      </c>
      <c r="H90" s="37">
        <f t="shared" si="9"/>
        <v>0</v>
      </c>
      <c r="I90" s="20">
        <v>45807</v>
      </c>
      <c r="J90" s="21" t="s">
        <v>97</v>
      </c>
      <c r="K90" s="22"/>
      <c r="L90" s="17"/>
      <c r="M90" s="1"/>
    </row>
    <row r="91" ht="15" hidden="1" spans="1:16">
      <c r="A91" s="17" t="s">
        <v>139</v>
      </c>
      <c r="B91" s="17" t="s">
        <v>142</v>
      </c>
      <c r="C91" s="17" t="s">
        <v>141</v>
      </c>
      <c r="D91" s="17">
        <v>1</v>
      </c>
      <c r="E91" s="17">
        <v>103000</v>
      </c>
      <c r="F91" s="18">
        <f t="shared" si="14"/>
        <v>103000</v>
      </c>
      <c r="G91" s="18">
        <v>103000</v>
      </c>
      <c r="H91" s="18">
        <f t="shared" si="9"/>
        <v>0</v>
      </c>
      <c r="I91" s="20">
        <v>45807</v>
      </c>
      <c r="J91" s="21"/>
      <c r="K91" s="22"/>
      <c r="L91" s="17"/>
      <c r="M91" s="1"/>
    </row>
    <row r="92" ht="15" hidden="1" spans="1:16">
      <c r="A92" s="17" t="s">
        <v>139</v>
      </c>
      <c r="B92" s="17" t="s">
        <v>143</v>
      </c>
      <c r="C92" s="17" t="s">
        <v>144</v>
      </c>
      <c r="D92" s="17">
        <v>18.29</v>
      </c>
      <c r="E92" s="17">
        <v>7000</v>
      </c>
      <c r="F92" s="18">
        <f t="shared" si="14"/>
        <v>128030</v>
      </c>
      <c r="G92" s="18">
        <f>F92</f>
        <v>128030</v>
      </c>
      <c r="H92" s="18">
        <f t="shared" si="9"/>
        <v>0</v>
      </c>
      <c r="I92" s="20">
        <v>45807</v>
      </c>
      <c r="J92" s="21" t="s">
        <v>97</v>
      </c>
      <c r="K92" s="22"/>
      <c r="L92" s="17"/>
      <c r="M92" s="1"/>
    </row>
    <row r="93" ht="15" hidden="1" spans="1:16">
      <c r="A93" s="17" t="s">
        <v>139</v>
      </c>
      <c r="B93" s="17" t="s">
        <v>145</v>
      </c>
      <c r="C93" s="17" t="s">
        <v>146</v>
      </c>
      <c r="D93" s="17">
        <v>0.769</v>
      </c>
      <c r="E93" s="17">
        <v>8500</v>
      </c>
      <c r="F93" s="18">
        <f t="shared" si="14"/>
        <v>6536.5</v>
      </c>
      <c r="G93" s="18">
        <f>F93</f>
        <v>6536.5</v>
      </c>
      <c r="H93" s="37">
        <f t="shared" si="9"/>
        <v>0</v>
      </c>
      <c r="I93" s="20">
        <v>45807</v>
      </c>
      <c r="J93" s="21" t="s">
        <v>97</v>
      </c>
      <c r="K93" s="22"/>
      <c r="L93" s="17"/>
      <c r="M93" s="1"/>
    </row>
    <row r="94" ht="15" hidden="1" spans="1:16">
      <c r="A94" s="17" t="s">
        <v>139</v>
      </c>
      <c r="B94" s="17" t="s">
        <v>147</v>
      </c>
      <c r="C94" s="17" t="s">
        <v>148</v>
      </c>
      <c r="D94" s="17">
        <v>24.464</v>
      </c>
      <c r="E94" s="17">
        <v>7003</v>
      </c>
      <c r="F94" s="18">
        <f t="shared" si="14"/>
        <v>171321.392</v>
      </c>
      <c r="G94" s="18">
        <v>171321.39</v>
      </c>
      <c r="H94" s="37">
        <f t="shared" si="9"/>
        <v>0.00199999997857958</v>
      </c>
      <c r="I94" s="41">
        <v>45838</v>
      </c>
      <c r="J94" s="21"/>
      <c r="K94" s="44"/>
      <c r="L94" s="20">
        <f>I94+22</f>
        <v>45860</v>
      </c>
      <c r="M94" s="3"/>
      <c r="O94" s="4">
        <f>9316+124316.86+25022.02+6230.67+10658.05+34895.12+130260.96</f>
        <v>340699.68</v>
      </c>
    </row>
    <row r="95" ht="15" hidden="1" spans="1:16">
      <c r="A95" s="17" t="s">
        <v>139</v>
      </c>
      <c r="B95" s="17" t="s">
        <v>149</v>
      </c>
      <c r="C95" s="17" t="s">
        <v>148</v>
      </c>
      <c r="D95" s="17">
        <v>6.654</v>
      </c>
      <c r="E95" s="17">
        <v>7003</v>
      </c>
      <c r="F95" s="18">
        <f t="shared" si="14"/>
        <v>46597.962</v>
      </c>
      <c r="G95" s="18">
        <v>46597.96</v>
      </c>
      <c r="H95" s="37">
        <f t="shared" si="9"/>
        <v>0.00200000000040745</v>
      </c>
      <c r="I95" s="41">
        <v>45838</v>
      </c>
      <c r="J95" s="21"/>
      <c r="K95" s="44"/>
      <c r="L95" s="20"/>
      <c r="M95" s="3"/>
      <c r="O95" s="4">
        <f>9316+124316.86+25022.02+6230.67+10658.05+34895.12+130260.96</f>
        <v>340699.68</v>
      </c>
    </row>
    <row r="96" ht="15" hidden="1" spans="1:16">
      <c r="A96" s="17" t="s">
        <v>139</v>
      </c>
      <c r="B96" s="17" t="s">
        <v>150</v>
      </c>
      <c r="C96" s="17" t="s">
        <v>115</v>
      </c>
      <c r="D96" s="17"/>
      <c r="E96" s="17"/>
      <c r="F96" s="18">
        <f>141135.57+8065.77</f>
        <v>149201.34</v>
      </c>
      <c r="G96" s="18">
        <f>141135.57+8065.77</f>
        <v>149201.34</v>
      </c>
      <c r="H96" s="18">
        <f t="shared" si="9"/>
        <v>0</v>
      </c>
      <c r="I96" s="20">
        <v>45846</v>
      </c>
      <c r="J96" s="21" t="s">
        <v>97</v>
      </c>
      <c r="K96" s="44"/>
      <c r="L96" s="20">
        <f>I96+3</f>
        <v>45849</v>
      </c>
      <c r="M96" s="3"/>
      <c r="N96" s="4" t="s">
        <v>151</v>
      </c>
    </row>
    <row r="97" ht="15" hidden="1" spans="1:15">
      <c r="A97" s="17" t="s">
        <v>152</v>
      </c>
      <c r="B97" s="17" t="s">
        <v>153</v>
      </c>
      <c r="C97" s="17" t="s">
        <v>154</v>
      </c>
      <c r="D97" s="66">
        <v>81.733</v>
      </c>
      <c r="E97" s="67">
        <v>9385</v>
      </c>
      <c r="F97" s="18">
        <f t="shared" ref="F97:F111" si="15">E97*D97</f>
        <v>767064.205</v>
      </c>
      <c r="G97" s="68">
        <f>204120+562944.21</f>
        <v>767064.21</v>
      </c>
      <c r="H97" s="18">
        <f t="shared" si="9"/>
        <v>-0.00499999988824129</v>
      </c>
      <c r="I97" s="20">
        <v>45827</v>
      </c>
      <c r="J97" s="21" t="s">
        <v>97</v>
      </c>
      <c r="K97" s="22"/>
      <c r="L97" s="17"/>
      <c r="M97" s="1"/>
      <c r="O97" s="4">
        <v>68</v>
      </c>
    </row>
    <row r="98" ht="15" hidden="1" spans="1:15">
      <c r="A98" s="17" t="s">
        <v>152</v>
      </c>
      <c r="B98" s="17" t="s">
        <v>155</v>
      </c>
      <c r="C98" s="24" t="s">
        <v>156</v>
      </c>
      <c r="D98" s="28">
        <v>27.563</v>
      </c>
      <c r="E98" s="28">
        <f>9700+960</f>
        <v>10660</v>
      </c>
      <c r="F98" s="18">
        <f t="shared" si="15"/>
        <v>293821.58</v>
      </c>
      <c r="G98" s="18">
        <v>293821.58</v>
      </c>
      <c r="H98" s="18">
        <f t="shared" si="9"/>
        <v>0</v>
      </c>
      <c r="I98" s="41">
        <v>45838</v>
      </c>
      <c r="J98" s="21"/>
      <c r="K98" s="44"/>
      <c r="L98" s="20" t="s">
        <v>157</v>
      </c>
      <c r="M98" s="3"/>
    </row>
    <row r="99" ht="15" hidden="1" spans="1:15">
      <c r="A99" s="17" t="s">
        <v>152</v>
      </c>
      <c r="B99" s="17" t="s">
        <v>155</v>
      </c>
      <c r="C99" s="24" t="s">
        <v>158</v>
      </c>
      <c r="D99" s="28">
        <v>27.666</v>
      </c>
      <c r="E99" s="28">
        <f>9700+960</f>
        <v>10660</v>
      </c>
      <c r="F99" s="18">
        <f t="shared" si="15"/>
        <v>294919.56</v>
      </c>
      <c r="G99" s="18">
        <v>294919.56</v>
      </c>
      <c r="H99" s="18">
        <f t="shared" si="9"/>
        <v>0</v>
      </c>
      <c r="I99" s="41">
        <v>45838</v>
      </c>
      <c r="J99" s="21"/>
      <c r="K99" s="44"/>
      <c r="L99" s="20" t="s">
        <v>157</v>
      </c>
      <c r="M99" s="3"/>
    </row>
    <row r="100" ht="15" hidden="1" spans="1:15">
      <c r="A100" s="17" t="s">
        <v>152</v>
      </c>
      <c r="B100" s="17" t="s">
        <v>159</v>
      </c>
      <c r="C100" s="24" t="s">
        <v>160</v>
      </c>
      <c r="D100" s="24">
        <v>7.665</v>
      </c>
      <c r="E100" s="28">
        <v>9540</v>
      </c>
      <c r="F100" s="18">
        <f t="shared" si="15"/>
        <v>73124.1</v>
      </c>
      <c r="G100" s="18">
        <v>73124.1</v>
      </c>
      <c r="H100" s="18">
        <f t="shared" si="9"/>
        <v>0</v>
      </c>
      <c r="I100" s="41">
        <v>45838</v>
      </c>
      <c r="J100" s="21"/>
      <c r="K100" s="44"/>
      <c r="L100" s="20">
        <f t="shared" ref="L100:L102" si="16">I100+20</f>
        <v>45858</v>
      </c>
      <c r="M100" s="3"/>
    </row>
    <row r="101" ht="15" hidden="1" spans="1:15">
      <c r="A101" s="17" t="s">
        <v>152</v>
      </c>
      <c r="B101" s="17" t="s">
        <v>159</v>
      </c>
      <c r="C101" s="24" t="s">
        <v>161</v>
      </c>
      <c r="D101" s="24">
        <v>20.07</v>
      </c>
      <c r="E101" s="28">
        <v>9060</v>
      </c>
      <c r="F101" s="18">
        <f t="shared" si="15"/>
        <v>181834.2</v>
      </c>
      <c r="G101" s="18">
        <f>72574.2+109260</f>
        <v>181834.2</v>
      </c>
      <c r="H101" s="18">
        <f t="shared" si="9"/>
        <v>0</v>
      </c>
      <c r="I101" s="41">
        <v>45838</v>
      </c>
      <c r="J101" s="21"/>
      <c r="K101" s="44"/>
      <c r="L101" s="20">
        <f t="shared" si="16"/>
        <v>45858</v>
      </c>
      <c r="M101" s="3"/>
    </row>
    <row r="102" ht="15" hidden="1" spans="1:15">
      <c r="A102" s="17" t="s">
        <v>152</v>
      </c>
      <c r="B102" s="17" t="s">
        <v>162</v>
      </c>
      <c r="C102" s="24" t="s">
        <v>163</v>
      </c>
      <c r="D102" s="28">
        <v>15</v>
      </c>
      <c r="E102" s="28">
        <v>7600</v>
      </c>
      <c r="F102" s="18">
        <f t="shared" si="15"/>
        <v>114000</v>
      </c>
      <c r="G102" s="18">
        <v>0</v>
      </c>
      <c r="H102" s="18">
        <f t="shared" si="9"/>
        <v>114000</v>
      </c>
      <c r="I102" s="41">
        <v>46021</v>
      </c>
      <c r="J102" s="21"/>
      <c r="K102" s="44"/>
      <c r="L102" s="20">
        <f t="shared" si="16"/>
        <v>46041</v>
      </c>
      <c r="M102" s="3"/>
    </row>
    <row r="103" ht="15" hidden="1" spans="1:15">
      <c r="A103" s="17" t="s">
        <v>164</v>
      </c>
      <c r="B103" s="17" t="s">
        <v>165</v>
      </c>
      <c r="C103" s="27" t="s">
        <v>166</v>
      </c>
      <c r="D103" s="69">
        <f>1960400</f>
        <v>1960400</v>
      </c>
      <c r="E103" s="17">
        <v>0.123</v>
      </c>
      <c r="F103" s="18">
        <f t="shared" si="15"/>
        <v>241129.2</v>
      </c>
      <c r="G103" s="18">
        <v>241129.2</v>
      </c>
      <c r="H103" s="18">
        <f t="shared" si="9"/>
        <v>0</v>
      </c>
      <c r="I103" s="20">
        <v>45889</v>
      </c>
      <c r="J103" s="21"/>
      <c r="K103" s="44"/>
      <c r="L103" s="20">
        <v>45884</v>
      </c>
      <c r="M103" s="3"/>
    </row>
    <row r="104" ht="15" hidden="1" spans="1:15">
      <c r="A104" s="17" t="s">
        <v>164</v>
      </c>
      <c r="B104" s="17" t="s">
        <v>167</v>
      </c>
      <c r="C104" s="27" t="s">
        <v>166</v>
      </c>
      <c r="D104" s="69">
        <f>1960400</f>
        <v>1960400</v>
      </c>
      <c r="E104" s="17">
        <v>0.123</v>
      </c>
      <c r="F104" s="18">
        <f t="shared" si="15"/>
        <v>241129.2</v>
      </c>
      <c r="G104" s="18">
        <v>241129.2</v>
      </c>
      <c r="H104" s="18">
        <f t="shared" si="9"/>
        <v>0</v>
      </c>
      <c r="I104" s="20">
        <v>45925</v>
      </c>
      <c r="J104" s="21" t="s">
        <v>21</v>
      </c>
      <c r="K104" s="44"/>
      <c r="L104" s="20"/>
      <c r="M104" s="3"/>
    </row>
    <row r="105" ht="15" hidden="1" spans="1:15">
      <c r="A105" s="17" t="s">
        <v>164</v>
      </c>
      <c r="B105" s="17" t="s">
        <v>168</v>
      </c>
      <c r="C105" s="27" t="s">
        <v>166</v>
      </c>
      <c r="D105" s="69">
        <f>1960400*2</f>
        <v>3920800</v>
      </c>
      <c r="E105" s="17">
        <v>0.123</v>
      </c>
      <c r="F105" s="18">
        <f t="shared" si="15"/>
        <v>482258.4</v>
      </c>
      <c r="G105" s="18">
        <v>482258.4</v>
      </c>
      <c r="H105" s="18">
        <f t="shared" si="9"/>
        <v>0</v>
      </c>
      <c r="I105" s="20">
        <v>45941</v>
      </c>
      <c r="J105" s="21" t="s">
        <v>21</v>
      </c>
      <c r="K105" s="44"/>
      <c r="L105" s="20">
        <f>I105+40</f>
        <v>45981</v>
      </c>
      <c r="M105" s="3"/>
      <c r="O105" s="38"/>
    </row>
    <row r="106" ht="15" hidden="1" spans="1:15">
      <c r="A106" s="17" t="s">
        <v>164</v>
      </c>
      <c r="B106" s="70" t="s">
        <v>169</v>
      </c>
      <c r="C106" s="70" t="s">
        <v>170</v>
      </c>
      <c r="D106" s="70">
        <v>1160000</v>
      </c>
      <c r="E106" s="71">
        <f>157.05/1000</f>
        <v>0.15705</v>
      </c>
      <c r="F106" s="52">
        <f t="shared" si="15"/>
        <v>182178</v>
      </c>
      <c r="G106" s="52">
        <f>127524.6+54653.4</f>
        <v>182178</v>
      </c>
      <c r="H106" s="52">
        <f t="shared" si="9"/>
        <v>0</v>
      </c>
      <c r="I106" s="20">
        <v>45807</v>
      </c>
      <c r="J106" s="21" t="s">
        <v>97</v>
      </c>
      <c r="K106" s="22"/>
      <c r="L106" s="17"/>
      <c r="M106" s="1"/>
    </row>
    <row r="107" ht="15" hidden="1" spans="1:15">
      <c r="A107" s="17" t="s">
        <v>164</v>
      </c>
      <c r="B107" s="72" t="s">
        <v>171</v>
      </c>
      <c r="C107" s="72" t="s">
        <v>172</v>
      </c>
      <c r="D107" s="73">
        <v>19</v>
      </c>
      <c r="E107" s="73">
        <v>4105.3</v>
      </c>
      <c r="F107" s="65">
        <f t="shared" si="15"/>
        <v>78000.7</v>
      </c>
      <c r="G107" s="74">
        <v>78000.7</v>
      </c>
      <c r="H107" s="52">
        <f t="shared" si="9"/>
        <v>0</v>
      </c>
      <c r="I107" s="75">
        <v>45860</v>
      </c>
      <c r="J107" s="21"/>
      <c r="K107" s="44"/>
      <c r="L107" s="20">
        <f>I107+3</f>
        <v>45863</v>
      </c>
      <c r="M107" s="3"/>
    </row>
    <row r="108" ht="15" hidden="1" spans="1:15">
      <c r="A108" s="17" t="s">
        <v>164</v>
      </c>
      <c r="B108" s="17" t="s">
        <v>173</v>
      </c>
      <c r="C108" s="76" t="s">
        <v>172</v>
      </c>
      <c r="D108" s="77">
        <v>3</v>
      </c>
      <c r="E108" s="77">
        <v>9067</v>
      </c>
      <c r="F108" s="65">
        <f t="shared" si="15"/>
        <v>27201</v>
      </c>
      <c r="G108" s="18">
        <v>27201</v>
      </c>
      <c r="H108" s="18">
        <f t="shared" si="9"/>
        <v>0</v>
      </c>
      <c r="I108" s="20">
        <v>45915</v>
      </c>
      <c r="J108" s="21" t="s">
        <v>21</v>
      </c>
      <c r="K108" s="44"/>
      <c r="L108" s="20">
        <f>I108+3</f>
        <v>45918</v>
      </c>
      <c r="M108" s="3"/>
    </row>
    <row r="109" ht="15" hidden="1" spans="1:15">
      <c r="A109" s="17" t="s">
        <v>164</v>
      </c>
      <c r="B109" s="17" t="s">
        <v>174</v>
      </c>
      <c r="C109" s="76" t="s">
        <v>172</v>
      </c>
      <c r="D109" s="70">
        <v>2</v>
      </c>
      <c r="E109" s="70">
        <v>8640</v>
      </c>
      <c r="F109" s="52">
        <f t="shared" si="15"/>
        <v>17280</v>
      </c>
      <c r="G109" s="52">
        <v>17280</v>
      </c>
      <c r="H109" s="18">
        <f t="shared" si="9"/>
        <v>0</v>
      </c>
      <c r="I109" s="20">
        <v>45915</v>
      </c>
      <c r="J109" s="21"/>
      <c r="K109" s="44"/>
      <c r="L109" s="20"/>
      <c r="M109" s="3"/>
    </row>
    <row r="110" ht="15" hidden="1" spans="1:15">
      <c r="A110" s="17" t="s">
        <v>164</v>
      </c>
      <c r="B110" s="70" t="s">
        <v>175</v>
      </c>
      <c r="C110" s="1" t="s">
        <v>172</v>
      </c>
      <c r="D110" s="70">
        <v>18</v>
      </c>
      <c r="E110" s="70">
        <v>4459</v>
      </c>
      <c r="F110" s="78">
        <f t="shared" si="15"/>
        <v>80262</v>
      </c>
      <c r="G110" s="52">
        <f>24078.6+56183.4</f>
        <v>80262</v>
      </c>
      <c r="H110" s="18">
        <f t="shared" ref="H110:H173" si="17">F110-G110</f>
        <v>0</v>
      </c>
      <c r="I110" s="20">
        <v>45945</v>
      </c>
      <c r="J110" s="21"/>
      <c r="K110" s="44"/>
      <c r="L110" s="20"/>
      <c r="M110" s="3"/>
    </row>
    <row r="111" ht="15" spans="1:15">
      <c r="A111" s="17" t="s">
        <v>18</v>
      </c>
      <c r="B111" s="70" t="s">
        <v>176</v>
      </c>
      <c r="C111" s="79" t="s">
        <v>177</v>
      </c>
      <c r="D111" s="70">
        <v>1160000</v>
      </c>
      <c r="E111" s="70">
        <v>0.23</v>
      </c>
      <c r="F111" s="78">
        <f t="shared" si="15"/>
        <v>266800</v>
      </c>
      <c r="G111" s="52">
        <v>266800</v>
      </c>
      <c r="H111" s="52">
        <f t="shared" si="17"/>
        <v>0</v>
      </c>
      <c r="I111" s="20">
        <v>45849</v>
      </c>
      <c r="J111" s="21"/>
      <c r="K111" s="44"/>
      <c r="L111" s="20">
        <v>45863</v>
      </c>
      <c r="M111" s="3"/>
      <c r="O111" s="38">
        <f>H111</f>
        <v>0</v>
      </c>
    </row>
    <row r="112" ht="15" spans="1:15">
      <c r="A112" s="17" t="s">
        <v>18</v>
      </c>
      <c r="B112" s="70" t="s">
        <v>178</v>
      </c>
      <c r="C112" s="22" t="s">
        <v>84</v>
      </c>
      <c r="D112" s="17">
        <v>2320000</v>
      </c>
      <c r="E112" s="17">
        <v>0.2329</v>
      </c>
      <c r="F112" s="78">
        <f>E112*D112*0.3</f>
        <v>162098.4</v>
      </c>
      <c r="G112" s="52">
        <v>162098.4</v>
      </c>
      <c r="H112" s="52">
        <f t="shared" si="17"/>
        <v>0</v>
      </c>
      <c r="I112" s="20">
        <v>45861</v>
      </c>
      <c r="J112" s="21" t="s">
        <v>21</v>
      </c>
      <c r="K112" s="44"/>
      <c r="L112" s="20">
        <v>45863</v>
      </c>
      <c r="M112" s="3"/>
      <c r="O112" s="45" t="e">
        <f>H112*#REF!</f>
        <v>#REF!</v>
      </c>
    </row>
    <row r="113" ht="15" spans="1:29">
      <c r="A113" s="17" t="s">
        <v>18</v>
      </c>
      <c r="B113" s="70" t="s">
        <v>178</v>
      </c>
      <c r="C113" s="80"/>
      <c r="D113" s="32"/>
      <c r="E113" s="32"/>
      <c r="F113" s="78">
        <f>D112*E112*0.7</f>
        <v>378229.6</v>
      </c>
      <c r="G113" s="52">
        <v>378229.6</v>
      </c>
      <c r="H113" s="52">
        <f t="shared" si="17"/>
        <v>0</v>
      </c>
      <c r="I113" s="20">
        <v>45861</v>
      </c>
      <c r="J113" s="21" t="s">
        <v>21</v>
      </c>
      <c r="K113" s="44"/>
      <c r="L113" s="20">
        <v>45863</v>
      </c>
      <c r="M113" s="3"/>
      <c r="O113" s="45" t="e">
        <f>H113*#REF!</f>
        <v>#REF!</v>
      </c>
    </row>
    <row r="114" ht="15" hidden="1" spans="1:29">
      <c r="A114" s="70" t="s">
        <v>139</v>
      </c>
      <c r="B114" s="17" t="s">
        <v>179</v>
      </c>
      <c r="C114" s="17" t="s">
        <v>180</v>
      </c>
      <c r="D114" s="81">
        <v>1.529</v>
      </c>
      <c r="E114" s="17">
        <v>6857</v>
      </c>
      <c r="F114" s="78">
        <f t="shared" ref="F114:F170" si="18">E114*D114</f>
        <v>10484.353</v>
      </c>
      <c r="G114" s="52">
        <v>10484.353</v>
      </c>
      <c r="H114" s="18">
        <f t="shared" si="17"/>
        <v>0</v>
      </c>
      <c r="I114" s="20">
        <v>45846</v>
      </c>
      <c r="J114" s="21" t="s">
        <v>21</v>
      </c>
      <c r="K114" s="22"/>
      <c r="L114" s="17"/>
      <c r="M114" s="1"/>
      <c r="O114" s="38"/>
    </row>
    <row r="115" ht="15" hidden="1" spans="1:29">
      <c r="A115" s="70" t="s">
        <v>139</v>
      </c>
      <c r="B115" s="17" t="s">
        <v>179</v>
      </c>
      <c r="C115" s="17" t="s">
        <v>181</v>
      </c>
      <c r="D115" s="17">
        <v>0.588</v>
      </c>
      <c r="E115" s="17">
        <v>7009</v>
      </c>
      <c r="F115" s="78">
        <f t="shared" si="18"/>
        <v>4121.292</v>
      </c>
      <c r="G115" s="52">
        <v>4121.292</v>
      </c>
      <c r="H115" s="18">
        <f t="shared" si="17"/>
        <v>0</v>
      </c>
      <c r="I115" s="82"/>
      <c r="J115" s="21" t="s">
        <v>97</v>
      </c>
      <c r="K115" s="22"/>
      <c r="L115" s="17"/>
      <c r="M115" s="1"/>
    </row>
    <row r="116" ht="15" hidden="1" spans="1:29">
      <c r="A116" s="70" t="s">
        <v>139</v>
      </c>
      <c r="B116" s="70" t="s">
        <v>182</v>
      </c>
      <c r="C116" s="70" t="s">
        <v>183</v>
      </c>
      <c r="D116" s="70">
        <v>51.471</v>
      </c>
      <c r="E116" s="70">
        <v>6850</v>
      </c>
      <c r="F116" s="83">
        <f t="shared" si="18"/>
        <v>352576.35</v>
      </c>
      <c r="G116" s="84">
        <f>102750+249826.35</f>
        <v>352576.35</v>
      </c>
      <c r="H116" s="52">
        <f t="shared" si="17"/>
        <v>0</v>
      </c>
      <c r="I116" s="85">
        <v>45920</v>
      </c>
      <c r="J116" s="86" t="s">
        <v>21</v>
      </c>
      <c r="K116" s="87"/>
      <c r="L116" s="20">
        <f>I116+14</f>
        <v>45934</v>
      </c>
      <c r="M116" s="3"/>
    </row>
    <row r="117" ht="14.45" customHeight="1" spans="1:29">
      <c r="A117" s="17" t="s">
        <v>18</v>
      </c>
      <c r="B117" s="72" t="s">
        <v>184</v>
      </c>
      <c r="C117" s="73" t="str">
        <f>'[1]Sheet7 (2)'!E518</f>
        <v>0.16*820 2.0/2.0, T4 Stone, BA</v>
      </c>
      <c r="D117" s="88">
        <v>77.84</v>
      </c>
      <c r="E117" s="73">
        <v>5930</v>
      </c>
      <c r="F117" s="65">
        <f t="shared" si="18"/>
        <v>461591.2</v>
      </c>
      <c r="G117" s="65">
        <f>93172.38+368418.82</f>
        <v>461591.2</v>
      </c>
      <c r="H117" s="52">
        <f t="shared" si="17"/>
        <v>0</v>
      </c>
      <c r="I117" s="89">
        <v>45902</v>
      </c>
      <c r="J117" s="21" t="s">
        <v>97</v>
      </c>
      <c r="K117" s="22"/>
      <c r="L117" s="17"/>
      <c r="M117" s="1"/>
    </row>
    <row r="118" ht="15" spans="1:29">
      <c r="A118" s="17" t="s">
        <v>18</v>
      </c>
      <c r="B118" s="72" t="s">
        <v>184</v>
      </c>
      <c r="C118" s="72" t="str">
        <f>'[1]Sheet7 (2)'!E519</f>
        <v>0.16*875 2.0/2.0, DR 8.5 Stone, BA</v>
      </c>
      <c r="D118" s="90">
        <v>59.63</v>
      </c>
      <c r="E118" s="72">
        <v>6180</v>
      </c>
      <c r="F118" s="74">
        <f t="shared" si="18"/>
        <v>368513.4</v>
      </c>
      <c r="G118" s="65">
        <f>368513.4+75303.3-5048.04000000001-1774.08-1998.64-3406.15-7038.64999999999-1821.05-35251.2-397.439999999973-18568.05</f>
        <v>368513.4</v>
      </c>
      <c r="H118" s="52">
        <f t="shared" si="17"/>
        <v>0</v>
      </c>
      <c r="I118" s="89">
        <v>45902</v>
      </c>
      <c r="J118" s="21" t="s">
        <v>97</v>
      </c>
      <c r="K118" s="22"/>
      <c r="L118" s="17"/>
      <c r="M118" s="1"/>
      <c r="R118" s="2" t="s">
        <v>185</v>
      </c>
      <c r="S118" s="91">
        <f>H46+H63+H67</f>
        <v>0</v>
      </c>
      <c r="T118" s="2"/>
      <c r="U118" s="2"/>
      <c r="V118" s="2"/>
      <c r="W118" s="2"/>
      <c r="X118" s="92" t="s">
        <v>186</v>
      </c>
      <c r="AA118" s="92" t="s">
        <v>187</v>
      </c>
      <c r="AB118" s="5" t="e">
        <f>SUM(H29+H77+H80+#REF!+H82+H83+H84+H86+H87+H89)</f>
        <v>#REF!</v>
      </c>
      <c r="AC118" s="93"/>
    </row>
    <row r="119" ht="15" spans="1:29">
      <c r="A119" s="17" t="s">
        <v>18</v>
      </c>
      <c r="B119" s="73" t="s">
        <v>188</v>
      </c>
      <c r="C119" s="90" t="s">
        <v>189</v>
      </c>
      <c r="D119" s="90">
        <v>28.002</v>
      </c>
      <c r="E119" s="94">
        <v>6100</v>
      </c>
      <c r="F119" s="65">
        <f t="shared" si="18"/>
        <v>170812.2</v>
      </c>
      <c r="G119" s="65">
        <f>34895.12+8486.88+121318+6112.19999999998</f>
        <v>170812.2</v>
      </c>
      <c r="H119" s="95">
        <f t="shared" si="17"/>
        <v>0</v>
      </c>
      <c r="I119" s="89">
        <v>46021</v>
      </c>
      <c r="J119" s="96" t="s">
        <v>21</v>
      </c>
      <c r="K119" s="22"/>
      <c r="L119" s="17"/>
      <c r="M119" s="1"/>
      <c r="O119" s="38"/>
      <c r="R119" s="2" t="s">
        <v>190</v>
      </c>
      <c r="S119" s="91">
        <f>H103+H100+H98+H97+H69+H45+H85+H88+H71+H90+H96+H94</f>
        <v>-0.00299999990966171</v>
      </c>
      <c r="T119" s="2"/>
      <c r="U119" s="2"/>
      <c r="V119" s="2"/>
      <c r="W119" s="2"/>
      <c r="X119" s="92" t="s">
        <v>191</v>
      </c>
      <c r="Y119" s="5">
        <f>H50+H73+H79+H105</f>
        <v>0</v>
      </c>
      <c r="Z119" s="93"/>
      <c r="AA119" s="92" t="s">
        <v>192</v>
      </c>
    </row>
    <row r="120" ht="12.95" customHeight="1" spans="1:29">
      <c r="A120" s="17" t="s">
        <v>18</v>
      </c>
      <c r="B120" s="73" t="s">
        <v>193</v>
      </c>
      <c r="C120" s="90" t="s">
        <v>189</v>
      </c>
      <c r="D120" s="90">
        <v>26.298</v>
      </c>
      <c r="E120" s="94">
        <v>6100</v>
      </c>
      <c r="F120" s="65">
        <f t="shared" si="18"/>
        <v>160417.8</v>
      </c>
      <c r="G120" s="65">
        <f>166530-6112.19999999998</f>
        <v>160417.8</v>
      </c>
      <c r="H120" s="95">
        <f t="shared" si="17"/>
        <v>0</v>
      </c>
      <c r="I120" s="89">
        <v>46021</v>
      </c>
      <c r="J120" s="96" t="s">
        <v>21</v>
      </c>
      <c r="K120" s="22"/>
      <c r="L120" s="17"/>
      <c r="M120" s="1"/>
      <c r="O120" s="38"/>
      <c r="R120" s="2"/>
      <c r="S120" s="91"/>
      <c r="T120" s="2"/>
      <c r="U120" s="2"/>
      <c r="V120" s="2"/>
      <c r="W120" s="2"/>
      <c r="X120" s="92"/>
      <c r="Z120" s="93"/>
      <c r="AA120" s="92"/>
    </row>
    <row r="121" ht="15.75" spans="1:29">
      <c r="A121" s="17" t="s">
        <v>18</v>
      </c>
      <c r="B121" s="73" t="s">
        <v>194</v>
      </c>
      <c r="C121" s="90" t="s">
        <v>195</v>
      </c>
      <c r="D121" s="94">
        <v>40.905</v>
      </c>
      <c r="E121" s="94">
        <v>6100</v>
      </c>
      <c r="F121" s="65">
        <f t="shared" si="18"/>
        <v>249520.5</v>
      </c>
      <c r="G121" s="65">
        <f>732000-249520.5-314211+81252</f>
        <v>249520.5</v>
      </c>
      <c r="H121" s="97">
        <f t="shared" si="17"/>
        <v>0</v>
      </c>
      <c r="I121" s="89">
        <v>46021</v>
      </c>
      <c r="J121" s="96" t="s">
        <v>196</v>
      </c>
      <c r="K121" s="22"/>
      <c r="L121" s="17"/>
      <c r="M121" s="1"/>
      <c r="R121" s="98" t="s">
        <v>197</v>
      </c>
      <c r="S121" s="99">
        <f>-[1]Varnish!Z84</f>
        <v>333340.737</v>
      </c>
      <c r="T121" s="98"/>
      <c r="U121" s="98"/>
      <c r="V121" s="98"/>
      <c r="W121" s="98"/>
      <c r="X121" s="100"/>
      <c r="Y121" s="101"/>
      <c r="Z121" s="102"/>
      <c r="AA121" s="102"/>
      <c r="AB121" s="101"/>
    </row>
    <row r="122" ht="15" spans="1:29">
      <c r="A122" s="17" t="s">
        <v>18</v>
      </c>
      <c r="B122" s="73" t="s">
        <v>188</v>
      </c>
      <c r="C122" s="90" t="s">
        <v>195</v>
      </c>
      <c r="D122" s="94">
        <v>51.51</v>
      </c>
      <c r="E122" s="94">
        <v>6100</v>
      </c>
      <c r="F122" s="65">
        <f t="shared" si="18"/>
        <v>314211</v>
      </c>
      <c r="G122" s="65">
        <v>314211</v>
      </c>
      <c r="H122" s="95">
        <f t="shared" si="17"/>
        <v>0</v>
      </c>
      <c r="I122" s="89">
        <v>46037</v>
      </c>
      <c r="J122" s="96" t="s">
        <v>21</v>
      </c>
      <c r="K122" s="22"/>
      <c r="L122" s="17"/>
      <c r="M122" s="1"/>
      <c r="R122" s="2"/>
      <c r="S122" s="91"/>
      <c r="T122" s="2"/>
      <c r="U122" s="2"/>
      <c r="V122" s="2"/>
      <c r="W122" s="2"/>
      <c r="X122" s="103"/>
    </row>
    <row r="123" ht="15" spans="1:29">
      <c r="A123" s="17" t="s">
        <v>18</v>
      </c>
      <c r="B123" s="73" t="s">
        <v>193</v>
      </c>
      <c r="C123" s="90" t="s">
        <v>195</v>
      </c>
      <c r="D123" s="94">
        <v>40.905</v>
      </c>
      <c r="E123" s="94">
        <v>6100</v>
      </c>
      <c r="F123" s="65">
        <f t="shared" si="18"/>
        <v>249520.5</v>
      </c>
      <c r="G123" s="65">
        <v>249520.5</v>
      </c>
      <c r="H123" s="95">
        <f t="shared" si="17"/>
        <v>0</v>
      </c>
      <c r="I123" s="89">
        <v>46021</v>
      </c>
      <c r="J123" s="96" t="s">
        <v>21</v>
      </c>
      <c r="K123" s="22"/>
      <c r="L123" s="17"/>
      <c r="M123" s="1"/>
      <c r="R123" s="2"/>
      <c r="S123" s="91"/>
      <c r="T123" s="2"/>
      <c r="U123" s="2"/>
      <c r="V123" s="2"/>
      <c r="W123" s="2"/>
      <c r="X123" s="103"/>
    </row>
    <row r="124" ht="15" spans="1:29">
      <c r="A124" s="17" t="s">
        <v>18</v>
      </c>
      <c r="B124" s="73" t="s">
        <v>198</v>
      </c>
      <c r="C124" s="90" t="s">
        <v>195</v>
      </c>
      <c r="D124" s="94">
        <v>1.103</v>
      </c>
      <c r="E124" s="94">
        <v>6100</v>
      </c>
      <c r="F124" s="65">
        <f t="shared" si="18"/>
        <v>6728.3</v>
      </c>
      <c r="G124" s="65">
        <v>6728.3</v>
      </c>
      <c r="H124" s="104">
        <f t="shared" si="17"/>
        <v>0</v>
      </c>
      <c r="I124" s="89">
        <v>46059</v>
      </c>
      <c r="J124" s="96" t="s">
        <v>21</v>
      </c>
      <c r="K124" s="22"/>
      <c r="L124" s="17"/>
      <c r="M124" s="1"/>
      <c r="R124" s="2"/>
      <c r="S124" s="91"/>
      <c r="T124" s="2"/>
      <c r="U124" s="2"/>
      <c r="V124" s="2"/>
      <c r="W124" s="2"/>
      <c r="X124" s="103"/>
    </row>
    <row r="125" ht="15" spans="1:29">
      <c r="A125" s="17" t="s">
        <v>18</v>
      </c>
      <c r="B125" s="73" t="s">
        <v>193</v>
      </c>
      <c r="C125" s="90" t="s">
        <v>199</v>
      </c>
      <c r="D125" s="94">
        <v>27.216</v>
      </c>
      <c r="E125" s="94">
        <v>5950</v>
      </c>
      <c r="F125" s="65">
        <f t="shared" si="18"/>
        <v>161935.2</v>
      </c>
      <c r="G125" s="65">
        <f>148750+13185.2</f>
        <v>161935.2</v>
      </c>
      <c r="H125" s="95">
        <f t="shared" si="17"/>
        <v>0</v>
      </c>
      <c r="I125" s="89">
        <v>46021</v>
      </c>
      <c r="J125" s="96" t="s">
        <v>21</v>
      </c>
      <c r="K125" s="22"/>
      <c r="L125" s="17"/>
      <c r="M125" s="1"/>
      <c r="O125" s="38">
        <f>SUM(H119:H125)</f>
        <v>0</v>
      </c>
      <c r="R125" s="2"/>
      <c r="S125" s="91">
        <f>SUM(H45+H46+H63+H67+H69+H71+H85+H88+S121+H77)</f>
        <v>333340.737</v>
      </c>
      <c r="T125" s="2"/>
      <c r="U125" s="2"/>
      <c r="V125" s="2"/>
      <c r="W125" s="2"/>
      <c r="X125" s="103"/>
      <c r="Y125" s="5">
        <f>Y119</f>
        <v>0</v>
      </c>
      <c r="Z125" s="93"/>
      <c r="AB125" s="5" t="e">
        <f>AB118</f>
        <v>#REF!</v>
      </c>
      <c r="AC125" s="93"/>
    </row>
    <row r="126" ht="15" spans="1:29">
      <c r="A126" s="17" t="s">
        <v>18</v>
      </c>
      <c r="B126" s="73" t="s">
        <v>194</v>
      </c>
      <c r="C126" s="90" t="s">
        <v>200</v>
      </c>
      <c r="D126" s="94">
        <v>42.228</v>
      </c>
      <c r="E126" s="94">
        <v>6100</v>
      </c>
      <c r="F126" s="65">
        <f t="shared" si="18"/>
        <v>257590.8</v>
      </c>
      <c r="G126" s="65">
        <f>658800-166347-212097-22765.2</f>
        <v>257590.8</v>
      </c>
      <c r="H126" s="95">
        <f t="shared" si="17"/>
        <v>0</v>
      </c>
      <c r="I126" s="89">
        <v>46021</v>
      </c>
      <c r="J126" s="96" t="s">
        <v>21</v>
      </c>
      <c r="K126" s="22"/>
      <c r="L126" s="17"/>
      <c r="M126" s="1"/>
    </row>
    <row r="127" ht="15" spans="1:29">
      <c r="A127" s="17" t="s">
        <v>18</v>
      </c>
      <c r="B127" s="73" t="s">
        <v>201</v>
      </c>
      <c r="C127" s="90" t="s">
        <v>200</v>
      </c>
      <c r="D127" s="94">
        <v>7.529</v>
      </c>
      <c r="E127" s="94">
        <v>6100</v>
      </c>
      <c r="F127" s="65">
        <f t="shared" si="18"/>
        <v>45926.9</v>
      </c>
      <c r="G127" s="65">
        <f>22765.2+23161.7</f>
        <v>45926.9</v>
      </c>
      <c r="H127" s="97">
        <f t="shared" si="17"/>
        <v>0</v>
      </c>
      <c r="I127" s="89">
        <v>46042</v>
      </c>
      <c r="J127" s="96" t="s">
        <v>21</v>
      </c>
      <c r="K127" s="22"/>
      <c r="L127" s="17"/>
      <c r="M127" s="1"/>
    </row>
    <row r="128" ht="15" spans="1:29">
      <c r="A128" s="17" t="s">
        <v>18</v>
      </c>
      <c r="B128" s="73" t="s">
        <v>188</v>
      </c>
      <c r="C128" s="90" t="s">
        <v>200</v>
      </c>
      <c r="D128" s="94">
        <v>34.77</v>
      </c>
      <c r="E128" s="94">
        <v>6100</v>
      </c>
      <c r="F128" s="65">
        <f t="shared" si="18"/>
        <v>212097</v>
      </c>
      <c r="G128" s="65">
        <v>212097</v>
      </c>
      <c r="H128" s="95">
        <f t="shared" si="17"/>
        <v>0</v>
      </c>
      <c r="I128" s="89">
        <v>46037</v>
      </c>
      <c r="J128" s="96" t="s">
        <v>21</v>
      </c>
      <c r="K128" s="22"/>
      <c r="L128" s="17"/>
      <c r="M128" s="1"/>
    </row>
    <row r="129" ht="15" spans="1:15">
      <c r="A129" s="17" t="s">
        <v>18</v>
      </c>
      <c r="B129" s="73" t="s">
        <v>193</v>
      </c>
      <c r="C129" s="90" t="s">
        <v>200</v>
      </c>
      <c r="D129" s="94">
        <v>27.27</v>
      </c>
      <c r="E129" s="94">
        <v>6100</v>
      </c>
      <c r="F129" s="65">
        <f t="shared" si="18"/>
        <v>166347</v>
      </c>
      <c r="G129" s="65">
        <v>166347</v>
      </c>
      <c r="H129" s="95">
        <f t="shared" si="17"/>
        <v>0</v>
      </c>
      <c r="I129" s="89">
        <v>46021</v>
      </c>
      <c r="J129" s="96" t="s">
        <v>21</v>
      </c>
      <c r="K129" s="22"/>
      <c r="L129" s="17"/>
      <c r="M129" s="1"/>
    </row>
    <row r="130" ht="15" spans="1:15">
      <c r="A130" s="17" t="s">
        <v>18</v>
      </c>
      <c r="B130" s="73" t="s">
        <v>198</v>
      </c>
      <c r="C130" s="90" t="s">
        <v>200</v>
      </c>
      <c r="D130" s="94">
        <v>7.249</v>
      </c>
      <c r="E130" s="94">
        <v>6100</v>
      </c>
      <c r="F130" s="65">
        <f t="shared" si="18"/>
        <v>44218.9</v>
      </c>
      <c r="G130" s="65">
        <v>44218.9</v>
      </c>
      <c r="H130" s="104">
        <f t="shared" si="17"/>
        <v>0</v>
      </c>
      <c r="I130" s="89">
        <v>46059</v>
      </c>
      <c r="J130" s="96" t="s">
        <v>21</v>
      </c>
      <c r="K130" s="22"/>
      <c r="L130" s="17"/>
      <c r="M130" s="1"/>
    </row>
    <row r="131" ht="15" spans="1:15">
      <c r="A131" s="17" t="s">
        <v>18</v>
      </c>
      <c r="B131" s="73" t="s">
        <v>188</v>
      </c>
      <c r="C131" s="90" t="s">
        <v>202</v>
      </c>
      <c r="D131" s="94">
        <v>22.47</v>
      </c>
      <c r="E131" s="94">
        <v>5950</v>
      </c>
      <c r="F131" s="65">
        <f t="shared" si="18"/>
        <v>133696.5</v>
      </c>
      <c r="G131" s="65">
        <f>600117-484579.9+18159.4</f>
        <v>133696.5</v>
      </c>
      <c r="H131" s="97">
        <f t="shared" si="17"/>
        <v>0</v>
      </c>
      <c r="I131" s="89">
        <v>46021</v>
      </c>
      <c r="J131" s="96" t="s">
        <v>21</v>
      </c>
      <c r="K131" s="22"/>
      <c r="L131" s="17"/>
      <c r="M131" s="1"/>
    </row>
    <row r="132" ht="15" spans="1:15">
      <c r="A132" s="17" t="s">
        <v>18</v>
      </c>
      <c r="B132" s="73" t="s">
        <v>203</v>
      </c>
      <c r="C132" s="90" t="s">
        <v>204</v>
      </c>
      <c r="D132" s="105">
        <v>81.81</v>
      </c>
      <c r="E132" s="94">
        <v>5950</v>
      </c>
      <c r="F132" s="65">
        <f t="shared" si="18"/>
        <v>486769.5</v>
      </c>
      <c r="G132" s="65">
        <v>486769.5</v>
      </c>
      <c r="H132" s="65">
        <f t="shared" si="17"/>
        <v>0</v>
      </c>
      <c r="I132" s="89">
        <v>45945</v>
      </c>
      <c r="J132" s="86" t="s">
        <v>21</v>
      </c>
      <c r="K132" s="79"/>
      <c r="L132" s="17"/>
      <c r="M132" s="1"/>
    </row>
    <row r="133" ht="15" spans="1:15">
      <c r="A133" s="17" t="s">
        <v>18</v>
      </c>
      <c r="B133" s="73" t="s">
        <v>205</v>
      </c>
      <c r="C133" s="90" t="s">
        <v>204</v>
      </c>
      <c r="D133" s="105">
        <v>81.81</v>
      </c>
      <c r="E133" s="94">
        <v>5950</v>
      </c>
      <c r="F133" s="65">
        <f t="shared" si="18"/>
        <v>486769.5</v>
      </c>
      <c r="G133" s="65">
        <v>486769.5</v>
      </c>
      <c r="H133" s="65">
        <f t="shared" si="17"/>
        <v>0</v>
      </c>
      <c r="I133" s="89">
        <v>45945</v>
      </c>
      <c r="J133" s="86" t="s">
        <v>21</v>
      </c>
      <c r="K133" s="79"/>
      <c r="L133" s="17"/>
      <c r="M133" s="1"/>
    </row>
    <row r="134" ht="15" spans="1:15">
      <c r="A134" s="17" t="s">
        <v>18</v>
      </c>
      <c r="B134" s="73" t="s">
        <v>206</v>
      </c>
      <c r="C134" s="90" t="s">
        <v>202</v>
      </c>
      <c r="D134" s="105">
        <v>81.419</v>
      </c>
      <c r="E134" s="94">
        <v>5950</v>
      </c>
      <c r="F134" s="65">
        <f t="shared" si="18"/>
        <v>484443.05</v>
      </c>
      <c r="G134" s="65">
        <v>484443.05</v>
      </c>
      <c r="H134" s="65">
        <f t="shared" si="17"/>
        <v>0</v>
      </c>
      <c r="I134" s="89">
        <v>45922</v>
      </c>
      <c r="J134" s="86" t="s">
        <v>21</v>
      </c>
      <c r="K134" s="79"/>
      <c r="L134" s="17"/>
      <c r="M134" s="1"/>
    </row>
    <row r="135" ht="15" spans="1:15">
      <c r="A135" s="17" t="s">
        <v>18</v>
      </c>
      <c r="B135" s="73" t="s">
        <v>207</v>
      </c>
      <c r="C135" s="90" t="s">
        <v>208</v>
      </c>
      <c r="D135" s="105">
        <v>54</v>
      </c>
      <c r="E135" s="94">
        <v>5950</v>
      </c>
      <c r="F135" s="65">
        <f t="shared" si="18"/>
        <v>321300</v>
      </c>
      <c r="G135" s="65">
        <v>321300</v>
      </c>
      <c r="H135" s="65">
        <f t="shared" si="17"/>
        <v>0</v>
      </c>
      <c r="I135" s="89">
        <v>45922</v>
      </c>
      <c r="J135" s="86" t="s">
        <v>21</v>
      </c>
      <c r="K135" s="79"/>
      <c r="L135" s="17"/>
      <c r="M135" s="1"/>
    </row>
    <row r="136" ht="15" spans="1:15">
      <c r="A136" s="17" t="s">
        <v>18</v>
      </c>
      <c r="B136" s="73" t="s">
        <v>206</v>
      </c>
      <c r="C136" s="90" t="s">
        <v>208</v>
      </c>
      <c r="D136" s="105">
        <f>94.5-54</f>
        <v>40.5</v>
      </c>
      <c r="E136" s="94">
        <v>5950</v>
      </c>
      <c r="F136" s="65">
        <f t="shared" si="18"/>
        <v>240975</v>
      </c>
      <c r="G136" s="65">
        <v>240975</v>
      </c>
      <c r="H136" s="65">
        <f t="shared" si="17"/>
        <v>0</v>
      </c>
      <c r="I136" s="89">
        <v>45922</v>
      </c>
      <c r="J136" s="86" t="s">
        <v>21</v>
      </c>
      <c r="K136" s="79"/>
      <c r="L136" s="17"/>
      <c r="M136" s="1"/>
    </row>
    <row r="137" ht="15" spans="1:15">
      <c r="A137" s="17" t="s">
        <v>18</v>
      </c>
      <c r="B137" s="73" t="s">
        <v>209</v>
      </c>
      <c r="C137" s="90" t="s">
        <v>208</v>
      </c>
      <c r="D137" s="105">
        <v>27.612</v>
      </c>
      <c r="E137" s="94">
        <v>5950</v>
      </c>
      <c r="F137" s="65">
        <f t="shared" si="18"/>
        <v>164291.4</v>
      </c>
      <c r="G137" s="65">
        <f>8510.84000000014+9886.30250000005-2644.06580000002-14775.5161+15286.05+148027.7894</f>
        <v>164291.4</v>
      </c>
      <c r="H137" s="65">
        <f t="shared" si="17"/>
        <v>0</v>
      </c>
      <c r="I137" s="89">
        <v>45912</v>
      </c>
      <c r="J137" s="96" t="s">
        <v>21</v>
      </c>
      <c r="K137" s="22"/>
      <c r="L137" s="17"/>
      <c r="M137" s="1"/>
    </row>
    <row r="138" ht="15" spans="1:15">
      <c r="A138" s="17" t="s">
        <v>18</v>
      </c>
      <c r="B138" s="73" t="s">
        <v>210</v>
      </c>
      <c r="C138" s="90" t="s">
        <v>204</v>
      </c>
      <c r="D138" s="105">
        <v>136.35</v>
      </c>
      <c r="E138" s="94">
        <v>5950</v>
      </c>
      <c r="F138" s="65">
        <f t="shared" si="18"/>
        <v>811282.5</v>
      </c>
      <c r="G138" s="65">
        <f>270000+541282.5</f>
        <v>811282.5</v>
      </c>
      <c r="H138" s="65">
        <f t="shared" si="17"/>
        <v>0</v>
      </c>
      <c r="I138" s="89">
        <v>45915</v>
      </c>
      <c r="J138" s="96" t="s">
        <v>21</v>
      </c>
      <c r="K138" s="22"/>
      <c r="L138" s="17"/>
      <c r="M138" s="1"/>
      <c r="O138" s="38"/>
    </row>
    <row r="139" ht="15" spans="1:15">
      <c r="A139" s="17" t="s">
        <v>18</v>
      </c>
      <c r="B139" s="73" t="s">
        <v>209</v>
      </c>
      <c r="C139" s="90" t="s">
        <v>204</v>
      </c>
      <c r="D139" s="105">
        <v>54.54</v>
      </c>
      <c r="E139" s="94">
        <v>5950</v>
      </c>
      <c r="F139" s="65">
        <f t="shared" si="18"/>
        <v>324513</v>
      </c>
      <c r="G139" s="65">
        <v>324513</v>
      </c>
      <c r="H139" s="65">
        <f t="shared" si="17"/>
        <v>0</v>
      </c>
      <c r="I139" s="89">
        <v>45912</v>
      </c>
      <c r="J139" s="96" t="s">
        <v>21</v>
      </c>
      <c r="K139" s="22"/>
      <c r="L139" s="17"/>
      <c r="M139" s="1"/>
    </row>
    <row r="140" ht="15" spans="1:15">
      <c r="A140" s="17" t="s">
        <v>18</v>
      </c>
      <c r="B140" s="73" t="s">
        <v>193</v>
      </c>
      <c r="C140" s="90" t="s">
        <v>202</v>
      </c>
      <c r="D140" s="106">
        <v>81.442</v>
      </c>
      <c r="E140" s="94">
        <v>5950</v>
      </c>
      <c r="F140" s="65">
        <f t="shared" si="18"/>
        <v>484579.9</v>
      </c>
      <c r="G140" s="74">
        <v>484579.9</v>
      </c>
      <c r="H140" s="95">
        <f t="shared" si="17"/>
        <v>0</v>
      </c>
      <c r="I140" s="89">
        <v>46021</v>
      </c>
      <c r="J140" s="96" t="s">
        <v>21</v>
      </c>
      <c r="K140" s="22"/>
      <c r="L140" s="17"/>
      <c r="M140" s="1"/>
    </row>
    <row r="141" ht="15" spans="1:15">
      <c r="A141" s="17" t="s">
        <v>18</v>
      </c>
      <c r="B141" s="73" t="s">
        <v>211</v>
      </c>
      <c r="C141" s="90" t="s">
        <v>189</v>
      </c>
      <c r="D141" s="94">
        <v>8.721</v>
      </c>
      <c r="E141" s="94">
        <v>6100</v>
      </c>
      <c r="F141" s="65">
        <f t="shared" si="18"/>
        <v>53198.1</v>
      </c>
      <c r="G141" s="74">
        <f>936900-799200+13185.2-57482-40205.1</f>
        <v>53198.1</v>
      </c>
      <c r="H141" s="95">
        <f t="shared" si="17"/>
        <v>0</v>
      </c>
      <c r="I141" s="89">
        <v>46021</v>
      </c>
      <c r="J141" s="86" t="s">
        <v>21</v>
      </c>
      <c r="K141" s="22"/>
      <c r="L141" s="17"/>
      <c r="M141" s="1"/>
    </row>
    <row r="142" ht="15" spans="1:15">
      <c r="A142" s="17" t="s">
        <v>18</v>
      </c>
      <c r="B142" s="73" t="s">
        <v>212</v>
      </c>
      <c r="C142" s="90" t="s">
        <v>189</v>
      </c>
      <c r="D142" s="94">
        <v>11.688</v>
      </c>
      <c r="E142" s="94">
        <v>6100</v>
      </c>
      <c r="F142" s="65">
        <f t="shared" si="18"/>
        <v>71296.8</v>
      </c>
      <c r="G142" s="74">
        <f>57482+13814.8</f>
        <v>71296.8</v>
      </c>
      <c r="H142" s="95">
        <f t="shared" si="17"/>
        <v>0</v>
      </c>
      <c r="I142" s="89">
        <v>46037</v>
      </c>
      <c r="J142" s="96" t="s">
        <v>21</v>
      </c>
      <c r="K142" s="22"/>
      <c r="L142" s="17"/>
      <c r="M142" s="1"/>
    </row>
    <row r="143" ht="15" spans="1:15">
      <c r="A143" s="17" t="s">
        <v>18</v>
      </c>
      <c r="B143" s="73" t="s">
        <v>213</v>
      </c>
      <c r="C143" s="90" t="s">
        <v>189</v>
      </c>
      <c r="D143" s="94">
        <v>37.986</v>
      </c>
      <c r="E143" s="94">
        <v>6100</v>
      </c>
      <c r="F143" s="65">
        <f t="shared" si="18"/>
        <v>231714.6</v>
      </c>
      <c r="G143" s="74">
        <f>18159.4+40205.1+173350.1</f>
        <v>231714.6</v>
      </c>
      <c r="H143" s="97">
        <f t="shared" si="17"/>
        <v>0</v>
      </c>
      <c r="I143" s="89">
        <v>46111</v>
      </c>
      <c r="J143" s="96" t="s">
        <v>21</v>
      </c>
      <c r="K143" s="22"/>
      <c r="L143" s="17"/>
      <c r="M143" s="1"/>
    </row>
    <row r="144" ht="15" spans="1:15">
      <c r="A144" s="17" t="s">
        <v>18</v>
      </c>
      <c r="B144" s="73" t="s">
        <v>214</v>
      </c>
      <c r="C144" s="90" t="s">
        <v>195</v>
      </c>
      <c r="D144" s="94">
        <v>18.18</v>
      </c>
      <c r="E144" s="94">
        <v>6100</v>
      </c>
      <c r="F144" s="65">
        <f t="shared" si="18"/>
        <v>110898</v>
      </c>
      <c r="G144" s="65">
        <f>2356.20000000001-2356.20000000001+23119.95+6483.64999999997+81294.4</f>
        <v>110898</v>
      </c>
      <c r="H144" s="65">
        <f t="shared" si="17"/>
        <v>0</v>
      </c>
      <c r="I144" s="89">
        <v>46188</v>
      </c>
      <c r="J144" s="86" t="s">
        <v>21</v>
      </c>
      <c r="K144" s="79"/>
      <c r="L144" s="17"/>
      <c r="M144" s="1"/>
    </row>
    <row r="145" ht="15" spans="1:13">
      <c r="A145" s="17" t="s">
        <v>18</v>
      </c>
      <c r="B145" s="73" t="s">
        <v>211</v>
      </c>
      <c r="C145" s="90" t="s">
        <v>195</v>
      </c>
      <c r="D145" s="94">
        <v>8.622</v>
      </c>
      <c r="E145" s="94">
        <v>6100</v>
      </c>
      <c r="F145" s="65">
        <f t="shared" si="18"/>
        <v>52594.2</v>
      </c>
      <c r="G145" s="65">
        <v>52594.2</v>
      </c>
      <c r="H145" s="97">
        <f t="shared" si="17"/>
        <v>0</v>
      </c>
      <c r="I145" s="89">
        <v>46042</v>
      </c>
      <c r="J145" s="96" t="s">
        <v>21</v>
      </c>
      <c r="K145" s="22"/>
      <c r="L145" s="17"/>
      <c r="M145" s="1"/>
    </row>
    <row r="146" ht="15" spans="1:13">
      <c r="A146" s="17" t="s">
        <v>18</v>
      </c>
      <c r="B146" s="73" t="s">
        <v>213</v>
      </c>
      <c r="C146" s="90" t="s">
        <v>195</v>
      </c>
      <c r="D146" s="94">
        <v>21.21</v>
      </c>
      <c r="E146" s="94">
        <v>6100</v>
      </c>
      <c r="F146" s="65">
        <f t="shared" si="18"/>
        <v>129381</v>
      </c>
      <c r="G146" s="65">
        <v>129381</v>
      </c>
      <c r="H146" s="97">
        <f t="shared" si="17"/>
        <v>0</v>
      </c>
      <c r="I146" s="89">
        <v>46042</v>
      </c>
      <c r="J146" s="96" t="s">
        <v>21</v>
      </c>
      <c r="K146" s="22"/>
      <c r="L146" s="17"/>
      <c r="M146" s="1"/>
    </row>
    <row r="147" ht="15" spans="1:13">
      <c r="A147" s="17" t="s">
        <v>18</v>
      </c>
      <c r="B147" s="73" t="s">
        <v>215</v>
      </c>
      <c r="C147" s="90" t="s">
        <v>195</v>
      </c>
      <c r="D147" s="94">
        <v>1.515</v>
      </c>
      <c r="E147" s="94">
        <v>6100</v>
      </c>
      <c r="F147" s="65">
        <f t="shared" si="18"/>
        <v>9241.5</v>
      </c>
      <c r="G147" s="65">
        <v>9241.5</v>
      </c>
      <c r="H147" s="104">
        <f t="shared" si="17"/>
        <v>0</v>
      </c>
      <c r="I147" s="89">
        <v>46059</v>
      </c>
      <c r="J147" s="96" t="s">
        <v>21</v>
      </c>
      <c r="K147" s="22"/>
      <c r="L147" s="17"/>
      <c r="M147" s="1"/>
    </row>
    <row r="148" ht="15" spans="1:13">
      <c r="A148" s="17" t="s">
        <v>18</v>
      </c>
      <c r="B148" s="73" t="s">
        <v>213</v>
      </c>
      <c r="C148" s="90" t="s">
        <v>199</v>
      </c>
      <c r="D148" s="94">
        <v>12.934</v>
      </c>
      <c r="E148" s="94">
        <v>5950</v>
      </c>
      <c r="F148" s="65">
        <f t="shared" si="18"/>
        <v>76957.3</v>
      </c>
      <c r="G148" s="65">
        <f>148750-13185.2-62974.8+4367.30000000002</f>
        <v>76957.3</v>
      </c>
      <c r="H148" s="97">
        <f t="shared" si="17"/>
        <v>0</v>
      </c>
      <c r="I148" s="89">
        <v>46021</v>
      </c>
      <c r="J148" s="86" t="s">
        <v>21</v>
      </c>
      <c r="K148" s="22"/>
      <c r="L148" s="17"/>
      <c r="M148" s="1"/>
    </row>
    <row r="149" ht="15" spans="1:13">
      <c r="A149" s="17" t="s">
        <v>18</v>
      </c>
      <c r="B149" s="73" t="s">
        <v>212</v>
      </c>
      <c r="C149" s="90" t="s">
        <v>199</v>
      </c>
      <c r="D149" s="94">
        <v>10.584</v>
      </c>
      <c r="E149" s="94">
        <v>5950</v>
      </c>
      <c r="F149" s="65">
        <f t="shared" si="18"/>
        <v>62974.8</v>
      </c>
      <c r="G149" s="65">
        <v>62974.8</v>
      </c>
      <c r="H149" s="95">
        <f t="shared" si="17"/>
        <v>0</v>
      </c>
      <c r="I149" s="89">
        <v>46037</v>
      </c>
      <c r="J149" s="96" t="s">
        <v>21</v>
      </c>
      <c r="K149" s="22"/>
      <c r="L149" s="17"/>
      <c r="M149" s="1"/>
    </row>
    <row r="150" ht="15" spans="1:13">
      <c r="A150" s="17" t="s">
        <v>18</v>
      </c>
      <c r="B150" s="73" t="s">
        <v>216</v>
      </c>
      <c r="C150" s="90" t="s">
        <v>195</v>
      </c>
      <c r="D150" s="94">
        <v>49.995</v>
      </c>
      <c r="E150" s="94">
        <v>6100</v>
      </c>
      <c r="F150" s="65">
        <f t="shared" si="18"/>
        <v>304969.5</v>
      </c>
      <c r="G150" s="65">
        <f>274500+2356.20000000001+28113.3</f>
        <v>304969.5</v>
      </c>
      <c r="H150" s="65">
        <f t="shared" si="17"/>
        <v>0</v>
      </c>
      <c r="I150" s="89">
        <v>46108</v>
      </c>
      <c r="J150" s="96" t="s">
        <v>21</v>
      </c>
      <c r="K150" s="22"/>
      <c r="L150" s="17"/>
      <c r="M150" s="1"/>
    </row>
    <row r="151" ht="15" spans="1:13">
      <c r="A151" s="17" t="s">
        <v>18</v>
      </c>
      <c r="B151" s="73" t="s">
        <v>217</v>
      </c>
      <c r="C151" s="90" t="s">
        <v>195</v>
      </c>
      <c r="D151" s="94">
        <v>3.621</v>
      </c>
      <c r="E151" s="94">
        <v>6100</v>
      </c>
      <c r="F151" s="65">
        <f t="shared" si="18"/>
        <v>22088.1</v>
      </c>
      <c r="G151" s="65">
        <v>22088.1</v>
      </c>
      <c r="H151" s="65">
        <f t="shared" si="17"/>
        <v>0</v>
      </c>
      <c r="I151" s="89">
        <v>46108</v>
      </c>
      <c r="J151" s="96" t="s">
        <v>21</v>
      </c>
      <c r="K151" s="22"/>
      <c r="L151" s="17"/>
      <c r="M151" s="1"/>
    </row>
    <row r="152" ht="15" spans="1:13">
      <c r="A152" s="17" t="s">
        <v>18</v>
      </c>
      <c r="B152" s="73" t="s">
        <v>216</v>
      </c>
      <c r="C152" s="90" t="s">
        <v>200</v>
      </c>
      <c r="D152" s="94">
        <v>86.355</v>
      </c>
      <c r="E152" s="94">
        <v>6100</v>
      </c>
      <c r="F152" s="65">
        <f t="shared" si="18"/>
        <v>526765.5</v>
      </c>
      <c r="G152" s="65">
        <f>581940-55174.5</f>
        <v>526765.5</v>
      </c>
      <c r="H152" s="65">
        <f t="shared" si="17"/>
        <v>0</v>
      </c>
      <c r="I152" s="89">
        <v>46107</v>
      </c>
      <c r="J152" s="96" t="s">
        <v>21</v>
      </c>
      <c r="K152" s="22"/>
      <c r="L152" s="17"/>
      <c r="M152" s="1"/>
    </row>
    <row r="153" ht="15" spans="1:13">
      <c r="A153" s="17" t="s">
        <v>18</v>
      </c>
      <c r="B153" s="73" t="s">
        <v>218</v>
      </c>
      <c r="C153" s="90" t="s">
        <v>200</v>
      </c>
      <c r="D153" s="94">
        <v>16.665</v>
      </c>
      <c r="E153" s="94">
        <v>6100</v>
      </c>
      <c r="F153" s="65">
        <f t="shared" si="18"/>
        <v>101656.5</v>
      </c>
      <c r="G153" s="2">
        <f>55174.5+2189.59999999998+44292.4</f>
        <v>101656.5</v>
      </c>
      <c r="H153" s="65">
        <f t="shared" si="17"/>
        <v>0</v>
      </c>
      <c r="I153" s="89">
        <v>46112</v>
      </c>
      <c r="J153" s="86" t="s">
        <v>21</v>
      </c>
      <c r="K153" s="79"/>
      <c r="L153" s="17"/>
      <c r="M153" s="1"/>
    </row>
    <row r="154" ht="15" spans="1:13">
      <c r="A154" s="17" t="s">
        <v>18</v>
      </c>
      <c r="B154" s="73" t="s">
        <v>219</v>
      </c>
      <c r="C154" s="90" t="s">
        <v>195</v>
      </c>
      <c r="D154" s="94">
        <v>35.141</v>
      </c>
      <c r="E154" s="94">
        <v>6100</v>
      </c>
      <c r="F154" s="65">
        <f t="shared" si="18"/>
        <v>214360.1</v>
      </c>
      <c r="G154" s="65">
        <v>214360.1</v>
      </c>
      <c r="H154" s="65">
        <f t="shared" si="17"/>
        <v>0</v>
      </c>
      <c r="I154" s="89">
        <v>46174</v>
      </c>
      <c r="J154" s="86" t="s">
        <v>21</v>
      </c>
      <c r="K154" s="79"/>
      <c r="L154" s="17"/>
      <c r="M154" s="1"/>
    </row>
    <row r="155" ht="15" spans="1:13">
      <c r="A155" s="17" t="s">
        <v>18</v>
      </c>
      <c r="B155" s="73" t="s">
        <v>219</v>
      </c>
      <c r="C155" s="24" t="s">
        <v>220</v>
      </c>
      <c r="D155" s="94">
        <v>3.03</v>
      </c>
      <c r="E155" s="94">
        <v>6100</v>
      </c>
      <c r="F155" s="65">
        <f t="shared" si="18"/>
        <v>18483</v>
      </c>
      <c r="G155" s="65">
        <v>18483</v>
      </c>
      <c r="H155" s="65">
        <f t="shared" si="17"/>
        <v>0</v>
      </c>
      <c r="I155" s="89">
        <v>46174</v>
      </c>
      <c r="J155" s="86" t="s">
        <v>21</v>
      </c>
      <c r="K155" s="79"/>
      <c r="L155" s="17"/>
      <c r="M155" s="1"/>
    </row>
    <row r="156" ht="15" spans="1:13">
      <c r="A156" s="17" t="s">
        <v>18</v>
      </c>
      <c r="B156" s="73" t="s">
        <v>221</v>
      </c>
      <c r="C156" s="90" t="s">
        <v>202</v>
      </c>
      <c r="D156" s="94">
        <v>43.019</v>
      </c>
      <c r="E156" s="94">
        <v>5950</v>
      </c>
      <c r="F156" s="65">
        <f t="shared" si="18"/>
        <v>255963.05</v>
      </c>
      <c r="G156" s="65">
        <f>685083+466420.5-155497.3-418856.2-28113.3-22088.1-44292.4-172.549999999988-6483.64999999997-255963.05-81294.4+117220.5</f>
        <v>255963.05</v>
      </c>
      <c r="H156" s="95">
        <f t="shared" si="17"/>
        <v>0</v>
      </c>
      <c r="I156" s="89">
        <v>46188</v>
      </c>
      <c r="J156" s="86" t="s">
        <v>21</v>
      </c>
      <c r="K156" s="22"/>
      <c r="L156" s="17"/>
      <c r="M156" s="1"/>
    </row>
    <row r="157" ht="15" spans="1:13">
      <c r="A157" s="17" t="s">
        <v>18</v>
      </c>
      <c r="B157" s="73" t="s">
        <v>222</v>
      </c>
      <c r="C157" s="90" t="s">
        <v>202</v>
      </c>
      <c r="D157" s="94">
        <v>1.532</v>
      </c>
      <c r="E157" s="94">
        <v>5950</v>
      </c>
      <c r="F157" s="65">
        <f t="shared" si="18"/>
        <v>9115.4</v>
      </c>
      <c r="G157" s="65">
        <v>9115.4</v>
      </c>
      <c r="H157" s="65">
        <f t="shared" si="17"/>
        <v>0</v>
      </c>
      <c r="I157" s="89">
        <v>46295</v>
      </c>
      <c r="J157" s="86" t="s">
        <v>21</v>
      </c>
      <c r="K157" s="79" t="s">
        <v>223</v>
      </c>
      <c r="L157" s="17"/>
      <c r="M157" s="1"/>
    </row>
    <row r="158" ht="15" spans="1:13">
      <c r="A158" s="17" t="s">
        <v>18</v>
      </c>
      <c r="B158" s="73" t="s">
        <v>211</v>
      </c>
      <c r="C158" s="90" t="s">
        <v>202</v>
      </c>
      <c r="D158" s="94">
        <v>26.134</v>
      </c>
      <c r="E158" s="94">
        <v>5950</v>
      </c>
      <c r="F158" s="65">
        <f t="shared" si="18"/>
        <v>155497.3</v>
      </c>
      <c r="G158" s="65">
        <v>155497.3</v>
      </c>
      <c r="H158" s="95">
        <f t="shared" si="17"/>
        <v>0</v>
      </c>
      <c r="I158" s="89">
        <v>46042</v>
      </c>
      <c r="J158" s="86" t="s">
        <v>21</v>
      </c>
      <c r="K158" s="79"/>
      <c r="L158" s="17"/>
      <c r="M158" s="1"/>
    </row>
    <row r="159" ht="15" spans="1:13">
      <c r="A159" s="17" t="s">
        <v>18</v>
      </c>
      <c r="B159" s="73" t="s">
        <v>213</v>
      </c>
      <c r="C159" s="90" t="s">
        <v>202</v>
      </c>
      <c r="D159" s="94">
        <v>27.285</v>
      </c>
      <c r="E159" s="94">
        <v>5950</v>
      </c>
      <c r="F159" s="65">
        <f t="shared" si="18"/>
        <v>162345.75</v>
      </c>
      <c r="G159" s="65">
        <v>162345.75</v>
      </c>
      <c r="H159" s="97">
        <f t="shared" si="17"/>
        <v>0</v>
      </c>
      <c r="I159" s="89">
        <v>46042</v>
      </c>
      <c r="J159" s="86" t="s">
        <v>21</v>
      </c>
      <c r="K159" s="79"/>
      <c r="L159" s="17"/>
      <c r="M159" s="1"/>
    </row>
    <row r="160" ht="15" spans="1:13">
      <c r="A160" s="17" t="s">
        <v>18</v>
      </c>
      <c r="B160" s="73" t="s">
        <v>218</v>
      </c>
      <c r="C160" s="90" t="s">
        <v>202</v>
      </c>
      <c r="D160" s="94">
        <v>69.661</v>
      </c>
      <c r="E160" s="94">
        <v>5950</v>
      </c>
      <c r="F160" s="65">
        <f t="shared" si="18"/>
        <v>414482.95</v>
      </c>
      <c r="G160" s="65">
        <f>418856.2-2356.20000000001-2189.59999999998+172.549999999988</f>
        <v>414482.95</v>
      </c>
      <c r="H160" s="65">
        <f t="shared" si="17"/>
        <v>0</v>
      </c>
      <c r="I160" s="89">
        <v>46112</v>
      </c>
      <c r="J160" s="86" t="s">
        <v>21</v>
      </c>
      <c r="K160" s="79"/>
      <c r="L160" s="17"/>
      <c r="M160" s="1"/>
    </row>
    <row r="161" ht="15" spans="1:15">
      <c r="A161" s="17" t="s">
        <v>18</v>
      </c>
      <c r="B161" s="73" t="s">
        <v>215</v>
      </c>
      <c r="C161" s="90" t="s">
        <v>202</v>
      </c>
      <c r="D161" s="107">
        <v>4.815</v>
      </c>
      <c r="E161" s="94">
        <v>5950</v>
      </c>
      <c r="F161" s="65">
        <f t="shared" si="18"/>
        <v>28649.25</v>
      </c>
      <c r="G161" s="65">
        <v>28649.25</v>
      </c>
      <c r="H161" s="104">
        <f t="shared" si="17"/>
        <v>0</v>
      </c>
      <c r="I161" s="20">
        <v>46059</v>
      </c>
      <c r="J161" s="86" t="s">
        <v>21</v>
      </c>
      <c r="K161" s="79"/>
      <c r="L161" s="70"/>
      <c r="M161" s="1"/>
    </row>
    <row r="162" ht="15" spans="1:15">
      <c r="A162" s="17" t="s">
        <v>18</v>
      </c>
      <c r="B162" s="73" t="s">
        <v>212</v>
      </c>
      <c r="C162" s="90" t="s">
        <v>208</v>
      </c>
      <c r="D162" s="107">
        <f>36-27</f>
        <v>9</v>
      </c>
      <c r="E162" s="94">
        <v>5950</v>
      </c>
      <c r="F162" s="65">
        <f t="shared" si="18"/>
        <v>53550</v>
      </c>
      <c r="G162" s="65">
        <f>214200-160650</f>
        <v>53550</v>
      </c>
      <c r="H162" s="95">
        <f t="shared" si="17"/>
        <v>0</v>
      </c>
      <c r="I162" s="20">
        <v>46021</v>
      </c>
      <c r="J162" s="86" t="s">
        <v>21</v>
      </c>
      <c r="K162" s="79"/>
      <c r="L162" s="70"/>
      <c r="M162" s="1"/>
    </row>
    <row r="163" ht="15" hidden="1" spans="1:15">
      <c r="A163" s="72" t="s">
        <v>164</v>
      </c>
      <c r="B163" s="72" t="s">
        <v>224</v>
      </c>
      <c r="C163" s="72" t="s">
        <v>170</v>
      </c>
      <c r="D163" s="108">
        <v>1140000</v>
      </c>
      <c r="E163" s="88">
        <f>157.05/1000</f>
        <v>0.15705</v>
      </c>
      <c r="F163" s="74">
        <f t="shared" si="18"/>
        <v>179037</v>
      </c>
      <c r="G163" s="74">
        <f>54653.4+124383.6</f>
        <v>179037</v>
      </c>
      <c r="H163" s="74">
        <f t="shared" si="17"/>
        <v>0</v>
      </c>
      <c r="I163" s="75">
        <v>45879</v>
      </c>
      <c r="J163" s="21" t="s">
        <v>97</v>
      </c>
      <c r="K163" s="109"/>
      <c r="L163" s="110"/>
    </row>
    <row r="164" ht="15" hidden="1" spans="1:15">
      <c r="A164" s="72" t="s">
        <v>164</v>
      </c>
      <c r="B164" s="72" t="s">
        <v>225</v>
      </c>
      <c r="C164" s="111" t="s">
        <v>226</v>
      </c>
      <c r="D164" s="70">
        <v>58000</v>
      </c>
      <c r="E164" s="90">
        <v>0.26748</v>
      </c>
      <c r="F164" s="74">
        <f t="shared" si="18"/>
        <v>15513.84</v>
      </c>
      <c r="G164" s="52">
        <v>15513.84</v>
      </c>
      <c r="H164" s="74">
        <f t="shared" si="17"/>
        <v>0</v>
      </c>
      <c r="I164" s="75">
        <v>45879</v>
      </c>
      <c r="J164" s="21" t="s">
        <v>97</v>
      </c>
      <c r="K164" s="109"/>
      <c r="L164" s="112"/>
    </row>
    <row r="165" ht="15" hidden="1" spans="1:15">
      <c r="A165" s="17" t="s">
        <v>164</v>
      </c>
      <c r="B165" s="17" t="s">
        <v>227</v>
      </c>
      <c r="C165" s="17" t="s">
        <v>228</v>
      </c>
      <c r="D165" s="17">
        <v>2175660</v>
      </c>
      <c r="E165" s="17">
        <v>0.09038</v>
      </c>
      <c r="F165" s="18">
        <f t="shared" si="18"/>
        <v>196636.1508</v>
      </c>
      <c r="G165" s="18">
        <f>59216.98+59216.98+78202.19</f>
        <v>196636.15</v>
      </c>
      <c r="H165" s="18">
        <f t="shared" si="17"/>
        <v>0.0007999999797903</v>
      </c>
      <c r="I165" s="20">
        <v>45874</v>
      </c>
      <c r="J165" s="17" t="s">
        <v>97</v>
      </c>
      <c r="K165" s="113"/>
      <c r="L165" s="113"/>
      <c r="O165" s="38"/>
    </row>
    <row r="166" ht="15" spans="1:15">
      <c r="A166" s="17" t="s">
        <v>18</v>
      </c>
      <c r="B166" s="17" t="s">
        <v>229</v>
      </c>
      <c r="C166" s="24" t="s">
        <v>230</v>
      </c>
      <c r="D166" s="114">
        <v>23.013</v>
      </c>
      <c r="E166" s="28">
        <v>6078.3</v>
      </c>
      <c r="F166" s="65">
        <f t="shared" si="18"/>
        <v>139879.9179</v>
      </c>
      <c r="G166" s="18">
        <f>129120+10758+1.91790000000037</f>
        <v>139879.9179</v>
      </c>
      <c r="H166" s="18">
        <f t="shared" si="17"/>
        <v>0</v>
      </c>
      <c r="I166" s="20">
        <v>45920</v>
      </c>
      <c r="J166" s="86" t="s">
        <v>21</v>
      </c>
      <c r="K166" s="79"/>
      <c r="L166" s="113"/>
      <c r="N166" s="23" t="s">
        <v>231</v>
      </c>
      <c r="O166" s="38"/>
    </row>
    <row r="167" ht="15" spans="1:15">
      <c r="A167" s="17" t="s">
        <v>18</v>
      </c>
      <c r="B167" s="17" t="s">
        <v>229</v>
      </c>
      <c r="C167" s="24" t="s">
        <v>232</v>
      </c>
      <c r="D167" s="114">
        <v>34.663</v>
      </c>
      <c r="E167" s="28">
        <v>6000</v>
      </c>
      <c r="F167" s="18">
        <f t="shared" si="18"/>
        <v>207978</v>
      </c>
      <c r="G167" s="18">
        <f>191898+16080</f>
        <v>207978</v>
      </c>
      <c r="H167" s="18">
        <f t="shared" si="17"/>
        <v>0</v>
      </c>
      <c r="I167" s="20">
        <v>45920</v>
      </c>
      <c r="J167" s="86" t="s">
        <v>21</v>
      </c>
      <c r="K167" s="79"/>
      <c r="L167" s="113"/>
    </row>
    <row r="168" ht="15" spans="1:15">
      <c r="A168" s="17" t="s">
        <v>18</v>
      </c>
      <c r="B168" s="17" t="s">
        <v>229</v>
      </c>
      <c r="C168" s="24" t="s">
        <v>131</v>
      </c>
      <c r="D168" s="114">
        <v>15.02</v>
      </c>
      <c r="E168" s="28">
        <v>6100</v>
      </c>
      <c r="F168" s="18">
        <f t="shared" si="18"/>
        <v>91622</v>
      </c>
      <c r="G168" s="18">
        <v>91622</v>
      </c>
      <c r="H168" s="18">
        <f t="shared" si="17"/>
        <v>0</v>
      </c>
      <c r="I168" s="20">
        <v>45920</v>
      </c>
      <c r="J168" s="86" t="s">
        <v>21</v>
      </c>
      <c r="K168" s="79"/>
      <c r="L168" s="113"/>
      <c r="O168" s="3"/>
    </row>
    <row r="169" ht="15" spans="1:15">
      <c r="A169" s="17" t="s">
        <v>18</v>
      </c>
      <c r="B169" s="17" t="s">
        <v>233</v>
      </c>
      <c r="C169" s="24" t="s">
        <v>131</v>
      </c>
      <c r="D169" s="114">
        <v>13.405</v>
      </c>
      <c r="E169" s="28">
        <v>6100</v>
      </c>
      <c r="F169" s="18">
        <f t="shared" si="18"/>
        <v>81770.5</v>
      </c>
      <c r="G169" s="18">
        <v>81770.5</v>
      </c>
      <c r="H169" s="18">
        <f t="shared" si="17"/>
        <v>0</v>
      </c>
      <c r="I169" s="20">
        <v>45920</v>
      </c>
      <c r="J169" s="17" t="s">
        <v>21</v>
      </c>
      <c r="K169" s="17"/>
      <c r="L169" s="113"/>
      <c r="O169" s="3"/>
    </row>
    <row r="170" ht="15" spans="1:15">
      <c r="A170" s="17" t="s">
        <v>18</v>
      </c>
      <c r="B170" s="17" t="s">
        <v>233</v>
      </c>
      <c r="C170" s="24" t="s">
        <v>234</v>
      </c>
      <c r="D170" s="114">
        <v>9.168</v>
      </c>
      <c r="E170" s="28">
        <v>5750</v>
      </c>
      <c r="F170" s="18">
        <f t="shared" si="18"/>
        <v>52716</v>
      </c>
      <c r="G170" s="18">
        <v>52716</v>
      </c>
      <c r="H170" s="18">
        <f t="shared" si="17"/>
        <v>0</v>
      </c>
      <c r="I170" s="20">
        <v>45920</v>
      </c>
      <c r="J170" s="17" t="s">
        <v>21</v>
      </c>
      <c r="K170" s="17"/>
      <c r="L170" s="113"/>
    </row>
    <row r="171" ht="15" spans="1:15">
      <c r="A171" s="17" t="s">
        <v>18</v>
      </c>
      <c r="B171" s="17" t="s">
        <v>235</v>
      </c>
      <c r="C171" s="24" t="s">
        <v>234</v>
      </c>
      <c r="D171" s="114">
        <v>7.64</v>
      </c>
      <c r="E171" s="28">
        <v>5750</v>
      </c>
      <c r="F171" s="18">
        <v>43930</v>
      </c>
      <c r="G171" s="18">
        <v>43930</v>
      </c>
      <c r="H171" s="18">
        <f t="shared" si="17"/>
        <v>0</v>
      </c>
      <c r="I171" s="20">
        <v>45920</v>
      </c>
      <c r="J171" s="17" t="s">
        <v>21</v>
      </c>
      <c r="K171" s="17"/>
      <c r="L171" s="113"/>
      <c r="N171" s="4" t="s">
        <v>236</v>
      </c>
    </row>
    <row r="172" ht="15" spans="1:15">
      <c r="A172" s="17" t="s">
        <v>18</v>
      </c>
      <c r="B172" s="17" t="s">
        <v>237</v>
      </c>
      <c r="C172" s="24" t="s">
        <v>234</v>
      </c>
      <c r="D172" s="90">
        <v>12.168</v>
      </c>
      <c r="E172" s="28">
        <v>5750</v>
      </c>
      <c r="F172" s="18">
        <f t="shared" ref="F172:F174" si="19">E172*D172</f>
        <v>69966</v>
      </c>
      <c r="G172" s="18">
        <f>117436.5771-43930-3540.57709999999</f>
        <v>69966</v>
      </c>
      <c r="H172" s="18">
        <f t="shared" si="17"/>
        <v>0</v>
      </c>
      <c r="I172" s="20">
        <v>45981</v>
      </c>
      <c r="J172" s="17" t="s">
        <v>21</v>
      </c>
      <c r="K172" s="17"/>
      <c r="L172" s="113"/>
      <c r="N172" s="4" t="s">
        <v>238</v>
      </c>
    </row>
    <row r="173" ht="15" spans="1:15">
      <c r="A173" s="17" t="s">
        <v>18</v>
      </c>
      <c r="B173" s="17" t="s">
        <v>237</v>
      </c>
      <c r="C173" s="24" t="s">
        <v>239</v>
      </c>
      <c r="D173" s="90">
        <v>6.152</v>
      </c>
      <c r="E173" s="28">
        <v>5570</v>
      </c>
      <c r="F173" s="18">
        <f t="shared" si="19"/>
        <v>34266.64</v>
      </c>
      <c r="G173" s="18">
        <f>14775.5161+19491.1239</f>
        <v>34266.64</v>
      </c>
      <c r="H173" s="18">
        <f t="shared" si="17"/>
        <v>0</v>
      </c>
      <c r="I173" s="20">
        <v>45981</v>
      </c>
      <c r="J173" s="17" t="s">
        <v>21</v>
      </c>
      <c r="K173" s="17"/>
      <c r="L173" s="113"/>
    </row>
    <row r="174" ht="15" spans="1:15">
      <c r="A174" s="17" t="s">
        <v>18</v>
      </c>
      <c r="B174" s="17" t="s">
        <v>237</v>
      </c>
      <c r="C174" s="24" t="s">
        <v>138</v>
      </c>
      <c r="D174" s="90">
        <v>1.746</v>
      </c>
      <c r="E174" s="28">
        <v>5570</v>
      </c>
      <c r="F174" s="18">
        <f t="shared" si="19"/>
        <v>9725.22</v>
      </c>
      <c r="G174" s="18">
        <f>3540.57709999999+3540.57709999999+2644.06580000002</f>
        <v>9725.22</v>
      </c>
      <c r="H174" s="18">
        <f t="shared" ref="H174:H230" si="20">F174-G174</f>
        <v>0</v>
      </c>
      <c r="I174" s="20">
        <v>45981</v>
      </c>
      <c r="J174" s="17" t="s">
        <v>21</v>
      </c>
      <c r="K174" s="17"/>
      <c r="L174" s="113"/>
    </row>
    <row r="175" ht="15" spans="1:15">
      <c r="A175" s="17" t="s">
        <v>18</v>
      </c>
      <c r="B175" s="70" t="s">
        <v>233</v>
      </c>
      <c r="C175" s="115" t="s">
        <v>138</v>
      </c>
      <c r="D175" s="116">
        <v>110.448</v>
      </c>
      <c r="E175" s="117">
        <v>5570</v>
      </c>
      <c r="F175" s="18">
        <f>E175*D175*0.3</f>
        <v>184558.608</v>
      </c>
      <c r="G175" s="18">
        <v>184558.608</v>
      </c>
      <c r="H175" s="18">
        <f t="shared" si="20"/>
        <v>0</v>
      </c>
      <c r="I175" s="20">
        <v>45856</v>
      </c>
      <c r="J175" s="113"/>
      <c r="K175" s="17"/>
      <c r="L175" s="113"/>
      <c r="O175" s="45">
        <f>H175+P177</f>
        <v>0</v>
      </c>
    </row>
    <row r="176" ht="15" spans="1:15">
      <c r="A176" s="17" t="s">
        <v>18</v>
      </c>
      <c r="B176" s="40"/>
      <c r="C176" s="118"/>
      <c r="D176" s="119"/>
      <c r="E176" s="46"/>
      <c r="F176" s="18">
        <f>E175*D175*0.7</f>
        <v>430636.752</v>
      </c>
      <c r="G176" s="18">
        <v>430636.752</v>
      </c>
      <c r="H176" s="18">
        <f t="shared" si="20"/>
        <v>0</v>
      </c>
      <c r="I176" s="20">
        <v>45920</v>
      </c>
      <c r="J176" s="17" t="s">
        <v>21</v>
      </c>
      <c r="K176" s="17"/>
      <c r="L176" s="113"/>
    </row>
    <row r="177" ht="15" spans="1:16">
      <c r="A177" s="17" t="s">
        <v>18</v>
      </c>
      <c r="B177" s="70" t="s">
        <v>233</v>
      </c>
      <c r="C177" s="120" t="s">
        <v>239</v>
      </c>
      <c r="D177" s="116">
        <v>27.24</v>
      </c>
      <c r="E177" s="117">
        <v>5570</v>
      </c>
      <c r="F177" s="18">
        <f>E177*D177*0.3</f>
        <v>45518.04</v>
      </c>
      <c r="G177" s="18">
        <v>45518.04</v>
      </c>
      <c r="H177" s="18">
        <f t="shared" si="20"/>
        <v>0</v>
      </c>
      <c r="I177" s="20">
        <v>45856</v>
      </c>
      <c r="J177" s="113"/>
      <c r="K177" s="17"/>
      <c r="L177" s="113"/>
      <c r="P177" s="45">
        <f>H177</f>
        <v>0</v>
      </c>
    </row>
    <row r="178" ht="15" spans="1:16">
      <c r="A178" s="17" t="s">
        <v>18</v>
      </c>
      <c r="B178" s="40"/>
      <c r="C178" s="42"/>
      <c r="D178" s="119"/>
      <c r="E178" s="46"/>
      <c r="F178" s="18">
        <f>E177*D177*0.7</f>
        <v>106208.76</v>
      </c>
      <c r="G178" s="18">
        <v>106208.76</v>
      </c>
      <c r="H178" s="18">
        <f t="shared" si="20"/>
        <v>0</v>
      </c>
      <c r="I178" s="20">
        <v>45920</v>
      </c>
      <c r="J178" s="17" t="s">
        <v>21</v>
      </c>
      <c r="K178" s="17"/>
      <c r="L178" s="113"/>
    </row>
    <row r="179" ht="15" spans="1:16">
      <c r="A179" s="70" t="s">
        <v>18</v>
      </c>
      <c r="B179" s="72" t="s">
        <v>240</v>
      </c>
      <c r="C179" s="90" t="s">
        <v>241</v>
      </c>
      <c r="D179" s="105">
        <v>186.563</v>
      </c>
      <c r="E179" s="94">
        <v>6120</v>
      </c>
      <c r="F179" s="121">
        <f t="shared" ref="F179:F183" si="21">D179*E179*0.3</f>
        <v>342529.668</v>
      </c>
      <c r="G179" s="65">
        <v>342529.668</v>
      </c>
      <c r="H179" s="52">
        <f t="shared" si="20"/>
        <v>0</v>
      </c>
      <c r="I179" s="89">
        <v>45862</v>
      </c>
      <c r="J179" s="122"/>
      <c r="K179" s="73"/>
      <c r="L179" s="122"/>
      <c r="O179" s="45">
        <f>H179+H181+H183</f>
        <v>0</v>
      </c>
    </row>
    <row r="180" ht="15" spans="1:16">
      <c r="A180" s="70" t="s">
        <v>18</v>
      </c>
      <c r="B180" s="72" t="s">
        <v>240</v>
      </c>
      <c r="C180" s="90" t="s">
        <v>241</v>
      </c>
      <c r="D180" s="105">
        <v>186.563</v>
      </c>
      <c r="E180" s="94">
        <v>6120</v>
      </c>
      <c r="F180" s="121">
        <f t="shared" ref="F180:F184" si="22">D180*E180*0.7</f>
        <v>799235.892</v>
      </c>
      <c r="G180" s="65">
        <v>799235.892</v>
      </c>
      <c r="H180" s="52">
        <f t="shared" si="20"/>
        <v>0</v>
      </c>
      <c r="I180" s="89">
        <v>45912</v>
      </c>
      <c r="J180" s="73" t="s">
        <v>21</v>
      </c>
      <c r="K180" s="73"/>
      <c r="L180" s="122"/>
      <c r="O180" s="38"/>
    </row>
    <row r="181" ht="15" spans="1:16">
      <c r="A181" s="70" t="s">
        <v>18</v>
      </c>
      <c r="B181" s="72" t="s">
        <v>240</v>
      </c>
      <c r="C181" s="90" t="s">
        <v>242</v>
      </c>
      <c r="D181" s="105">
        <v>79.23</v>
      </c>
      <c r="E181" s="94">
        <v>6140</v>
      </c>
      <c r="F181" s="121">
        <f t="shared" si="21"/>
        <v>145941.66</v>
      </c>
      <c r="G181" s="65">
        <v>145941.66</v>
      </c>
      <c r="H181" s="52">
        <f t="shared" si="20"/>
        <v>0</v>
      </c>
      <c r="I181" s="89">
        <v>45862</v>
      </c>
      <c r="J181" s="122"/>
      <c r="K181" s="73"/>
      <c r="L181" s="122"/>
      <c r="P181" s="45" t="e">
        <f>H181*#REF!</f>
        <v>#REF!</v>
      </c>
    </row>
    <row r="182" ht="15" spans="1:16">
      <c r="A182" s="70" t="s">
        <v>18</v>
      </c>
      <c r="B182" s="72" t="s">
        <v>240</v>
      </c>
      <c r="C182" s="90" t="s">
        <v>242</v>
      </c>
      <c r="D182" s="105">
        <v>79.23</v>
      </c>
      <c r="E182" s="94">
        <v>6140</v>
      </c>
      <c r="F182" s="121">
        <f t="shared" si="22"/>
        <v>340530.54</v>
      </c>
      <c r="G182" s="65">
        <v>340530.54</v>
      </c>
      <c r="H182" s="52">
        <f t="shared" si="20"/>
        <v>0</v>
      </c>
      <c r="I182" s="89">
        <v>45912</v>
      </c>
      <c r="J182" s="73" t="s">
        <v>21</v>
      </c>
      <c r="K182" s="73"/>
      <c r="L182" s="122"/>
      <c r="O182" s="38"/>
    </row>
    <row r="183" ht="15" spans="1:16">
      <c r="A183" s="70" t="s">
        <v>18</v>
      </c>
      <c r="B183" s="123" t="s">
        <v>240</v>
      </c>
      <c r="C183" s="88" t="s">
        <v>243</v>
      </c>
      <c r="D183" s="124">
        <v>50.787</v>
      </c>
      <c r="E183" s="107">
        <v>6060</v>
      </c>
      <c r="F183" s="121">
        <f t="shared" si="21"/>
        <v>92330.766</v>
      </c>
      <c r="G183" s="125">
        <v>92330.766</v>
      </c>
      <c r="H183" s="74">
        <f t="shared" si="20"/>
        <v>0</v>
      </c>
      <c r="I183" s="89">
        <v>45862</v>
      </c>
      <c r="J183" s="110"/>
      <c r="K183" s="72"/>
      <c r="L183" s="122"/>
      <c r="O183" s="4">
        <f>H183*90%</f>
        <v>0</v>
      </c>
      <c r="P183" s="45"/>
    </row>
    <row r="184" ht="15" spans="1:16">
      <c r="A184" s="70" t="s">
        <v>18</v>
      </c>
      <c r="B184" s="126" t="s">
        <v>240</v>
      </c>
      <c r="C184" s="120" t="s">
        <v>243</v>
      </c>
      <c r="D184" s="116">
        <v>50.787</v>
      </c>
      <c r="E184" s="117">
        <v>6060</v>
      </c>
      <c r="F184" s="127">
        <f t="shared" si="22"/>
        <v>215438.454</v>
      </c>
      <c r="G184" s="52">
        <f>23809.474+191628.98</f>
        <v>215438.454</v>
      </c>
      <c r="H184" s="52">
        <f t="shared" si="20"/>
        <v>0</v>
      </c>
      <c r="I184" s="75">
        <v>45912</v>
      </c>
      <c r="J184" s="73" t="s">
        <v>21</v>
      </c>
      <c r="K184" s="128"/>
      <c r="L184" s="129"/>
    </row>
    <row r="185" ht="15" hidden="1" spans="1:16">
      <c r="A185" s="17" t="s">
        <v>152</v>
      </c>
      <c r="B185" s="17" t="s">
        <v>244</v>
      </c>
      <c r="C185" s="24" t="s">
        <v>245</v>
      </c>
      <c r="D185" s="17">
        <v>27.523</v>
      </c>
      <c r="E185" s="28">
        <v>5780</v>
      </c>
      <c r="F185" s="127">
        <f t="shared" ref="F185:F187" si="23">D185*E185*0.1</f>
        <v>15908.294</v>
      </c>
      <c r="G185" s="52">
        <f>15606+302.294000000002</f>
        <v>15908.294</v>
      </c>
      <c r="H185" s="52">
        <f t="shared" si="20"/>
        <v>0</v>
      </c>
      <c r="I185" s="75">
        <v>45898</v>
      </c>
      <c r="J185" s="112"/>
      <c r="K185" s="130"/>
      <c r="L185" s="130"/>
    </row>
    <row r="186" ht="15" hidden="1" spans="1:16">
      <c r="A186" s="17" t="s">
        <v>152</v>
      </c>
      <c r="B186" s="70" t="s">
        <v>246</v>
      </c>
      <c r="C186" s="120" t="s">
        <v>247</v>
      </c>
      <c r="D186" s="24">
        <v>54.828</v>
      </c>
      <c r="E186" s="131">
        <v>8109.5</v>
      </c>
      <c r="F186" s="127">
        <f t="shared" si="23"/>
        <v>44462.7666</v>
      </c>
      <c r="G186" s="52">
        <f>39312+5150.7666</f>
        <v>44462.7666</v>
      </c>
      <c r="H186" s="52">
        <f t="shared" si="20"/>
        <v>0</v>
      </c>
      <c r="I186" s="75">
        <v>45898</v>
      </c>
      <c r="J186" s="112"/>
      <c r="K186" s="130"/>
      <c r="L186" s="130"/>
    </row>
    <row r="187" ht="15" hidden="1" spans="1:16">
      <c r="A187" s="17" t="s">
        <v>152</v>
      </c>
      <c r="B187" s="70" t="s">
        <v>246</v>
      </c>
      <c r="C187" s="24" t="s">
        <v>248</v>
      </c>
      <c r="D187" s="24">
        <v>27.576</v>
      </c>
      <c r="E187" s="132">
        <v>7959.5</v>
      </c>
      <c r="F187" s="127">
        <f t="shared" si="23"/>
        <v>21949.1172</v>
      </c>
      <c r="G187" s="52">
        <f>19251+2698.1172</f>
        <v>21949.1172</v>
      </c>
      <c r="H187" s="52">
        <f t="shared" si="20"/>
        <v>0</v>
      </c>
      <c r="I187" s="75">
        <v>45898</v>
      </c>
      <c r="J187" s="112"/>
      <c r="K187" s="130"/>
      <c r="L187" s="130"/>
    </row>
    <row r="188" ht="15" hidden="1" spans="1:16">
      <c r="A188" s="17" t="s">
        <v>152</v>
      </c>
      <c r="B188" s="17" t="s">
        <v>244</v>
      </c>
      <c r="C188" s="24" t="s">
        <v>245</v>
      </c>
      <c r="D188" s="17">
        <v>27.523</v>
      </c>
      <c r="E188" s="28">
        <v>5780</v>
      </c>
      <c r="F188" s="127">
        <f t="shared" ref="F188:F190" si="24">D188*E188*0.9</f>
        <v>143174.646</v>
      </c>
      <c r="G188" s="18">
        <v>143174.646</v>
      </c>
      <c r="H188" s="52">
        <f t="shared" si="20"/>
        <v>0</v>
      </c>
      <c r="I188" s="20">
        <v>45915</v>
      </c>
      <c r="J188" s="86" t="s">
        <v>21</v>
      </c>
      <c r="K188" s="109"/>
      <c r="L188" s="113"/>
    </row>
    <row r="189" ht="15" hidden="1" spans="1:16">
      <c r="A189" s="17" t="s">
        <v>152</v>
      </c>
      <c r="B189" s="70" t="s">
        <v>246</v>
      </c>
      <c r="C189" s="120" t="s">
        <v>247</v>
      </c>
      <c r="D189" s="24">
        <v>54.828</v>
      </c>
      <c r="E189" s="131">
        <v>8109.5</v>
      </c>
      <c r="F189" s="127">
        <f t="shared" si="24"/>
        <v>400164.8994</v>
      </c>
      <c r="G189" s="52">
        <v>400164.8994</v>
      </c>
      <c r="H189" s="52">
        <f t="shared" si="20"/>
        <v>0</v>
      </c>
      <c r="I189" s="20">
        <v>45930</v>
      </c>
      <c r="J189" s="70"/>
      <c r="K189" s="112"/>
      <c r="L189" s="113"/>
    </row>
    <row r="190" ht="15" hidden="1" spans="1:16">
      <c r="A190" s="17" t="s">
        <v>152</v>
      </c>
      <c r="B190" s="70" t="s">
        <v>246</v>
      </c>
      <c r="C190" s="24" t="s">
        <v>248</v>
      </c>
      <c r="D190" s="24">
        <v>27.576</v>
      </c>
      <c r="E190" s="132">
        <v>7959.5</v>
      </c>
      <c r="F190" s="28">
        <f t="shared" si="24"/>
        <v>197542.0548</v>
      </c>
      <c r="G190" s="18">
        <v>197542.0548</v>
      </c>
      <c r="H190" s="18">
        <f t="shared" si="20"/>
        <v>0</v>
      </c>
      <c r="I190" s="20">
        <v>45930</v>
      </c>
      <c r="J190" s="17"/>
      <c r="K190" s="113"/>
      <c r="L190" s="113"/>
      <c r="O190" s="45">
        <f>39862.24+10070.532+918.9+4090.5+349942.5+207452.64+445797.04+29812+162098.4+378229.6</f>
        <v>1628274.352</v>
      </c>
    </row>
    <row r="191" ht="15" spans="1:16">
      <c r="A191" s="17" t="s">
        <v>18</v>
      </c>
      <c r="B191" s="17" t="s">
        <v>249</v>
      </c>
      <c r="C191" s="24" t="s">
        <v>250</v>
      </c>
      <c r="D191" s="133">
        <v>72.307</v>
      </c>
      <c r="E191" s="17">
        <v>6160</v>
      </c>
      <c r="F191" s="18">
        <f t="shared" ref="F191:F196" si="25">D191*E191*0.3</f>
        <v>133623.336</v>
      </c>
      <c r="G191" s="18">
        <f>121911.236+11712.1</f>
        <v>133623.336</v>
      </c>
      <c r="H191" s="52">
        <f t="shared" si="20"/>
        <v>0</v>
      </c>
      <c r="I191" s="20">
        <v>45867</v>
      </c>
      <c r="J191" s="113"/>
      <c r="K191" s="17"/>
      <c r="L191" s="113"/>
      <c r="O191" s="45">
        <f>H191+P193</f>
        <v>0</v>
      </c>
    </row>
    <row r="192" ht="15" spans="1:16">
      <c r="A192" s="17" t="s">
        <v>18</v>
      </c>
      <c r="B192" s="17" t="s">
        <v>249</v>
      </c>
      <c r="C192" s="24" t="s">
        <v>250</v>
      </c>
      <c r="D192" s="133">
        <v>72.307</v>
      </c>
      <c r="E192" s="17">
        <v>6160</v>
      </c>
      <c r="F192" s="18">
        <f t="shared" ref="F192:F197" si="26">D192*E192*0.7</f>
        <v>311787.784</v>
      </c>
      <c r="G192" s="18">
        <f>650.760000000009+311137.024</f>
        <v>311787.784</v>
      </c>
      <c r="H192" s="52">
        <f t="shared" si="20"/>
        <v>0</v>
      </c>
      <c r="I192" s="20">
        <v>45917</v>
      </c>
      <c r="J192" s="17" t="s">
        <v>21</v>
      </c>
      <c r="K192" s="17"/>
      <c r="L192" s="113"/>
      <c r="O192" s="38"/>
    </row>
    <row r="193" ht="15" spans="1:16">
      <c r="A193" s="17" t="s">
        <v>18</v>
      </c>
      <c r="B193" s="17" t="s">
        <v>249</v>
      </c>
      <c r="C193" s="24" t="s">
        <v>251</v>
      </c>
      <c r="D193" s="133">
        <f>74.681-13.345</f>
        <v>61.336</v>
      </c>
      <c r="E193" s="17">
        <v>6160</v>
      </c>
      <c r="F193" s="18">
        <f t="shared" si="25"/>
        <v>113348.928</v>
      </c>
      <c r="G193" s="18">
        <f>97228.308+12647.9+3472.72</f>
        <v>113348.928</v>
      </c>
      <c r="H193" s="52">
        <f t="shared" si="20"/>
        <v>0</v>
      </c>
      <c r="I193" s="20">
        <v>45867</v>
      </c>
      <c r="J193" s="113"/>
      <c r="K193" s="17"/>
      <c r="L193" s="113"/>
      <c r="P193" s="45">
        <f>H193</f>
        <v>0</v>
      </c>
    </row>
    <row r="194" ht="15" spans="1:16">
      <c r="A194" s="17" t="s">
        <v>18</v>
      </c>
      <c r="B194" s="17" t="s">
        <v>249</v>
      </c>
      <c r="C194" s="24" t="s">
        <v>251</v>
      </c>
      <c r="D194" s="133">
        <f>74.681-13.345</f>
        <v>61.336</v>
      </c>
      <c r="E194" s="17">
        <v>6160</v>
      </c>
      <c r="F194" s="18">
        <f t="shared" si="26"/>
        <v>264480.832</v>
      </c>
      <c r="G194" s="18">
        <f>25333.69+239147.142</f>
        <v>264480.832</v>
      </c>
      <c r="H194" s="52">
        <f t="shared" si="20"/>
        <v>0</v>
      </c>
      <c r="I194" s="20">
        <v>45917</v>
      </c>
      <c r="J194" s="17" t="s">
        <v>21</v>
      </c>
      <c r="K194" s="17"/>
      <c r="L194" s="113"/>
    </row>
    <row r="195" ht="15" spans="1:16">
      <c r="A195" s="17" t="s">
        <v>18</v>
      </c>
      <c r="B195" s="17" t="s">
        <v>252</v>
      </c>
      <c r="C195" s="24" t="s">
        <v>251</v>
      </c>
      <c r="D195" s="133">
        <v>13.345</v>
      </c>
      <c r="E195" s="17">
        <v>6160</v>
      </c>
      <c r="F195" s="18">
        <f>D195*E195</f>
        <v>82205.2</v>
      </c>
      <c r="G195" s="18">
        <f>82205.2</f>
        <v>82205.2</v>
      </c>
      <c r="H195" s="52">
        <f t="shared" si="20"/>
        <v>0</v>
      </c>
      <c r="I195" s="20">
        <v>45867</v>
      </c>
      <c r="J195" s="113"/>
      <c r="K195" s="17"/>
      <c r="L195" s="113"/>
    </row>
    <row r="196" ht="15" spans="1:16">
      <c r="A196" s="17" t="s">
        <v>18</v>
      </c>
      <c r="B196" s="17" t="s">
        <v>253</v>
      </c>
      <c r="C196" s="24" t="s">
        <v>254</v>
      </c>
      <c r="D196" s="17">
        <v>60.47</v>
      </c>
      <c r="E196" s="17">
        <f t="shared" ref="E196:E199" si="27">5935+340</f>
        <v>6275</v>
      </c>
      <c r="F196" s="18">
        <f t="shared" si="25"/>
        <v>113834.775</v>
      </c>
      <c r="G196" s="18">
        <f>107244+6642.74-51.97</f>
        <v>113834.77</v>
      </c>
      <c r="H196" s="18">
        <f t="shared" si="20"/>
        <v>0.0049999999901047</v>
      </c>
      <c r="I196" s="20">
        <v>45869</v>
      </c>
      <c r="J196" s="113"/>
      <c r="K196" s="17"/>
      <c r="L196" s="113"/>
    </row>
    <row r="197" ht="15" spans="1:16">
      <c r="A197" s="17" t="s">
        <v>18</v>
      </c>
      <c r="B197" s="17" t="s">
        <v>253</v>
      </c>
      <c r="C197" s="24" t="s">
        <v>254</v>
      </c>
      <c r="D197" s="17">
        <v>60.47</v>
      </c>
      <c r="E197" s="17">
        <f t="shared" si="27"/>
        <v>6275</v>
      </c>
      <c r="F197" s="18">
        <f t="shared" si="26"/>
        <v>265614.475</v>
      </c>
      <c r="G197" s="18">
        <f>51.97+265562.505</f>
        <v>265614.475</v>
      </c>
      <c r="H197" s="18">
        <f t="shared" si="20"/>
        <v>0</v>
      </c>
      <c r="I197" s="20">
        <v>45929</v>
      </c>
      <c r="J197" s="17" t="s">
        <v>21</v>
      </c>
      <c r="K197" s="17"/>
      <c r="L197" s="113"/>
    </row>
    <row r="198" ht="15" spans="1:16">
      <c r="A198" s="17" t="s">
        <v>18</v>
      </c>
      <c r="B198" s="17" t="s">
        <v>253</v>
      </c>
      <c r="C198" s="24" t="s">
        <v>255</v>
      </c>
      <c r="D198" s="17">
        <v>64.181</v>
      </c>
      <c r="E198" s="17">
        <f t="shared" si="27"/>
        <v>6275</v>
      </c>
      <c r="F198" s="18">
        <f>D198*E198*0.3-20219.47</f>
        <v>100601.2625</v>
      </c>
      <c r="G198" s="18">
        <f>107244-6642.74</f>
        <v>100601.26</v>
      </c>
      <c r="H198" s="18">
        <f t="shared" si="20"/>
        <v>0.00249999998777639</v>
      </c>
      <c r="I198" s="20">
        <v>45869</v>
      </c>
      <c r="J198" s="113"/>
      <c r="K198" s="17"/>
      <c r="L198" s="113"/>
    </row>
    <row r="199" ht="15" spans="1:16">
      <c r="A199" s="70" t="s">
        <v>18</v>
      </c>
      <c r="B199" s="70" t="s">
        <v>253</v>
      </c>
      <c r="C199" s="120" t="s">
        <v>255</v>
      </c>
      <c r="D199" s="70">
        <v>64.181</v>
      </c>
      <c r="E199" s="17">
        <f t="shared" si="27"/>
        <v>6275</v>
      </c>
      <c r="F199" s="52">
        <f>D199*E199*0.7+20219.47</f>
        <v>302134.5125</v>
      </c>
      <c r="G199" s="52">
        <f>312020.815-9886.30250000005</f>
        <v>302134.5125</v>
      </c>
      <c r="H199" s="18">
        <f t="shared" si="20"/>
        <v>0</v>
      </c>
      <c r="I199" s="85">
        <v>45929</v>
      </c>
      <c r="J199" s="17" t="s">
        <v>21</v>
      </c>
      <c r="K199" s="70"/>
      <c r="L199" s="112"/>
    </row>
    <row r="200" ht="15" hidden="1" spans="1:16">
      <c r="A200" s="73" t="s">
        <v>139</v>
      </c>
      <c r="B200" s="73" t="s">
        <v>256</v>
      </c>
      <c r="C200" s="90" t="s">
        <v>257</v>
      </c>
      <c r="D200" s="94">
        <v>15.645</v>
      </c>
      <c r="E200" s="94">
        <v>7210</v>
      </c>
      <c r="F200" s="65">
        <f t="shared" ref="F200:F216" si="28">D200*E200</f>
        <v>112800.45</v>
      </c>
      <c r="G200" s="65">
        <f>33840.135+78960.315</f>
        <v>112800.45</v>
      </c>
      <c r="H200" s="65">
        <f t="shared" si="20"/>
        <v>0</v>
      </c>
      <c r="I200" s="89">
        <v>45966</v>
      </c>
      <c r="J200" s="21" t="s">
        <v>97</v>
      </c>
      <c r="K200" s="122"/>
      <c r="L200" s="122"/>
    </row>
    <row r="201" ht="15" hidden="1" spans="1:16">
      <c r="A201" s="73" t="s">
        <v>139</v>
      </c>
      <c r="B201" s="73" t="s">
        <v>256</v>
      </c>
      <c r="C201" s="90" t="s">
        <v>258</v>
      </c>
      <c r="D201" s="94">
        <v>10.507</v>
      </c>
      <c r="E201" s="94">
        <v>6070</v>
      </c>
      <c r="F201" s="65">
        <f t="shared" si="28"/>
        <v>63777.49</v>
      </c>
      <c r="G201" s="65">
        <f>19133.247+44644.243</f>
        <v>63777.49</v>
      </c>
      <c r="H201" s="65">
        <f t="shared" si="20"/>
        <v>0</v>
      </c>
      <c r="I201" s="89">
        <v>45945</v>
      </c>
      <c r="J201" s="21" t="s">
        <v>97</v>
      </c>
      <c r="K201" s="122"/>
      <c r="L201" s="122"/>
    </row>
    <row r="202" ht="15" hidden="1" spans="1:16">
      <c r="A202" s="73" t="s">
        <v>139</v>
      </c>
      <c r="B202" s="73" t="s">
        <v>256</v>
      </c>
      <c r="C202" s="90" t="s">
        <v>259</v>
      </c>
      <c r="D202" s="105">
        <v>23.962</v>
      </c>
      <c r="E202" s="94">
        <v>7210</v>
      </c>
      <c r="F202" s="65">
        <f t="shared" si="28"/>
        <v>172766.02</v>
      </c>
      <c r="G202" s="65">
        <f>51829.806+115152.35+5783.86399999997</f>
        <v>172766.02</v>
      </c>
      <c r="H202" s="65">
        <f t="shared" si="20"/>
        <v>0</v>
      </c>
      <c r="I202" s="89">
        <v>45966</v>
      </c>
      <c r="J202" s="21" t="s">
        <v>97</v>
      </c>
      <c r="K202" s="122"/>
      <c r="L202" s="122"/>
    </row>
    <row r="203" ht="15" hidden="1" spans="1:16">
      <c r="A203" s="73" t="s">
        <v>139</v>
      </c>
      <c r="B203" s="73" t="s">
        <v>256</v>
      </c>
      <c r="C203" s="90" t="s">
        <v>259</v>
      </c>
      <c r="D203" s="94">
        <v>24.869</v>
      </c>
      <c r="E203" s="94">
        <v>8060</v>
      </c>
      <c r="F203" s="65">
        <f t="shared" si="28"/>
        <v>200444.14</v>
      </c>
      <c r="G203" s="65">
        <f>F203*0.3+123144.11+17166.788</f>
        <v>200444.14</v>
      </c>
      <c r="H203" s="65">
        <f t="shared" si="20"/>
        <v>0</v>
      </c>
      <c r="I203" s="89">
        <v>45966</v>
      </c>
      <c r="J203" s="21" t="s">
        <v>97</v>
      </c>
      <c r="K203" s="122"/>
      <c r="L203" s="122"/>
    </row>
    <row r="204" ht="15" hidden="1" spans="1:16">
      <c r="A204" s="73" t="s">
        <v>139</v>
      </c>
      <c r="B204" s="73" t="s">
        <v>260</v>
      </c>
      <c r="C204" s="90" t="s">
        <v>261</v>
      </c>
      <c r="D204" s="94">
        <v>16.011</v>
      </c>
      <c r="E204" s="94">
        <v>6730</v>
      </c>
      <c r="F204" s="65">
        <f t="shared" si="28"/>
        <v>107754.03</v>
      </c>
      <c r="G204" s="65">
        <f>40380+67374.03</f>
        <v>107754.03</v>
      </c>
      <c r="H204" s="65">
        <f t="shared" si="20"/>
        <v>0</v>
      </c>
      <c r="I204" s="89">
        <v>45966</v>
      </c>
      <c r="J204" s="21" t="s">
        <v>97</v>
      </c>
      <c r="K204" s="122"/>
      <c r="L204" s="122"/>
    </row>
    <row r="205" ht="15" hidden="1" spans="1:16">
      <c r="A205" s="73" t="s">
        <v>139</v>
      </c>
      <c r="B205" s="73" t="s">
        <v>262</v>
      </c>
      <c r="C205" s="90" t="s">
        <v>263</v>
      </c>
      <c r="D205" s="94">
        <v>13.969</v>
      </c>
      <c r="E205" s="94">
        <v>5800</v>
      </c>
      <c r="F205" s="65">
        <f t="shared" si="28"/>
        <v>81020.2</v>
      </c>
      <c r="G205" s="134">
        <f>24306.06+56714.14</f>
        <v>81020.2</v>
      </c>
      <c r="H205" s="65">
        <f t="shared" si="20"/>
        <v>0</v>
      </c>
      <c r="I205" s="89">
        <v>45945</v>
      </c>
      <c r="J205" s="21" t="s">
        <v>97</v>
      </c>
      <c r="K205" s="122"/>
      <c r="L205" s="122"/>
    </row>
    <row r="206" ht="15" hidden="1" spans="1:16">
      <c r="A206" s="73" t="s">
        <v>139</v>
      </c>
      <c r="B206" s="73" t="s">
        <v>256</v>
      </c>
      <c r="C206" s="90" t="s">
        <v>263</v>
      </c>
      <c r="D206" s="105">
        <v>2.998</v>
      </c>
      <c r="E206" s="94">
        <v>5800</v>
      </c>
      <c r="F206" s="65">
        <f t="shared" si="28"/>
        <v>17388.4</v>
      </c>
      <c r="G206" s="65">
        <f>5216.52+12171.88</f>
        <v>17388.4</v>
      </c>
      <c r="H206" s="65">
        <f t="shared" si="20"/>
        <v>0</v>
      </c>
      <c r="I206" s="89">
        <v>45945</v>
      </c>
      <c r="J206" s="21" t="s">
        <v>97</v>
      </c>
      <c r="K206" s="122"/>
      <c r="L206" s="122"/>
      <c r="N206" s="4" t="s">
        <v>264</v>
      </c>
    </row>
    <row r="207" ht="15" hidden="1" spans="1:16">
      <c r="A207" s="73" t="s">
        <v>139</v>
      </c>
      <c r="B207" s="73" t="s">
        <v>256</v>
      </c>
      <c r="C207" s="90" t="s">
        <v>265</v>
      </c>
      <c r="D207" s="94">
        <v>9.322</v>
      </c>
      <c r="E207" s="94">
        <v>7210</v>
      </c>
      <c r="F207" s="65">
        <f t="shared" si="28"/>
        <v>67211.62</v>
      </c>
      <c r="G207" s="65">
        <f>F207*0.3+47048.134</f>
        <v>67211.62</v>
      </c>
      <c r="H207" s="65">
        <f t="shared" si="20"/>
        <v>0</v>
      </c>
      <c r="I207" s="89">
        <v>45966</v>
      </c>
      <c r="J207" s="21" t="s">
        <v>97</v>
      </c>
      <c r="K207" s="122"/>
      <c r="L207" s="122"/>
    </row>
    <row r="208" ht="15" hidden="1" spans="1:16">
      <c r="A208" s="73" t="s">
        <v>139</v>
      </c>
      <c r="B208" s="73" t="s">
        <v>256</v>
      </c>
      <c r="C208" s="90" t="s">
        <v>265</v>
      </c>
      <c r="D208" s="94">
        <v>27.818</v>
      </c>
      <c r="E208" s="94">
        <v>8060</v>
      </c>
      <c r="F208" s="65">
        <f t="shared" si="28"/>
        <v>224213.08</v>
      </c>
      <c r="G208" s="65">
        <f>F208*0.3+144226.45+12722.71</f>
        <v>224213.084</v>
      </c>
      <c r="H208" s="65">
        <f t="shared" si="20"/>
        <v>-0.00399999998626299</v>
      </c>
      <c r="I208" s="89">
        <v>45966</v>
      </c>
      <c r="J208" s="21" t="s">
        <v>97</v>
      </c>
      <c r="K208" s="122"/>
      <c r="L208" s="122"/>
    </row>
    <row r="209" ht="15" hidden="1" spans="1:31">
      <c r="A209" s="73" t="s">
        <v>139</v>
      </c>
      <c r="B209" s="73" t="s">
        <v>256</v>
      </c>
      <c r="C209" s="90" t="s">
        <v>266</v>
      </c>
      <c r="D209" s="94">
        <v>9.176</v>
      </c>
      <c r="E209" s="94">
        <v>7210</v>
      </c>
      <c r="F209" s="65">
        <f t="shared" si="28"/>
        <v>66158.96</v>
      </c>
      <c r="G209" s="65">
        <f>F209*0.3+46311.272</f>
        <v>66158.96</v>
      </c>
      <c r="H209" s="65">
        <f t="shared" si="20"/>
        <v>0</v>
      </c>
      <c r="I209" s="89">
        <v>45966</v>
      </c>
      <c r="J209" s="21" t="s">
        <v>97</v>
      </c>
      <c r="K209" s="122"/>
      <c r="L209" s="122"/>
    </row>
    <row r="210" ht="15" hidden="1" spans="1:31">
      <c r="A210" s="73" t="s">
        <v>139</v>
      </c>
      <c r="B210" s="73" t="s">
        <v>256</v>
      </c>
      <c r="C210" s="90" t="s">
        <v>266</v>
      </c>
      <c r="D210" s="94">
        <v>8.626</v>
      </c>
      <c r="E210" s="94">
        <v>8060</v>
      </c>
      <c r="F210" s="65">
        <f t="shared" si="28"/>
        <v>69525.56</v>
      </c>
      <c r="G210" s="65">
        <f>F210*0.3+48667.892</f>
        <v>69525.56</v>
      </c>
      <c r="H210" s="65">
        <f t="shared" si="20"/>
        <v>0</v>
      </c>
      <c r="I210" s="89">
        <v>45966</v>
      </c>
      <c r="J210" s="21" t="s">
        <v>97</v>
      </c>
      <c r="K210" s="122"/>
      <c r="L210" s="122"/>
    </row>
    <row r="211" ht="15" hidden="1" spans="1:31">
      <c r="A211" s="73" t="s">
        <v>139</v>
      </c>
      <c r="B211" s="73" t="s">
        <v>267</v>
      </c>
      <c r="C211" s="90" t="s">
        <v>268</v>
      </c>
      <c r="D211" s="94">
        <v>50.536</v>
      </c>
      <c r="E211" s="94">
        <v>5800</v>
      </c>
      <c r="F211" s="65">
        <f t="shared" si="28"/>
        <v>293108.8</v>
      </c>
      <c r="G211" s="134">
        <f>87932.64+205176.16</f>
        <v>293108.8</v>
      </c>
      <c r="H211" s="65">
        <f t="shared" si="20"/>
        <v>0</v>
      </c>
      <c r="I211" s="89">
        <v>45945</v>
      </c>
      <c r="J211" s="21" t="s">
        <v>97</v>
      </c>
      <c r="K211" s="122"/>
      <c r="L211" s="122"/>
    </row>
    <row r="212" ht="15" hidden="1" spans="1:31">
      <c r="A212" s="73" t="s">
        <v>139</v>
      </c>
      <c r="B212" s="73" t="s">
        <v>256</v>
      </c>
      <c r="C212" s="90" t="s">
        <v>268</v>
      </c>
      <c r="D212" s="94">
        <f>55.069-D211</f>
        <v>4.533</v>
      </c>
      <c r="E212" s="94">
        <v>5800</v>
      </c>
      <c r="F212" s="65">
        <f t="shared" si="28"/>
        <v>26291.4</v>
      </c>
      <c r="G212" s="65">
        <f>F212*0.3+18403.98</f>
        <v>26291.4</v>
      </c>
      <c r="H212" s="65">
        <f t="shared" si="20"/>
        <v>0</v>
      </c>
      <c r="I212" s="89">
        <v>45945</v>
      </c>
      <c r="J212" s="21" t="s">
        <v>97</v>
      </c>
      <c r="K212" s="122"/>
      <c r="L212" s="122"/>
      <c r="N212" s="4" t="s">
        <v>269</v>
      </c>
    </row>
    <row r="213" ht="15" hidden="1" spans="1:31">
      <c r="A213" s="73" t="s">
        <v>139</v>
      </c>
      <c r="B213" s="73" t="s">
        <v>256</v>
      </c>
      <c r="C213" s="90" t="s">
        <v>270</v>
      </c>
      <c r="D213" s="94">
        <v>27.473</v>
      </c>
      <c r="E213" s="94">
        <v>7210</v>
      </c>
      <c r="F213" s="65">
        <f t="shared" si="28"/>
        <v>198080.33</v>
      </c>
      <c r="G213" s="65">
        <f>F213*0.3+133636.18+5020.05100000001</f>
        <v>198080.33</v>
      </c>
      <c r="H213" s="65">
        <f t="shared" si="20"/>
        <v>0</v>
      </c>
      <c r="I213" s="89">
        <v>45966</v>
      </c>
      <c r="J213" s="21" t="s">
        <v>97</v>
      </c>
      <c r="K213" s="122"/>
      <c r="L213" s="122"/>
    </row>
    <row r="214" ht="15" hidden="1" spans="1:31">
      <c r="A214" s="73" t="s">
        <v>139</v>
      </c>
      <c r="B214" s="73" t="s">
        <v>271</v>
      </c>
      <c r="C214" s="90" t="s">
        <v>272</v>
      </c>
      <c r="D214" s="94">
        <v>16.083</v>
      </c>
      <c r="E214" s="94">
        <v>6910</v>
      </c>
      <c r="F214" s="65">
        <f t="shared" si="28"/>
        <v>111133.53</v>
      </c>
      <c r="G214" s="65">
        <f>70457.96+40675.57</f>
        <v>111133.53</v>
      </c>
      <c r="H214" s="65">
        <f t="shared" si="20"/>
        <v>0</v>
      </c>
      <c r="I214" s="89">
        <v>45966</v>
      </c>
      <c r="J214" s="21" t="s">
        <v>97</v>
      </c>
      <c r="K214" s="122"/>
      <c r="L214" s="122"/>
    </row>
    <row r="215" ht="15" hidden="1" spans="1:31">
      <c r="A215" s="73" t="s">
        <v>139</v>
      </c>
      <c r="B215" s="73" t="s">
        <v>260</v>
      </c>
      <c r="C215" s="90" t="s">
        <v>273</v>
      </c>
      <c r="D215" s="94">
        <v>29.063</v>
      </c>
      <c r="E215" s="94">
        <v>6660</v>
      </c>
      <c r="F215" s="65">
        <f t="shared" si="28"/>
        <v>193559.58</v>
      </c>
      <c r="G215" s="65">
        <f>59940-9925.92+143545.5</f>
        <v>193559.58</v>
      </c>
      <c r="H215" s="65">
        <f t="shared" si="20"/>
        <v>0</v>
      </c>
      <c r="I215" s="89">
        <v>45966</v>
      </c>
      <c r="J215" s="21" t="s">
        <v>97</v>
      </c>
      <c r="K215" s="122"/>
      <c r="L215" s="122"/>
    </row>
    <row r="216" ht="15" hidden="1" spans="1:31">
      <c r="A216" s="73" t="s">
        <v>139</v>
      </c>
      <c r="B216" s="73" t="s">
        <v>256</v>
      </c>
      <c r="C216" s="90" t="s">
        <v>274</v>
      </c>
      <c r="D216" s="94">
        <v>15.722</v>
      </c>
      <c r="E216" s="94">
        <v>7050</v>
      </c>
      <c r="F216" s="65">
        <f t="shared" si="28"/>
        <v>110840.1</v>
      </c>
      <c r="G216" s="65">
        <f>F216*0.3+57707.173+19880.897</f>
        <v>110840.1</v>
      </c>
      <c r="H216" s="65">
        <f t="shared" si="20"/>
        <v>0</v>
      </c>
      <c r="I216" s="89">
        <v>45966</v>
      </c>
      <c r="J216" s="21" t="s">
        <v>97</v>
      </c>
      <c r="K216" s="122"/>
      <c r="L216" s="122"/>
    </row>
    <row r="217" ht="15" spans="1:31">
      <c r="A217" s="17" t="s">
        <v>18</v>
      </c>
      <c r="B217" s="77" t="s">
        <v>275</v>
      </c>
      <c r="C217" s="90" t="s">
        <v>208</v>
      </c>
      <c r="D217" s="121">
        <v>27</v>
      </c>
      <c r="E217" s="94">
        <v>5950</v>
      </c>
      <c r="F217" s="65">
        <f>E217*D217</f>
        <v>160650</v>
      </c>
      <c r="G217" s="78">
        <v>160650</v>
      </c>
      <c r="H217" s="95">
        <f t="shared" si="20"/>
        <v>0</v>
      </c>
      <c r="I217" s="89">
        <v>46021</v>
      </c>
      <c r="J217" s="77" t="s">
        <v>21</v>
      </c>
      <c r="K217" s="77"/>
      <c r="L217" s="135"/>
    </row>
    <row r="218" ht="15" spans="1:31">
      <c r="A218" s="77" t="s">
        <v>18</v>
      </c>
      <c r="B218" s="136" t="s">
        <v>276</v>
      </c>
      <c r="C218" s="136" t="s">
        <v>277</v>
      </c>
      <c r="D218" s="121">
        <v>27.285</v>
      </c>
      <c r="E218" s="77">
        <v>6380</v>
      </c>
      <c r="F218" s="78">
        <f t="shared" ref="F218:F230" si="29">D218*E218</f>
        <v>174078.3</v>
      </c>
      <c r="G218" s="78">
        <f>20572.78+153505.52</f>
        <v>174078.3</v>
      </c>
      <c r="H218" s="78">
        <f t="shared" si="20"/>
        <v>0</v>
      </c>
      <c r="I218" s="44">
        <v>46209</v>
      </c>
      <c r="J218" s="17" t="s">
        <v>21</v>
      </c>
      <c r="K218" s="137"/>
      <c r="L218" s="135"/>
      <c r="P218" s="4"/>
      <c r="S218" s="4"/>
      <c r="Y218" s="4"/>
      <c r="AB218" s="4"/>
      <c r="AE218" s="4"/>
    </row>
    <row r="219" ht="15" spans="1:31">
      <c r="A219" s="77" t="s">
        <v>18</v>
      </c>
      <c r="B219" s="24" t="s">
        <v>278</v>
      </c>
      <c r="C219" s="24" t="s">
        <v>220</v>
      </c>
      <c r="D219" s="28">
        <f>44-D582-D155</f>
        <v>3.193</v>
      </c>
      <c r="E219" s="17">
        <v>6580</v>
      </c>
      <c r="F219" s="18">
        <f t="shared" si="29"/>
        <v>21009.94</v>
      </c>
      <c r="G219" s="18">
        <v>0</v>
      </c>
      <c r="H219" s="18">
        <f t="shared" si="20"/>
        <v>21009.94</v>
      </c>
      <c r="I219" s="44">
        <v>46188</v>
      </c>
      <c r="J219" s="17"/>
      <c r="K219" s="138"/>
      <c r="L219" s="139"/>
      <c r="P219" s="4"/>
      <c r="S219" s="4"/>
      <c r="Y219" s="4"/>
      <c r="AB219" s="4"/>
      <c r="AE219" s="4"/>
    </row>
    <row r="220" ht="15" spans="1:31">
      <c r="A220" s="77" t="s">
        <v>18</v>
      </c>
      <c r="B220" s="24" t="s">
        <v>279</v>
      </c>
      <c r="C220" s="24" t="s">
        <v>277</v>
      </c>
      <c r="D220" s="28">
        <v>14.445</v>
      </c>
      <c r="E220" s="17">
        <v>6380</v>
      </c>
      <c r="F220" s="18">
        <f t="shared" si="29"/>
        <v>92159.1</v>
      </c>
      <c r="G220" s="18">
        <v>92159.1</v>
      </c>
      <c r="H220" s="18">
        <f t="shared" si="20"/>
        <v>0</v>
      </c>
      <c r="I220" s="44">
        <v>46266</v>
      </c>
      <c r="J220" s="17" t="s">
        <v>21</v>
      </c>
      <c r="K220" s="1" t="s">
        <v>223</v>
      </c>
      <c r="L220" s="139"/>
      <c r="P220" s="4"/>
      <c r="S220" s="4"/>
      <c r="Y220" s="4"/>
      <c r="AB220" s="4"/>
      <c r="AE220" s="4"/>
    </row>
    <row r="221" ht="15" spans="1:31">
      <c r="A221" s="77" t="s">
        <v>18</v>
      </c>
      <c r="B221" s="24" t="s">
        <v>280</v>
      </c>
      <c r="C221" s="24" t="s">
        <v>277</v>
      </c>
      <c r="D221" s="28">
        <v>38.52</v>
      </c>
      <c r="E221" s="17">
        <v>6380</v>
      </c>
      <c r="F221" s="18">
        <f t="shared" si="29"/>
        <v>245757.6</v>
      </c>
      <c r="G221" s="18">
        <v>245757.6</v>
      </c>
      <c r="H221" s="18">
        <f t="shared" si="20"/>
        <v>0</v>
      </c>
      <c r="I221" s="44">
        <v>46266</v>
      </c>
      <c r="J221" s="17" t="s">
        <v>21</v>
      </c>
      <c r="K221" s="1" t="s">
        <v>223</v>
      </c>
      <c r="L221" s="139"/>
      <c r="P221" s="4"/>
      <c r="S221" s="4"/>
      <c r="Y221" s="4"/>
      <c r="AB221" s="4"/>
      <c r="AE221" s="4"/>
    </row>
    <row r="222" ht="15" spans="1:31">
      <c r="A222" s="77" t="s">
        <v>18</v>
      </c>
      <c r="B222" s="24" t="s">
        <v>281</v>
      </c>
      <c r="C222" s="24" t="s">
        <v>282</v>
      </c>
      <c r="D222" s="28">
        <v>40</v>
      </c>
      <c r="E222" s="17">
        <v>6380</v>
      </c>
      <c r="F222" s="18">
        <f t="shared" si="29"/>
        <v>255200</v>
      </c>
      <c r="G222" s="18">
        <v>0</v>
      </c>
      <c r="H222" s="18">
        <f t="shared" si="20"/>
        <v>255200</v>
      </c>
      <c r="I222" s="3">
        <v>46295</v>
      </c>
      <c r="J222" s="17"/>
      <c r="K222" s="17"/>
      <c r="L222" s="139"/>
      <c r="P222" s="4"/>
      <c r="S222" s="4"/>
      <c r="Y222" s="4"/>
      <c r="AB222" s="4"/>
      <c r="AE222" s="4"/>
    </row>
    <row r="223" ht="15" spans="1:31">
      <c r="A223" s="77" t="s">
        <v>18</v>
      </c>
      <c r="B223" s="24" t="s">
        <v>283</v>
      </c>
      <c r="C223" s="24" t="s">
        <v>284</v>
      </c>
      <c r="D223" s="28">
        <v>33.777</v>
      </c>
      <c r="E223" s="17">
        <v>6580</v>
      </c>
      <c r="F223" s="18">
        <f t="shared" si="29"/>
        <v>222252.66</v>
      </c>
      <c r="G223" s="18">
        <v>222252.66</v>
      </c>
      <c r="H223" s="18">
        <f t="shared" si="20"/>
        <v>0</v>
      </c>
      <c r="I223" s="44">
        <v>46295</v>
      </c>
      <c r="J223" s="17" t="s">
        <v>21</v>
      </c>
      <c r="K223" s="17"/>
      <c r="L223" s="139"/>
      <c r="P223" s="4"/>
      <c r="S223" s="4"/>
      <c r="Y223" s="4"/>
      <c r="AB223" s="4"/>
      <c r="AE223" s="4"/>
    </row>
    <row r="224" ht="15" spans="1:31">
      <c r="A224" s="77" t="s">
        <v>18</v>
      </c>
      <c r="B224" s="136" t="s">
        <v>285</v>
      </c>
      <c r="C224" s="136" t="s">
        <v>286</v>
      </c>
      <c r="D224" s="46">
        <v>45.45</v>
      </c>
      <c r="E224" s="77">
        <v>6380</v>
      </c>
      <c r="F224" s="78">
        <f t="shared" si="29"/>
        <v>289971</v>
      </c>
      <c r="G224" s="18">
        <v>289971</v>
      </c>
      <c r="H224" s="140">
        <f t="shared" si="20"/>
        <v>0</v>
      </c>
      <c r="I224" s="141">
        <v>45667</v>
      </c>
      <c r="J224" s="17" t="s">
        <v>21</v>
      </c>
      <c r="K224" s="17"/>
      <c r="L224" s="139"/>
      <c r="P224" s="4"/>
      <c r="S224" s="4"/>
      <c r="Y224" s="4"/>
      <c r="AB224" s="4"/>
      <c r="AE224" s="4"/>
    </row>
    <row r="225" ht="15" spans="1:31">
      <c r="A225" s="77" t="s">
        <v>18</v>
      </c>
      <c r="B225" s="136" t="s">
        <v>287</v>
      </c>
      <c r="C225" s="136" t="s">
        <v>286</v>
      </c>
      <c r="D225" s="46">
        <v>1.515</v>
      </c>
      <c r="E225" s="77">
        <v>6380</v>
      </c>
      <c r="F225" s="78">
        <f t="shared" si="29"/>
        <v>9665.7</v>
      </c>
      <c r="G225" s="18">
        <v>9665.69999999995</v>
      </c>
      <c r="H225" s="78">
        <f t="shared" si="20"/>
        <v>4.91127138957381e-11</v>
      </c>
      <c r="I225" s="141">
        <v>46021</v>
      </c>
      <c r="J225" s="17" t="s">
        <v>21</v>
      </c>
      <c r="K225" s="17"/>
      <c r="L225" s="139"/>
      <c r="P225" s="4"/>
      <c r="S225" s="4"/>
      <c r="Y225" s="4"/>
      <c r="AB225" s="4"/>
      <c r="AE225" s="4"/>
    </row>
    <row r="226" ht="15" spans="1:31">
      <c r="A226" s="77" t="s">
        <v>18</v>
      </c>
      <c r="B226" s="136" t="s">
        <v>288</v>
      </c>
      <c r="C226" s="136" t="s">
        <v>286</v>
      </c>
      <c r="D226" s="46">
        <v>49.995</v>
      </c>
      <c r="E226" s="77">
        <v>6100</v>
      </c>
      <c r="F226" s="78">
        <f t="shared" si="29"/>
        <v>304969.5</v>
      </c>
      <c r="G226" s="18">
        <v>304969.5</v>
      </c>
      <c r="H226" s="142">
        <f t="shared" si="20"/>
        <v>0</v>
      </c>
      <c r="I226" s="141">
        <v>46042</v>
      </c>
      <c r="J226" s="17" t="s">
        <v>21</v>
      </c>
      <c r="K226" s="17"/>
      <c r="L226" s="139"/>
      <c r="P226" s="4"/>
      <c r="S226" s="4"/>
      <c r="Y226" s="4"/>
      <c r="AB226" s="4"/>
      <c r="AE226" s="4"/>
    </row>
    <row r="227" ht="15" spans="1:31">
      <c r="A227" s="77" t="s">
        <v>18</v>
      </c>
      <c r="B227" s="136" t="s">
        <v>289</v>
      </c>
      <c r="C227" s="136" t="s">
        <v>286</v>
      </c>
      <c r="D227" s="46">
        <v>12.12</v>
      </c>
      <c r="E227" s="77">
        <v>7812.23</v>
      </c>
      <c r="F227" s="78">
        <f t="shared" si="29"/>
        <v>94684.2276</v>
      </c>
      <c r="G227" s="18">
        <f>73932+20752.23</f>
        <v>94684.23</v>
      </c>
      <c r="H227" s="78">
        <f t="shared" si="20"/>
        <v>-0.00240000001213048</v>
      </c>
      <c r="I227" s="44">
        <v>46053</v>
      </c>
      <c r="J227" s="17" t="s">
        <v>21</v>
      </c>
      <c r="K227" s="138"/>
      <c r="L227" s="139"/>
      <c r="P227" s="4"/>
      <c r="S227" s="4"/>
      <c r="Y227" s="4"/>
      <c r="AB227" s="4"/>
      <c r="AE227" s="4"/>
    </row>
    <row r="228" ht="15" spans="1:31">
      <c r="A228" s="77" t="s">
        <v>18</v>
      </c>
      <c r="B228" s="136" t="s">
        <v>290</v>
      </c>
      <c r="C228" s="136" t="s">
        <v>286</v>
      </c>
      <c r="D228" s="46">
        <v>54.54</v>
      </c>
      <c r="E228" s="77">
        <v>6380</v>
      </c>
      <c r="F228" s="78">
        <f t="shared" si="29"/>
        <v>347965.2</v>
      </c>
      <c r="G228" s="18">
        <v>347965.2</v>
      </c>
      <c r="H228" s="140">
        <f t="shared" si="20"/>
        <v>0</v>
      </c>
      <c r="I228" s="141">
        <v>46021</v>
      </c>
      <c r="J228" s="17" t="s">
        <v>21</v>
      </c>
      <c r="K228" s="138"/>
      <c r="L228" s="139"/>
      <c r="P228" s="4"/>
      <c r="S228" s="4"/>
      <c r="Y228" s="4"/>
      <c r="AB228" s="4"/>
      <c r="AE228" s="4"/>
    </row>
    <row r="229" ht="15" spans="1:31">
      <c r="A229" s="126" t="s">
        <v>18</v>
      </c>
      <c r="B229" s="143" t="s">
        <v>285</v>
      </c>
      <c r="C229" s="120" t="s">
        <v>282</v>
      </c>
      <c r="D229" s="117">
        <v>3</v>
      </c>
      <c r="E229" s="70">
        <v>6380</v>
      </c>
      <c r="F229" s="52">
        <f t="shared" si="29"/>
        <v>19140</v>
      </c>
      <c r="G229" s="52">
        <f>19140</f>
        <v>19140</v>
      </c>
      <c r="H229" s="52">
        <f t="shared" si="20"/>
        <v>0</v>
      </c>
      <c r="I229" s="144">
        <v>45667</v>
      </c>
      <c r="J229" s="17" t="s">
        <v>21</v>
      </c>
      <c r="K229" s="145"/>
      <c r="L229" s="112"/>
      <c r="P229" s="4"/>
      <c r="S229" s="4"/>
      <c r="Y229" s="4"/>
      <c r="AB229" s="4"/>
      <c r="AE229" s="4"/>
    </row>
    <row r="230" ht="15" spans="1:31">
      <c r="A230" s="17" t="s">
        <v>18</v>
      </c>
      <c r="B230" s="24" t="s">
        <v>288</v>
      </c>
      <c r="C230" s="24" t="s">
        <v>282</v>
      </c>
      <c r="D230" s="28">
        <v>12</v>
      </c>
      <c r="E230" s="17">
        <v>6100</v>
      </c>
      <c r="F230" s="18">
        <f t="shared" si="29"/>
        <v>73200</v>
      </c>
      <c r="G230" s="18">
        <f>76560-3360</f>
        <v>73200</v>
      </c>
      <c r="H230" s="146">
        <f t="shared" si="20"/>
        <v>0</v>
      </c>
      <c r="I230" s="44">
        <v>46042</v>
      </c>
      <c r="J230" s="17" t="s">
        <v>21</v>
      </c>
      <c r="K230" s="147"/>
      <c r="L230" s="113"/>
      <c r="P230" s="4"/>
      <c r="S230" s="4"/>
      <c r="Y230" s="4"/>
      <c r="AB230" s="4"/>
      <c r="AE230" s="4"/>
    </row>
    <row r="231" ht="15" hidden="1" spans="1:31">
      <c r="A231" s="40"/>
      <c r="B231" s="42"/>
      <c r="C231" s="42"/>
      <c r="D231" s="46"/>
      <c r="E231" s="40"/>
      <c r="F231" s="37"/>
      <c r="G231" s="37"/>
      <c r="H231" s="37"/>
      <c r="K231" s="4"/>
      <c r="L231" s="139"/>
      <c r="P231" s="4"/>
      <c r="S231" s="4"/>
      <c r="Y231" s="4"/>
      <c r="AB231" s="4"/>
      <c r="AE231" s="4"/>
    </row>
    <row r="232" ht="15" hidden="1" spans="1:31">
      <c r="A232" s="17"/>
      <c r="K232" s="4"/>
      <c r="L232" s="113"/>
      <c r="P232" s="4"/>
      <c r="S232" s="4"/>
      <c r="Y232" s="4"/>
      <c r="AB232" s="4"/>
      <c r="AE232" s="4"/>
    </row>
    <row r="233" customHeight="1" spans="1:31">
      <c r="A233" s="17" t="s">
        <v>18</v>
      </c>
      <c r="B233" s="17" t="s">
        <v>291</v>
      </c>
      <c r="C233" s="24" t="s">
        <v>292</v>
      </c>
      <c r="D233" s="17">
        <v>2097600</v>
      </c>
      <c r="E233" s="17">
        <v>0.23</v>
      </c>
      <c r="F233" s="18">
        <f>D233*E233*0.3</f>
        <v>144734.4</v>
      </c>
      <c r="G233" s="18">
        <v>144734.4</v>
      </c>
      <c r="H233" s="18">
        <f t="shared" ref="H233:H296" si="30">F233-G233</f>
        <v>0</v>
      </c>
      <c r="I233" s="3">
        <v>45874</v>
      </c>
      <c r="J233" s="21" t="s">
        <v>97</v>
      </c>
      <c r="K233" s="22"/>
      <c r="L233" s="113"/>
      <c r="P233" s="4"/>
      <c r="S233" s="4"/>
      <c r="Y233" s="4"/>
      <c r="AB233" s="4"/>
      <c r="AE233" s="4"/>
    </row>
    <row r="234" ht="15" spans="1:31">
      <c r="A234" s="17" t="s">
        <v>18</v>
      </c>
      <c r="B234" s="17" t="s">
        <v>291</v>
      </c>
      <c r="C234" s="24" t="s">
        <v>292</v>
      </c>
      <c r="D234" s="17">
        <v>2097600</v>
      </c>
      <c r="E234" s="17">
        <v>0.23</v>
      </c>
      <c r="F234" s="18">
        <f>D234*E234*0.7</f>
        <v>337713.6</v>
      </c>
      <c r="G234" s="18">
        <v>337713.6</v>
      </c>
      <c r="H234" s="18">
        <f t="shared" si="30"/>
        <v>0</v>
      </c>
      <c r="I234" s="20">
        <v>45891</v>
      </c>
      <c r="J234" s="21" t="s">
        <v>97</v>
      </c>
      <c r="K234" s="22"/>
      <c r="L234" s="113"/>
      <c r="P234" s="4"/>
      <c r="S234" s="4"/>
      <c r="Y234" s="4"/>
      <c r="AB234" s="4"/>
      <c r="AE234" s="4"/>
    </row>
    <row r="235" ht="15" spans="1:31">
      <c r="A235" s="17" t="s">
        <v>18</v>
      </c>
      <c r="B235" s="17" t="s">
        <v>293</v>
      </c>
      <c r="C235" s="24" t="s">
        <v>84</v>
      </c>
      <c r="D235" s="17">
        <v>2283560</v>
      </c>
      <c r="E235" s="17">
        <v>0.2329</v>
      </c>
      <c r="F235" s="18">
        <f t="shared" ref="F235:F251" si="31">D235*E235</f>
        <v>531841.124</v>
      </c>
      <c r="G235" s="18">
        <f>540328-8486.88</f>
        <v>531841.12</v>
      </c>
      <c r="H235" s="18">
        <f t="shared" si="30"/>
        <v>0.00399999995715916</v>
      </c>
      <c r="I235" s="20">
        <v>45900</v>
      </c>
      <c r="J235" s="21" t="s">
        <v>97</v>
      </c>
      <c r="K235" s="22"/>
      <c r="L235" s="113"/>
      <c r="P235" s="4"/>
      <c r="S235" s="4"/>
      <c r="Y235" s="4"/>
      <c r="AB235" s="4"/>
      <c r="AE235" s="4"/>
    </row>
    <row r="236" ht="15" hidden="1" spans="1:31">
      <c r="A236" s="17" t="s">
        <v>152</v>
      </c>
      <c r="B236" s="17" t="s">
        <v>294</v>
      </c>
      <c r="C236" s="24" t="s">
        <v>295</v>
      </c>
      <c r="D236" s="17">
        <v>27.266</v>
      </c>
      <c r="E236" s="17">
        <v>8350</v>
      </c>
      <c r="F236" s="18">
        <f t="shared" si="31"/>
        <v>227671.1</v>
      </c>
      <c r="G236" s="18">
        <v>227671.1</v>
      </c>
      <c r="H236" s="18">
        <f t="shared" si="30"/>
        <v>0</v>
      </c>
      <c r="I236" s="20">
        <v>45901</v>
      </c>
      <c r="J236" s="86" t="s">
        <v>21</v>
      </c>
      <c r="K236" s="109"/>
      <c r="L236" s="113"/>
      <c r="P236" s="4"/>
      <c r="S236" s="4"/>
      <c r="Y236" s="4"/>
      <c r="AB236" s="4"/>
      <c r="AE236" s="4"/>
    </row>
    <row r="237" ht="15" hidden="1" spans="1:31">
      <c r="A237" s="17" t="s">
        <v>152</v>
      </c>
      <c r="B237" s="17" t="s">
        <v>296</v>
      </c>
      <c r="C237" s="24" t="s">
        <v>295</v>
      </c>
      <c r="D237" s="28">
        <v>27.27</v>
      </c>
      <c r="E237" s="17">
        <v>8300</v>
      </c>
      <c r="F237" s="18">
        <f t="shared" si="31"/>
        <v>226341</v>
      </c>
      <c r="G237" s="18">
        <f>22634+203707</f>
        <v>226341</v>
      </c>
      <c r="H237" s="18">
        <f t="shared" si="30"/>
        <v>0</v>
      </c>
      <c r="I237" s="20">
        <v>45940</v>
      </c>
      <c r="J237" s="17"/>
      <c r="K237" s="113"/>
      <c r="L237" s="113"/>
      <c r="P237" s="4"/>
      <c r="S237" s="4"/>
      <c r="Y237" s="4"/>
      <c r="AB237" s="4"/>
      <c r="AE237" s="4"/>
    </row>
    <row r="238" ht="15" hidden="1" spans="1:31">
      <c r="A238" s="17" t="s">
        <v>152</v>
      </c>
      <c r="B238" s="17" t="s">
        <v>297</v>
      </c>
      <c r="C238" s="24" t="s">
        <v>295</v>
      </c>
      <c r="D238" s="28">
        <v>52.734</v>
      </c>
      <c r="E238" s="17">
        <v>8394.82</v>
      </c>
      <c r="F238" s="18">
        <f t="shared" si="31"/>
        <v>442692.43788</v>
      </c>
      <c r="G238" s="18">
        <f>44596+398096.44</f>
        <v>442692.44</v>
      </c>
      <c r="H238" s="18">
        <f t="shared" si="30"/>
        <v>-0.00212000001920387</v>
      </c>
      <c r="I238" s="20">
        <v>45940</v>
      </c>
      <c r="J238" s="17" t="s">
        <v>298</v>
      </c>
      <c r="K238" s="113"/>
      <c r="L238" s="113"/>
      <c r="P238" s="4"/>
      <c r="S238" s="4"/>
      <c r="Y238" s="4"/>
      <c r="AB238" s="4"/>
      <c r="AE238" s="4"/>
    </row>
    <row r="239" ht="15" hidden="1" spans="1:31">
      <c r="A239" s="17" t="s">
        <v>152</v>
      </c>
      <c r="B239" s="17" t="s">
        <v>299</v>
      </c>
      <c r="C239" s="24" t="s">
        <v>300</v>
      </c>
      <c r="D239" s="28">
        <v>54.262</v>
      </c>
      <c r="E239" s="17">
        <v>8392</v>
      </c>
      <c r="F239" s="18">
        <f t="shared" si="31"/>
        <v>455366.704</v>
      </c>
      <c r="G239" s="18">
        <f>89640+365726.704</f>
        <v>455366.704</v>
      </c>
      <c r="H239" s="18">
        <f t="shared" si="30"/>
        <v>0</v>
      </c>
      <c r="I239" s="20">
        <v>45940</v>
      </c>
      <c r="J239" s="17"/>
      <c r="K239" s="113"/>
      <c r="L239" s="113"/>
      <c r="P239" s="4"/>
      <c r="S239" s="4"/>
      <c r="Y239" s="4"/>
      <c r="AB239" s="4"/>
      <c r="AE239" s="4"/>
    </row>
    <row r="240" ht="15" hidden="1" spans="1:31">
      <c r="A240" s="17" t="s">
        <v>152</v>
      </c>
      <c r="B240" s="17" t="s">
        <v>299</v>
      </c>
      <c r="C240" s="24" t="s">
        <v>301</v>
      </c>
      <c r="D240" s="28">
        <v>54.391</v>
      </c>
      <c r="E240" s="17">
        <v>8392</v>
      </c>
      <c r="F240" s="18">
        <f t="shared" si="31"/>
        <v>456449.272</v>
      </c>
      <c r="G240" s="18">
        <f>89640+366809.272</f>
        <v>456449.272</v>
      </c>
      <c r="H240" s="18">
        <f t="shared" si="30"/>
        <v>0</v>
      </c>
      <c r="I240" s="20">
        <v>45940</v>
      </c>
      <c r="J240" s="17"/>
      <c r="K240" s="113"/>
      <c r="L240" s="113"/>
      <c r="P240" s="4"/>
      <c r="S240" s="4"/>
      <c r="Y240" s="4"/>
      <c r="AB240" s="4"/>
      <c r="AE240" s="4"/>
    </row>
    <row r="241" ht="30" hidden="1" spans="1:31">
      <c r="A241" s="17" t="s">
        <v>302</v>
      </c>
      <c r="B241" s="24" t="s">
        <v>91</v>
      </c>
      <c r="C241" s="27" t="s">
        <v>303</v>
      </c>
      <c r="D241" s="24">
        <v>136.113</v>
      </c>
      <c r="E241" s="148">
        <v>2449</v>
      </c>
      <c r="F241" s="18">
        <f t="shared" si="31"/>
        <v>333340.737</v>
      </c>
      <c r="G241" s="18">
        <v>333340.737</v>
      </c>
      <c r="H241" s="18">
        <f t="shared" si="30"/>
        <v>0</v>
      </c>
      <c r="I241" s="20">
        <v>45861</v>
      </c>
      <c r="J241" s="149" t="s">
        <v>21</v>
      </c>
      <c r="K241" s="150"/>
      <c r="L241" s="113"/>
      <c r="P241" s="4"/>
      <c r="S241" s="4"/>
      <c r="Y241" s="4"/>
      <c r="AB241" s="4"/>
      <c r="AE241" s="4"/>
    </row>
    <row r="242" ht="30" hidden="1" spans="1:31">
      <c r="A242" s="17" t="s">
        <v>302</v>
      </c>
      <c r="B242" s="24" t="s">
        <v>91</v>
      </c>
      <c r="C242" s="27" t="s">
        <v>304</v>
      </c>
      <c r="D242" s="24">
        <v>13.08</v>
      </c>
      <c r="E242" s="148">
        <v>1510</v>
      </c>
      <c r="F242" s="18">
        <f t="shared" si="31"/>
        <v>19750.8</v>
      </c>
      <c r="G242" s="18">
        <v>19750.8</v>
      </c>
      <c r="H242" s="18">
        <f t="shared" si="30"/>
        <v>0</v>
      </c>
      <c r="I242" s="20">
        <v>45861</v>
      </c>
      <c r="J242" s="149" t="s">
        <v>21</v>
      </c>
      <c r="K242" s="150"/>
      <c r="L242" s="113"/>
      <c r="O242" s="4">
        <f>88897.28+17350.2+225585+58217.94+245124</f>
        <v>635174.42</v>
      </c>
      <c r="P242" s="4"/>
      <c r="S242" s="4"/>
      <c r="Y242" s="4"/>
      <c r="AB242" s="4"/>
      <c r="AE242" s="4"/>
    </row>
    <row r="243" ht="30" hidden="1" spans="1:31">
      <c r="A243" s="17" t="s">
        <v>302</v>
      </c>
      <c r="B243" s="24" t="s">
        <v>91</v>
      </c>
      <c r="C243" s="27" t="s">
        <v>305</v>
      </c>
      <c r="D243" s="24">
        <v>13.616</v>
      </c>
      <c r="E243" s="25">
        <v>1582</v>
      </c>
      <c r="F243" s="18">
        <f t="shared" si="31"/>
        <v>21540.512</v>
      </c>
      <c r="G243" s="18">
        <v>21540.512</v>
      </c>
      <c r="H243" s="18">
        <f t="shared" si="30"/>
        <v>0</v>
      </c>
      <c r="I243" s="20">
        <v>45861</v>
      </c>
      <c r="J243" s="149" t="s">
        <v>21</v>
      </c>
      <c r="K243" s="150"/>
      <c r="L243" s="113"/>
      <c r="P243" s="4"/>
      <c r="S243" s="4"/>
      <c r="Y243" s="4"/>
      <c r="AB243" s="4"/>
      <c r="AE243" s="4"/>
    </row>
    <row r="244" ht="30" hidden="1" spans="1:31">
      <c r="A244" s="17" t="s">
        <v>302</v>
      </c>
      <c r="B244" s="24" t="s">
        <v>89</v>
      </c>
      <c r="C244" s="27" t="s">
        <v>306</v>
      </c>
      <c r="D244" s="24">
        <v>19.695</v>
      </c>
      <c r="E244" s="25">
        <v>2551</v>
      </c>
      <c r="F244" s="18">
        <f t="shared" si="31"/>
        <v>50241.945</v>
      </c>
      <c r="G244" s="18">
        <v>50241.945</v>
      </c>
      <c r="H244" s="18">
        <f t="shared" si="30"/>
        <v>0</v>
      </c>
      <c r="I244" s="20">
        <v>45867</v>
      </c>
      <c r="J244" s="149" t="s">
        <v>21</v>
      </c>
      <c r="K244" s="150"/>
      <c r="L244" s="113"/>
      <c r="P244" s="4"/>
      <c r="S244" s="4"/>
      <c r="Y244" s="4"/>
      <c r="AB244" s="4"/>
      <c r="AE244" s="4"/>
    </row>
    <row r="245" ht="30" hidden="1" spans="1:31">
      <c r="A245" s="17" t="s">
        <v>302</v>
      </c>
      <c r="B245" s="24" t="s">
        <v>89</v>
      </c>
      <c r="C245" s="27" t="s">
        <v>307</v>
      </c>
      <c r="D245" s="24">
        <v>7.918</v>
      </c>
      <c r="E245" s="25">
        <v>2449</v>
      </c>
      <c r="F245" s="18">
        <f t="shared" si="31"/>
        <v>19391.182</v>
      </c>
      <c r="G245" s="18">
        <v>19391.182</v>
      </c>
      <c r="H245" s="18">
        <f t="shared" si="30"/>
        <v>0</v>
      </c>
      <c r="I245" s="20">
        <v>45867</v>
      </c>
      <c r="J245" s="149" t="s">
        <v>21</v>
      </c>
      <c r="K245" s="150"/>
      <c r="L245" s="113"/>
      <c r="P245" s="4"/>
      <c r="S245" s="4"/>
      <c r="Y245" s="4"/>
      <c r="AB245" s="4"/>
      <c r="AE245" s="4"/>
    </row>
    <row r="246" ht="30" hidden="1" spans="1:31">
      <c r="A246" s="17" t="s">
        <v>302</v>
      </c>
      <c r="B246" s="24" t="s">
        <v>89</v>
      </c>
      <c r="C246" s="27" t="s">
        <v>308</v>
      </c>
      <c r="D246" s="24">
        <v>27.27</v>
      </c>
      <c r="E246" s="25">
        <v>2551</v>
      </c>
      <c r="F246" s="18">
        <f t="shared" si="31"/>
        <v>69565.77</v>
      </c>
      <c r="G246" s="18">
        <v>69565.77</v>
      </c>
      <c r="H246" s="18">
        <f t="shared" si="30"/>
        <v>0</v>
      </c>
      <c r="I246" s="20">
        <v>45867</v>
      </c>
      <c r="J246" s="149" t="s">
        <v>21</v>
      </c>
      <c r="K246" s="150"/>
      <c r="L246" s="113"/>
      <c r="P246" s="4"/>
      <c r="S246" s="4"/>
      <c r="Y246" s="4"/>
      <c r="AB246" s="4"/>
      <c r="AE246" s="4"/>
    </row>
    <row r="247" ht="30" hidden="1" spans="1:31">
      <c r="A247" s="17" t="s">
        <v>302</v>
      </c>
      <c r="B247" s="24" t="s">
        <v>94</v>
      </c>
      <c r="C247" s="27" t="s">
        <v>308</v>
      </c>
      <c r="D247" s="120">
        <v>94.602</v>
      </c>
      <c r="E247" s="25">
        <v>2551</v>
      </c>
      <c r="F247" s="18">
        <f t="shared" si="31"/>
        <v>241329.702</v>
      </c>
      <c r="G247" s="18">
        <v>241329.702</v>
      </c>
      <c r="H247" s="18">
        <f t="shared" si="30"/>
        <v>0</v>
      </c>
      <c r="I247" s="20">
        <v>45867</v>
      </c>
      <c r="J247" s="149" t="s">
        <v>21</v>
      </c>
      <c r="K247" s="150"/>
      <c r="L247" s="113"/>
      <c r="P247" s="4"/>
      <c r="S247" s="4"/>
      <c r="Y247" s="4"/>
      <c r="AB247" s="4"/>
      <c r="AE247" s="4"/>
    </row>
    <row r="248" ht="30" hidden="1" spans="1:31">
      <c r="A248" s="17" t="s">
        <v>302</v>
      </c>
      <c r="B248" s="24" t="s">
        <v>94</v>
      </c>
      <c r="C248" s="27" t="s">
        <v>309</v>
      </c>
      <c r="D248" s="120">
        <v>69.291</v>
      </c>
      <c r="E248" s="25">
        <v>2551</v>
      </c>
      <c r="F248" s="18">
        <f t="shared" si="31"/>
        <v>176761.341</v>
      </c>
      <c r="G248" s="18">
        <v>176761.341</v>
      </c>
      <c r="H248" s="18">
        <f t="shared" si="30"/>
        <v>0</v>
      </c>
      <c r="I248" s="20">
        <v>45867</v>
      </c>
      <c r="J248" s="149" t="s">
        <v>21</v>
      </c>
      <c r="K248" s="150"/>
      <c r="L248" s="113"/>
      <c r="P248" s="4"/>
      <c r="S248" s="4"/>
      <c r="Y248" s="4"/>
      <c r="AB248" s="4"/>
      <c r="AE248" s="4"/>
    </row>
    <row r="249" ht="30" hidden="1" spans="1:31">
      <c r="A249" s="17" t="s">
        <v>302</v>
      </c>
      <c r="B249" s="24" t="s">
        <v>92</v>
      </c>
      <c r="C249" s="27" t="s">
        <v>310</v>
      </c>
      <c r="D249" s="120">
        <v>52.223</v>
      </c>
      <c r="E249" s="25">
        <v>2449</v>
      </c>
      <c r="F249" s="18">
        <f t="shared" si="31"/>
        <v>127894.127</v>
      </c>
      <c r="G249" s="18">
        <v>127894.127</v>
      </c>
      <c r="H249" s="18">
        <f t="shared" si="30"/>
        <v>0</v>
      </c>
      <c r="I249" s="20">
        <v>45875</v>
      </c>
      <c r="J249" s="149" t="s">
        <v>21</v>
      </c>
      <c r="K249" s="150"/>
      <c r="L249" s="113"/>
      <c r="P249" s="4"/>
      <c r="S249" s="4"/>
      <c r="Y249" s="4"/>
      <c r="AB249" s="4"/>
      <c r="AE249" s="4"/>
    </row>
    <row r="250" ht="30" hidden="1" spans="1:31">
      <c r="A250" s="17" t="s">
        <v>302</v>
      </c>
      <c r="B250" s="24" t="s">
        <v>92</v>
      </c>
      <c r="C250" s="27" t="s">
        <v>311</v>
      </c>
      <c r="D250" s="120">
        <v>46.172</v>
      </c>
      <c r="E250" s="25">
        <v>2551</v>
      </c>
      <c r="F250" s="18">
        <f t="shared" si="31"/>
        <v>117784.772</v>
      </c>
      <c r="G250" s="18">
        <v>117784.772</v>
      </c>
      <c r="H250" s="18">
        <f t="shared" si="30"/>
        <v>0</v>
      </c>
      <c r="I250" s="20">
        <v>45875</v>
      </c>
      <c r="J250" s="149" t="s">
        <v>21</v>
      </c>
      <c r="K250" s="150"/>
      <c r="L250" s="113"/>
      <c r="P250" s="4"/>
      <c r="S250" s="4"/>
      <c r="Y250" s="4"/>
      <c r="AB250" s="4"/>
      <c r="AE250" s="4"/>
    </row>
    <row r="251" ht="30" hidden="1" spans="1:31">
      <c r="A251" s="17" t="s">
        <v>302</v>
      </c>
      <c r="B251" s="24" t="s">
        <v>92</v>
      </c>
      <c r="C251" s="27" t="s">
        <v>308</v>
      </c>
      <c r="D251" s="24">
        <v>10.605</v>
      </c>
      <c r="E251" s="25">
        <v>2551</v>
      </c>
      <c r="F251" s="18">
        <f t="shared" si="31"/>
        <v>27053.355</v>
      </c>
      <c r="G251" s="18">
        <v>27053.355</v>
      </c>
      <c r="H251" s="18">
        <f t="shared" si="30"/>
        <v>0</v>
      </c>
      <c r="I251" s="20">
        <v>45875</v>
      </c>
      <c r="J251" s="149" t="s">
        <v>21</v>
      </c>
      <c r="K251" s="150"/>
      <c r="L251" s="113"/>
      <c r="P251" s="4"/>
      <c r="S251" s="4"/>
      <c r="Y251" s="4"/>
      <c r="AB251" s="4"/>
      <c r="AE251" s="4"/>
    </row>
    <row r="252" ht="15" spans="1:31">
      <c r="A252" s="17" t="s">
        <v>18</v>
      </c>
      <c r="B252" s="24" t="s">
        <v>312</v>
      </c>
      <c r="C252" s="24" t="s">
        <v>313</v>
      </c>
      <c r="D252" s="24">
        <v>20.679</v>
      </c>
      <c r="E252" s="28">
        <v>5530</v>
      </c>
      <c r="F252" s="18">
        <f t="shared" ref="F252:F256" si="32">D252*E252*0.3</f>
        <v>34306.461</v>
      </c>
      <c r="G252" s="18">
        <f>17350.2+7534.8+9058.14+27.0970000000016+11.613+205.163000000008+87.9269999999997+31.5209999999861</f>
        <v>34306.461</v>
      </c>
      <c r="H252" s="18">
        <f t="shared" si="30"/>
        <v>0</v>
      </c>
      <c r="I252" s="20">
        <v>45891</v>
      </c>
      <c r="J252" s="113"/>
      <c r="K252" s="17"/>
      <c r="L252" s="113"/>
      <c r="O252" s="38"/>
      <c r="P252" s="4"/>
      <c r="S252" s="4"/>
      <c r="Y252" s="4"/>
      <c r="AB252" s="4"/>
      <c r="AE252" s="4"/>
    </row>
    <row r="253" ht="15" spans="1:31">
      <c r="A253" s="17" t="s">
        <v>18</v>
      </c>
      <c r="B253" s="24" t="s">
        <v>312</v>
      </c>
      <c r="C253" s="24" t="s">
        <v>313</v>
      </c>
      <c r="D253" s="24">
        <v>20.679</v>
      </c>
      <c r="E253" s="28">
        <v>5530</v>
      </c>
      <c r="F253" s="18">
        <f t="shared" ref="F253:F257" si="33">D253*E253*0.7</f>
        <v>80048.409</v>
      </c>
      <c r="G253" s="18">
        <f>79200.66+847.748999999982</f>
        <v>80048.409</v>
      </c>
      <c r="H253" s="18">
        <f t="shared" si="30"/>
        <v>0</v>
      </c>
      <c r="I253" s="20">
        <v>45941</v>
      </c>
      <c r="J253" s="86" t="s">
        <v>21</v>
      </c>
      <c r="K253" s="79"/>
      <c r="L253" s="113"/>
      <c r="P253" s="4"/>
      <c r="S253" s="4"/>
      <c r="Y253" s="4"/>
      <c r="AB253" s="4"/>
      <c r="AE253" s="4"/>
    </row>
    <row r="254" ht="15" spans="1:31">
      <c r="A254" s="17" t="s">
        <v>18</v>
      </c>
      <c r="B254" s="24" t="s">
        <v>312</v>
      </c>
      <c r="C254" s="24" t="s">
        <v>314</v>
      </c>
      <c r="D254" s="28">
        <v>20.51</v>
      </c>
      <c r="E254" s="28">
        <v>5530</v>
      </c>
      <c r="F254" s="18">
        <f t="shared" si="32"/>
        <v>34026.09</v>
      </c>
      <c r="G254" s="18">
        <f>24885+8555.463+585.626999999993</f>
        <v>34026.09</v>
      </c>
      <c r="H254" s="18">
        <f t="shared" si="30"/>
        <v>0</v>
      </c>
      <c r="I254" s="20">
        <v>45891</v>
      </c>
      <c r="J254" s="113"/>
      <c r="K254" s="17"/>
      <c r="L254" s="113"/>
      <c r="P254" s="4"/>
      <c r="S254" s="4"/>
      <c r="Y254" s="4"/>
      <c r="AB254" s="4"/>
      <c r="AE254" s="4"/>
    </row>
    <row r="255" ht="15" spans="1:31">
      <c r="A255" s="17" t="s">
        <v>18</v>
      </c>
      <c r="B255" s="24" t="s">
        <v>312</v>
      </c>
      <c r="C255" s="24" t="s">
        <v>314</v>
      </c>
      <c r="D255" s="28">
        <v>20.51</v>
      </c>
      <c r="E255" s="28">
        <v>5530</v>
      </c>
      <c r="F255" s="18">
        <f t="shared" si="33"/>
        <v>79394.21</v>
      </c>
      <c r="G255" s="18">
        <f>78027.747-31.5209999999861-847.748999999982-585.626999999993+2831.35999999996</f>
        <v>79394.21</v>
      </c>
      <c r="H255" s="18">
        <f t="shared" si="30"/>
        <v>0</v>
      </c>
      <c r="I255" s="20">
        <v>45941</v>
      </c>
      <c r="J255" s="86" t="s">
        <v>21</v>
      </c>
      <c r="K255" s="79"/>
      <c r="L255" s="113"/>
      <c r="P255" s="4"/>
      <c r="S255" s="4"/>
      <c r="Y255" s="4"/>
      <c r="AB255" s="4"/>
      <c r="AE255" s="4"/>
    </row>
    <row r="256" ht="15" spans="1:31">
      <c r="A256" s="17" t="s">
        <v>18</v>
      </c>
      <c r="B256" s="24" t="s">
        <v>312</v>
      </c>
      <c r="C256" s="24" t="s">
        <v>315</v>
      </c>
      <c r="D256" s="28">
        <v>16.625</v>
      </c>
      <c r="E256" s="28">
        <v>5530</v>
      </c>
      <c r="F256" s="18">
        <f t="shared" si="32"/>
        <v>27580.875</v>
      </c>
      <c r="G256" s="18">
        <f>24885+2783.802-87.9269999999997</f>
        <v>27580.875</v>
      </c>
      <c r="H256" s="18">
        <f t="shared" si="30"/>
        <v>0</v>
      </c>
      <c r="I256" s="20">
        <v>45891</v>
      </c>
      <c r="J256" s="113"/>
      <c r="K256" s="17"/>
      <c r="L256" s="113"/>
      <c r="P256" s="4"/>
      <c r="S256" s="4"/>
      <c r="Y256" s="4"/>
      <c r="AB256" s="4"/>
      <c r="AE256" s="4"/>
    </row>
    <row r="257" ht="15" spans="1:31">
      <c r="A257" s="17" t="s">
        <v>18</v>
      </c>
      <c r="B257" s="24" t="s">
        <v>312</v>
      </c>
      <c r="C257" s="24" t="s">
        <v>315</v>
      </c>
      <c r="D257" s="28">
        <v>16.625</v>
      </c>
      <c r="E257" s="28">
        <v>5530</v>
      </c>
      <c r="F257" s="18">
        <f t="shared" si="33"/>
        <v>64355.375</v>
      </c>
      <c r="G257" s="18">
        <f>64560.538-205.163000000008</f>
        <v>64355.375</v>
      </c>
      <c r="H257" s="18">
        <f t="shared" si="30"/>
        <v>0</v>
      </c>
      <c r="I257" s="20">
        <v>45941</v>
      </c>
      <c r="J257" s="86" t="s">
        <v>21</v>
      </c>
      <c r="K257" s="79"/>
      <c r="L257" s="113"/>
      <c r="P257" s="4"/>
      <c r="S257" s="4"/>
      <c r="Y257" s="4"/>
      <c r="AB257" s="4"/>
      <c r="AE257" s="4"/>
    </row>
    <row r="258" ht="15" spans="1:31">
      <c r="A258" s="17" t="s">
        <v>18</v>
      </c>
      <c r="B258" s="24" t="s">
        <v>312</v>
      </c>
      <c r="C258" s="24" t="s">
        <v>316</v>
      </c>
      <c r="D258" s="28">
        <v>16.709</v>
      </c>
      <c r="E258" s="28">
        <v>5530</v>
      </c>
      <c r="F258" s="18">
        <f>D258*E258*0.3</f>
        <v>27720.231</v>
      </c>
      <c r="G258" s="18">
        <f>24885+2073.04+211.050000000017+562.753999999983-11.6130000000012</f>
        <v>27720.231</v>
      </c>
      <c r="H258" s="18">
        <f t="shared" si="30"/>
        <v>0</v>
      </c>
      <c r="I258" s="20">
        <v>45891</v>
      </c>
      <c r="J258" s="113"/>
      <c r="K258" s="17"/>
      <c r="L258" s="113"/>
      <c r="P258" s="4"/>
      <c r="S258" s="4"/>
      <c r="Y258" s="4"/>
      <c r="AB258" s="4"/>
      <c r="AE258" s="4"/>
    </row>
    <row r="259" ht="15" spans="1:31">
      <c r="A259" s="17" t="s">
        <v>18</v>
      </c>
      <c r="B259" s="24" t="s">
        <v>312</v>
      </c>
      <c r="C259" s="24" t="s">
        <v>316</v>
      </c>
      <c r="D259" s="28">
        <v>16.709</v>
      </c>
      <c r="E259" s="28">
        <v>5530</v>
      </c>
      <c r="F259" s="18">
        <f>D259*E259*0.7</f>
        <v>64680.539</v>
      </c>
      <c r="G259" s="18">
        <f>64707.636-27.0970000000016</f>
        <v>64680.539</v>
      </c>
      <c r="H259" s="18">
        <f t="shared" si="30"/>
        <v>0</v>
      </c>
      <c r="I259" s="20">
        <v>45941</v>
      </c>
      <c r="J259" s="86" t="s">
        <v>21</v>
      </c>
      <c r="K259" s="79"/>
      <c r="L259" s="113"/>
      <c r="P259" s="4"/>
      <c r="S259" s="4"/>
      <c r="Y259" s="4"/>
      <c r="AB259" s="4"/>
      <c r="AE259" s="4"/>
    </row>
    <row r="260" ht="15" spans="1:31">
      <c r="A260" s="17" t="s">
        <v>18</v>
      </c>
      <c r="B260" s="24" t="s">
        <v>317</v>
      </c>
      <c r="C260" s="24" t="s">
        <v>318</v>
      </c>
      <c r="D260" s="151">
        <v>13.671</v>
      </c>
      <c r="E260" s="28">
        <v>5950</v>
      </c>
      <c r="F260" s="18">
        <f t="shared" ref="F260:F322" si="34">D260*E260</f>
        <v>81342.45</v>
      </c>
      <c r="G260" s="18">
        <f>80325+1017.45</f>
        <v>81342.45</v>
      </c>
      <c r="H260" s="152">
        <f t="shared" si="30"/>
        <v>0</v>
      </c>
      <c r="I260" s="20">
        <v>45981</v>
      </c>
      <c r="J260" s="17"/>
      <c r="K260" s="17"/>
      <c r="L260" s="113"/>
      <c r="P260" s="4"/>
      <c r="S260" s="4"/>
      <c r="Y260" s="4"/>
      <c r="AB260" s="4"/>
      <c r="AE260" s="4"/>
    </row>
    <row r="261" ht="15" spans="1:31">
      <c r="A261" s="17" t="s">
        <v>18</v>
      </c>
      <c r="B261" s="24" t="s">
        <v>319</v>
      </c>
      <c r="C261" s="24" t="s">
        <v>318</v>
      </c>
      <c r="D261" s="28">
        <v>13.671</v>
      </c>
      <c r="E261" s="28">
        <v>5950</v>
      </c>
      <c r="F261" s="18">
        <f t="shared" si="34"/>
        <v>81342.45</v>
      </c>
      <c r="G261" s="18">
        <f>72292.5+8032.5+1017.45</f>
        <v>81342.45</v>
      </c>
      <c r="H261" s="153">
        <f t="shared" si="30"/>
        <v>0</v>
      </c>
      <c r="I261" s="20">
        <v>46011</v>
      </c>
      <c r="J261" s="86" t="s">
        <v>21</v>
      </c>
      <c r="K261" s="79"/>
      <c r="L261" s="113"/>
      <c r="P261" s="4"/>
      <c r="S261" s="4"/>
      <c r="Y261" s="4"/>
      <c r="AB261" s="4"/>
      <c r="AE261" s="4"/>
    </row>
    <row r="262" ht="15" spans="1:31">
      <c r="A262" s="17" t="s">
        <v>18</v>
      </c>
      <c r="B262" s="24" t="s">
        <v>320</v>
      </c>
      <c r="C262" s="24" t="s">
        <v>318</v>
      </c>
      <c r="D262" s="28">
        <v>14.817</v>
      </c>
      <c r="E262" s="28">
        <v>5950</v>
      </c>
      <c r="F262" s="18">
        <f t="shared" si="34"/>
        <v>88161.15</v>
      </c>
      <c r="G262" s="18">
        <f>48489.15+39672</f>
        <v>88161.15</v>
      </c>
      <c r="H262" s="18">
        <f t="shared" si="30"/>
        <v>0</v>
      </c>
      <c r="I262" s="20">
        <v>46090</v>
      </c>
      <c r="J262" s="17" t="s">
        <v>21</v>
      </c>
      <c r="K262" s="17"/>
      <c r="L262" s="113"/>
      <c r="P262" s="4"/>
      <c r="S262" s="4"/>
      <c r="Y262" s="4"/>
      <c r="AB262" s="4"/>
      <c r="AE262" s="4"/>
    </row>
    <row r="263" ht="15" spans="1:31">
      <c r="A263" s="17" t="s">
        <v>18</v>
      </c>
      <c r="B263" s="24" t="s">
        <v>321</v>
      </c>
      <c r="C263" s="24" t="s">
        <v>322</v>
      </c>
      <c r="D263" s="151">
        <v>13.608</v>
      </c>
      <c r="E263" s="28">
        <v>5870</v>
      </c>
      <c r="F263" s="18">
        <f t="shared" si="34"/>
        <v>79878.96</v>
      </c>
      <c r="G263" s="18">
        <f>79245+633.960000000006</f>
        <v>79878.96</v>
      </c>
      <c r="H263" s="18">
        <f t="shared" si="30"/>
        <v>0</v>
      </c>
      <c r="I263" s="20">
        <v>45950</v>
      </c>
      <c r="J263" s="17"/>
      <c r="K263" s="17"/>
      <c r="L263" s="113"/>
      <c r="P263" s="4"/>
      <c r="S263" s="4"/>
      <c r="Y263" s="4"/>
      <c r="AB263" s="4"/>
      <c r="AE263" s="4"/>
    </row>
    <row r="264" ht="15" spans="1:31">
      <c r="A264" s="17" t="s">
        <v>18</v>
      </c>
      <c r="B264" s="24" t="s">
        <v>317</v>
      </c>
      <c r="C264" s="24" t="s">
        <v>322</v>
      </c>
      <c r="D264" s="151">
        <v>27.216</v>
      </c>
      <c r="E264" s="28">
        <v>5870</v>
      </c>
      <c r="F264" s="18">
        <f t="shared" si="34"/>
        <v>159757.92</v>
      </c>
      <c r="G264" s="18">
        <f>158490+1267.92000000001</f>
        <v>159757.92</v>
      </c>
      <c r="H264" s="152">
        <f t="shared" si="30"/>
        <v>0</v>
      </c>
      <c r="I264" s="20">
        <v>45981</v>
      </c>
      <c r="J264" s="17"/>
      <c r="K264" s="17"/>
      <c r="L264" s="113"/>
      <c r="P264" s="4"/>
      <c r="S264" s="4"/>
      <c r="Y264" s="4"/>
      <c r="AB264" s="4"/>
      <c r="AE264" s="4"/>
    </row>
    <row r="265" ht="15" spans="1:31">
      <c r="A265" s="17" t="s">
        <v>18</v>
      </c>
      <c r="B265" s="24" t="s">
        <v>319</v>
      </c>
      <c r="C265" s="24" t="s">
        <v>322</v>
      </c>
      <c r="D265" s="28">
        <v>30.24</v>
      </c>
      <c r="E265" s="28">
        <v>5870</v>
      </c>
      <c r="F265" s="18">
        <f t="shared" si="34"/>
        <v>177508.8</v>
      </c>
      <c r="G265" s="18">
        <f>142641+15849+19018.8</f>
        <v>177508.8</v>
      </c>
      <c r="H265" s="153">
        <f t="shared" si="30"/>
        <v>0</v>
      </c>
      <c r="I265" s="20">
        <v>46011</v>
      </c>
      <c r="J265" s="86" t="s">
        <v>21</v>
      </c>
      <c r="K265" s="79"/>
      <c r="L265" s="113"/>
      <c r="P265" s="4"/>
      <c r="S265" s="4"/>
      <c r="Y265" s="4"/>
      <c r="AB265" s="4"/>
      <c r="AE265" s="4"/>
    </row>
    <row r="266" ht="15" spans="1:31">
      <c r="A266" s="17" t="s">
        <v>18</v>
      </c>
      <c r="B266" s="24" t="s">
        <v>320</v>
      </c>
      <c r="C266" s="24" t="s">
        <v>322</v>
      </c>
      <c r="D266" s="28">
        <v>28.728</v>
      </c>
      <c r="E266" s="28">
        <v>5870</v>
      </c>
      <c r="F266" s="18">
        <f t="shared" si="34"/>
        <v>168633.36</v>
      </c>
      <c r="G266" s="18">
        <v>168633.36</v>
      </c>
      <c r="H266" s="18">
        <f t="shared" si="30"/>
        <v>0</v>
      </c>
      <c r="I266" s="20">
        <v>46090</v>
      </c>
      <c r="J266" s="17" t="s">
        <v>21</v>
      </c>
      <c r="K266" s="17"/>
      <c r="L266" s="113"/>
      <c r="P266" s="4"/>
      <c r="S266" s="4"/>
      <c r="Y266" s="4"/>
      <c r="AB266" s="4"/>
      <c r="AE266" s="4"/>
    </row>
    <row r="267" ht="15" spans="1:31">
      <c r="A267" s="17" t="s">
        <v>18</v>
      </c>
      <c r="B267" s="24" t="s">
        <v>323</v>
      </c>
      <c r="C267" s="24" t="s">
        <v>324</v>
      </c>
      <c r="D267" s="151">
        <v>15.28</v>
      </c>
      <c r="E267" s="28">
        <v>5780</v>
      </c>
      <c r="F267" s="18">
        <f t="shared" si="34"/>
        <v>88318.4</v>
      </c>
      <c r="G267" s="18">
        <f>78030+10288.4</f>
        <v>88318.4</v>
      </c>
      <c r="H267" s="18">
        <f t="shared" si="30"/>
        <v>0</v>
      </c>
      <c r="I267" s="20">
        <v>45945</v>
      </c>
      <c r="J267" s="86" t="s">
        <v>21</v>
      </c>
      <c r="K267" s="79"/>
      <c r="L267" s="113"/>
      <c r="P267" s="4"/>
      <c r="S267" s="4"/>
      <c r="Y267" s="4"/>
      <c r="AB267" s="4"/>
      <c r="AE267" s="4"/>
    </row>
    <row r="268" ht="15" spans="1:31">
      <c r="A268" s="17" t="s">
        <v>18</v>
      </c>
      <c r="B268" s="24" t="s">
        <v>321</v>
      </c>
      <c r="C268" s="24" t="s">
        <v>324</v>
      </c>
      <c r="D268" s="151">
        <v>27.449</v>
      </c>
      <c r="E268" s="28">
        <v>5780</v>
      </c>
      <c r="F268" s="18">
        <f t="shared" si="34"/>
        <v>158655.22</v>
      </c>
      <c r="G268" s="18">
        <f>156060+2595.22</f>
        <v>158655.22</v>
      </c>
      <c r="H268" s="18">
        <f t="shared" si="30"/>
        <v>0</v>
      </c>
      <c r="I268" s="20">
        <v>45950</v>
      </c>
      <c r="J268" s="17"/>
      <c r="K268" s="17"/>
      <c r="L268" s="113"/>
      <c r="P268" s="4"/>
      <c r="S268" s="4"/>
      <c r="Y268" s="4"/>
      <c r="AB268" s="4"/>
      <c r="AE268" s="4"/>
    </row>
    <row r="269" ht="15" spans="1:31">
      <c r="A269" s="17" t="s">
        <v>18</v>
      </c>
      <c r="B269" s="24" t="s">
        <v>317</v>
      </c>
      <c r="C269" s="24" t="s">
        <v>324</v>
      </c>
      <c r="D269" s="151">
        <v>55.008</v>
      </c>
      <c r="E269" s="28">
        <v>5780</v>
      </c>
      <c r="F269" s="18">
        <f t="shared" si="34"/>
        <v>317946.24</v>
      </c>
      <c r="G269" s="18">
        <f>312120+5826.23999999999</f>
        <v>317946.24</v>
      </c>
      <c r="H269" s="152">
        <f t="shared" si="30"/>
        <v>0</v>
      </c>
      <c r="I269" s="20">
        <v>45981</v>
      </c>
      <c r="J269" s="17"/>
      <c r="K269" s="17"/>
      <c r="L269" s="113"/>
      <c r="P269" s="4"/>
      <c r="S269" s="4"/>
      <c r="Y269" s="4"/>
      <c r="AB269" s="4"/>
      <c r="AE269" s="4"/>
    </row>
    <row r="270" ht="15" spans="1:31">
      <c r="A270" s="17" t="s">
        <v>18</v>
      </c>
      <c r="B270" s="24" t="s">
        <v>319</v>
      </c>
      <c r="C270" s="24" t="s">
        <v>324</v>
      </c>
      <c r="D270" s="28">
        <v>15.451</v>
      </c>
      <c r="E270" s="28">
        <v>5780</v>
      </c>
      <c r="F270" s="18">
        <f t="shared" si="34"/>
        <v>89306.78</v>
      </c>
      <c r="G270" s="18">
        <f>210681+23409-144783.22</f>
        <v>89306.78</v>
      </c>
      <c r="H270" s="153">
        <f t="shared" si="30"/>
        <v>0</v>
      </c>
      <c r="I270" s="20">
        <v>46011</v>
      </c>
      <c r="J270" s="86" t="s">
        <v>21</v>
      </c>
      <c r="K270" s="79"/>
      <c r="L270" s="113"/>
      <c r="P270" s="4"/>
      <c r="S270" s="4"/>
      <c r="Y270" s="4"/>
      <c r="AB270" s="4"/>
      <c r="AE270" s="4"/>
    </row>
    <row r="271" ht="15" spans="1:31">
      <c r="A271" s="17" t="s">
        <v>18</v>
      </c>
      <c r="B271" s="24" t="s">
        <v>320</v>
      </c>
      <c r="C271" s="24" t="s">
        <v>324</v>
      </c>
      <c r="D271" s="28">
        <v>48.183</v>
      </c>
      <c r="E271" s="28">
        <v>5780</v>
      </c>
      <c r="F271" s="18">
        <f t="shared" si="34"/>
        <v>278497.74</v>
      </c>
      <c r="G271" s="18">
        <f>144783.22+133714.52</f>
        <v>278497.74</v>
      </c>
      <c r="H271" s="18">
        <f t="shared" si="30"/>
        <v>0</v>
      </c>
      <c r="I271" s="20">
        <v>46090</v>
      </c>
      <c r="J271" s="17" t="s">
        <v>21</v>
      </c>
      <c r="K271" s="17"/>
      <c r="L271" s="113"/>
      <c r="P271" s="4"/>
      <c r="S271" s="4"/>
      <c r="Y271" s="4"/>
      <c r="AB271" s="4"/>
      <c r="AE271" s="4"/>
    </row>
    <row r="272" ht="15" spans="1:31">
      <c r="A272" s="17" t="s">
        <v>18</v>
      </c>
      <c r="B272" s="24" t="s">
        <v>325</v>
      </c>
      <c r="C272" s="24" t="s">
        <v>324</v>
      </c>
      <c r="D272" s="151">
        <v>27.504</v>
      </c>
      <c r="E272" s="28">
        <v>5780</v>
      </c>
      <c r="F272" s="18">
        <f t="shared" si="34"/>
        <v>158973.12</v>
      </c>
      <c r="G272" s="18">
        <v>158973.12</v>
      </c>
      <c r="H272" s="146">
        <f t="shared" si="30"/>
        <v>0</v>
      </c>
      <c r="I272" s="20">
        <v>46042</v>
      </c>
      <c r="J272" s="86"/>
      <c r="K272" s="79"/>
      <c r="L272" s="113"/>
      <c r="P272" s="4"/>
      <c r="S272" s="4"/>
      <c r="Y272" s="4"/>
      <c r="AB272" s="4"/>
      <c r="AE272" s="4"/>
    </row>
    <row r="273" ht="15" spans="1:31">
      <c r="A273" s="17" t="s">
        <v>18</v>
      </c>
      <c r="B273" s="24" t="s">
        <v>323</v>
      </c>
      <c r="C273" s="24" t="s">
        <v>326</v>
      </c>
      <c r="D273" s="151">
        <v>11.316</v>
      </c>
      <c r="E273" s="28">
        <v>5660</v>
      </c>
      <c r="F273" s="18">
        <f t="shared" si="34"/>
        <v>64048.56</v>
      </c>
      <c r="G273" s="18">
        <f>76410-10288.4-2073.04</f>
        <v>64048.56</v>
      </c>
      <c r="H273" s="18">
        <f t="shared" si="30"/>
        <v>0</v>
      </c>
      <c r="I273" s="20">
        <v>45945</v>
      </c>
      <c r="J273" s="86" t="s">
        <v>21</v>
      </c>
      <c r="K273" s="79"/>
      <c r="L273" s="113"/>
      <c r="P273" s="4"/>
      <c r="S273" s="4"/>
      <c r="Y273" s="4"/>
      <c r="AB273" s="4"/>
      <c r="AE273" s="4"/>
    </row>
    <row r="274" ht="15" spans="1:31">
      <c r="A274" s="17" t="s">
        <v>18</v>
      </c>
      <c r="B274" s="24" t="s">
        <v>317</v>
      </c>
      <c r="C274" s="24" t="s">
        <v>326</v>
      </c>
      <c r="D274" s="151">
        <v>13.662</v>
      </c>
      <c r="E274" s="28">
        <v>5660</v>
      </c>
      <c r="F274" s="18">
        <f t="shared" si="34"/>
        <v>77326.92</v>
      </c>
      <c r="G274" s="18">
        <f>916.919999999998+38990.35+5722.2+31697.45</f>
        <v>77326.92</v>
      </c>
      <c r="H274" s="18">
        <f t="shared" si="30"/>
        <v>0</v>
      </c>
      <c r="I274" s="20">
        <v>45981</v>
      </c>
      <c r="J274" s="17"/>
      <c r="K274" s="17"/>
      <c r="L274" s="113"/>
      <c r="P274" s="4"/>
      <c r="S274" s="4"/>
      <c r="Y274" s="4"/>
      <c r="AB274" s="4"/>
      <c r="AE274" s="4"/>
    </row>
    <row r="275" ht="15" spans="1:31">
      <c r="A275" s="17" t="s">
        <v>18</v>
      </c>
      <c r="B275" s="24" t="s">
        <v>319</v>
      </c>
      <c r="C275" s="24" t="s">
        <v>326</v>
      </c>
      <c r="D275" s="28">
        <v>14.206</v>
      </c>
      <c r="E275" s="28">
        <v>5660</v>
      </c>
      <c r="F275" s="18">
        <f t="shared" si="34"/>
        <v>80405.96</v>
      </c>
      <c r="G275" s="18">
        <f>68769+7641+3995.95999999999</f>
        <v>80405.96</v>
      </c>
      <c r="H275" s="153">
        <f t="shared" si="30"/>
        <v>0</v>
      </c>
      <c r="I275" s="20">
        <v>46011</v>
      </c>
      <c r="J275" s="86" t="s">
        <v>21</v>
      </c>
      <c r="K275" s="79"/>
      <c r="L275" s="113"/>
      <c r="P275" s="4"/>
      <c r="S275" s="4"/>
      <c r="Y275" s="4"/>
      <c r="AB275" s="4"/>
      <c r="AE275" s="4"/>
    </row>
    <row r="276" ht="15" spans="1:31">
      <c r="A276" s="17" t="s">
        <v>18</v>
      </c>
      <c r="B276" s="24" t="s">
        <v>320</v>
      </c>
      <c r="C276" s="24" t="s">
        <v>326</v>
      </c>
      <c r="D276" s="28">
        <v>17.243</v>
      </c>
      <c r="E276" s="28">
        <v>5660</v>
      </c>
      <c r="F276" s="18">
        <f t="shared" si="34"/>
        <v>97595.38</v>
      </c>
      <c r="G276" s="18">
        <f>27620.8+69974.58</f>
        <v>97595.38</v>
      </c>
      <c r="H276" s="18">
        <f t="shared" si="30"/>
        <v>0</v>
      </c>
      <c r="I276" s="20">
        <v>46090</v>
      </c>
      <c r="J276" s="17" t="s">
        <v>21</v>
      </c>
      <c r="K276" s="17"/>
      <c r="L276" s="113"/>
      <c r="P276" s="4"/>
      <c r="S276" s="4"/>
      <c r="Y276" s="4"/>
      <c r="AB276" s="4"/>
      <c r="AE276" s="4"/>
    </row>
    <row r="277" ht="15" spans="1:31">
      <c r="A277" s="17" t="s">
        <v>18</v>
      </c>
      <c r="B277" s="24" t="s">
        <v>321</v>
      </c>
      <c r="C277" s="24" t="s">
        <v>327</v>
      </c>
      <c r="D277" s="151">
        <v>13.725</v>
      </c>
      <c r="E277" s="28">
        <v>5660</v>
      </c>
      <c r="F277" s="18">
        <f t="shared" si="34"/>
        <v>77683.5</v>
      </c>
      <c r="G277" s="18">
        <f>76410+1273.5</f>
        <v>77683.5</v>
      </c>
      <c r="H277" s="18">
        <f t="shared" si="30"/>
        <v>0</v>
      </c>
      <c r="I277" s="20">
        <v>45945</v>
      </c>
      <c r="J277" s="17"/>
      <c r="K277" s="17"/>
      <c r="L277" s="113"/>
      <c r="P277" s="4"/>
      <c r="S277" s="4"/>
      <c r="Y277" s="4"/>
      <c r="AB277" s="4"/>
      <c r="AE277" s="4"/>
    </row>
    <row r="278" ht="15" spans="1:31">
      <c r="A278" s="17" t="s">
        <v>18</v>
      </c>
      <c r="B278" s="24" t="s">
        <v>319</v>
      </c>
      <c r="C278" s="24" t="s">
        <v>327</v>
      </c>
      <c r="D278" s="28">
        <v>8.62</v>
      </c>
      <c r="E278" s="28">
        <v>5660</v>
      </c>
      <c r="F278" s="18">
        <f t="shared" si="34"/>
        <v>48789.2</v>
      </c>
      <c r="G278" s="18">
        <f>68769+7641-27620.8</f>
        <v>48789.2</v>
      </c>
      <c r="H278" s="153">
        <f t="shared" si="30"/>
        <v>0</v>
      </c>
      <c r="I278" s="20">
        <v>46011</v>
      </c>
      <c r="J278" s="86" t="s">
        <v>21</v>
      </c>
      <c r="K278" s="79"/>
      <c r="L278" s="113"/>
      <c r="P278" s="4"/>
      <c r="S278" s="4"/>
      <c r="Y278" s="4"/>
      <c r="AB278" s="4"/>
      <c r="AE278" s="4"/>
    </row>
    <row r="279" ht="15" spans="1:31">
      <c r="A279" s="17" t="s">
        <v>18</v>
      </c>
      <c r="B279" s="24" t="s">
        <v>328</v>
      </c>
      <c r="C279" s="24" t="s">
        <v>318</v>
      </c>
      <c r="D279" s="28">
        <v>6.553</v>
      </c>
      <c r="E279" s="28">
        <v>5950</v>
      </c>
      <c r="F279" s="18">
        <f t="shared" si="34"/>
        <v>38990.35</v>
      </c>
      <c r="G279" s="18">
        <f>38990.35-38990.35+8827.14999999999+30163.2</f>
        <v>38990.35</v>
      </c>
      <c r="H279" s="18">
        <f t="shared" si="30"/>
        <v>0</v>
      </c>
      <c r="I279" s="20">
        <v>46090</v>
      </c>
      <c r="J279" s="17" t="s">
        <v>21</v>
      </c>
      <c r="K279" s="17"/>
      <c r="L279" s="113"/>
      <c r="P279" s="4"/>
      <c r="S279" s="4"/>
      <c r="Y279" s="4"/>
      <c r="AB279" s="4"/>
      <c r="AE279" s="4"/>
    </row>
    <row r="280" ht="15" spans="1:31">
      <c r="A280" s="17" t="s">
        <v>18</v>
      </c>
      <c r="B280" s="24" t="s">
        <v>328</v>
      </c>
      <c r="C280" s="24" t="s">
        <v>324</v>
      </c>
      <c r="D280" s="28">
        <v>0.99</v>
      </c>
      <c r="E280" s="28">
        <v>5780</v>
      </c>
      <c r="F280" s="18">
        <f t="shared" si="34"/>
        <v>5722.2</v>
      </c>
      <c r="G280" s="18">
        <f>5722.2-5722.2+1859.9425+2836.72999999998+1025.52750000002</f>
        <v>5722.2</v>
      </c>
      <c r="H280" s="18">
        <f t="shared" si="30"/>
        <v>0</v>
      </c>
      <c r="I280" s="20">
        <v>46090</v>
      </c>
      <c r="J280" s="17" t="s">
        <v>21</v>
      </c>
      <c r="K280" s="17"/>
      <c r="L280" s="113"/>
      <c r="P280" s="4"/>
      <c r="S280" s="4"/>
      <c r="Y280" s="4"/>
      <c r="AB280" s="4"/>
      <c r="AE280" s="4"/>
    </row>
    <row r="281" ht="15" spans="1:31">
      <c r="A281" s="17" t="s">
        <v>18</v>
      </c>
      <c r="B281" s="24" t="s">
        <v>329</v>
      </c>
      <c r="C281" s="24" t="s">
        <v>330</v>
      </c>
      <c r="D281" s="28">
        <v>82.987</v>
      </c>
      <c r="E281" s="28">
        <v>6170</v>
      </c>
      <c r="F281" s="18">
        <f t="shared" si="34"/>
        <v>512029.79</v>
      </c>
      <c r="G281" s="18">
        <f>449793+62236.79</f>
        <v>512029.79</v>
      </c>
      <c r="H281" s="18">
        <f t="shared" si="30"/>
        <v>0</v>
      </c>
      <c r="I281" s="20">
        <v>45973</v>
      </c>
      <c r="J281" s="17"/>
      <c r="K281" s="17"/>
      <c r="L281" s="113"/>
      <c r="P281" s="4"/>
      <c r="S281" s="4"/>
      <c r="Y281" s="4"/>
      <c r="AB281" s="4"/>
      <c r="AE281" s="4"/>
    </row>
    <row r="282" ht="15" spans="1:31">
      <c r="A282" s="17" t="s">
        <v>18</v>
      </c>
      <c r="B282" s="24" t="s">
        <v>329</v>
      </c>
      <c r="C282" s="24" t="s">
        <v>138</v>
      </c>
      <c r="D282" s="28">
        <v>153.728</v>
      </c>
      <c r="E282" s="28">
        <v>5930</v>
      </c>
      <c r="F282" s="18">
        <f t="shared" si="34"/>
        <v>911607.04</v>
      </c>
      <c r="G282" s="18">
        <f>864594+47013.04</f>
        <v>911607.04</v>
      </c>
      <c r="H282" s="18">
        <f t="shared" si="30"/>
        <v>0</v>
      </c>
      <c r="I282" s="20">
        <v>45973</v>
      </c>
      <c r="J282" s="17"/>
      <c r="K282" s="17"/>
      <c r="L282" s="113"/>
      <c r="P282" s="4"/>
      <c r="S282" s="4"/>
      <c r="Y282" s="4"/>
      <c r="AB282" s="4"/>
      <c r="AE282" s="4"/>
    </row>
    <row r="283" ht="15" hidden="1" spans="1:31">
      <c r="A283" s="17" t="s">
        <v>164</v>
      </c>
      <c r="B283" s="17" t="s">
        <v>331</v>
      </c>
      <c r="C283" s="17" t="s">
        <v>170</v>
      </c>
      <c r="D283" s="17">
        <v>1160000</v>
      </c>
      <c r="E283" s="17">
        <v>0.15705</v>
      </c>
      <c r="F283" s="18">
        <f t="shared" si="34"/>
        <v>182178</v>
      </c>
      <c r="G283" s="18">
        <f>54653.4+127524.6</f>
        <v>182178</v>
      </c>
      <c r="H283" s="18">
        <f t="shared" si="30"/>
        <v>0</v>
      </c>
      <c r="I283" s="20">
        <v>45915</v>
      </c>
      <c r="J283" s="86" t="s">
        <v>21</v>
      </c>
      <c r="K283" s="109"/>
      <c r="L283" s="113"/>
      <c r="P283" s="4"/>
      <c r="S283" s="4"/>
      <c r="Y283" s="4"/>
      <c r="AB283" s="4"/>
      <c r="AE283" s="4"/>
    </row>
    <row r="284" ht="15" spans="1:31">
      <c r="A284" s="17" t="s">
        <v>18</v>
      </c>
      <c r="B284" s="17" t="s">
        <v>332</v>
      </c>
      <c r="C284" s="17" t="s">
        <v>333</v>
      </c>
      <c r="D284" s="17">
        <v>1160000</v>
      </c>
      <c r="E284" s="17">
        <v>0.224</v>
      </c>
      <c r="F284" s="18">
        <f t="shared" si="34"/>
        <v>259840</v>
      </c>
      <c r="G284" s="18">
        <f>284200-24360</f>
        <v>259840</v>
      </c>
      <c r="H284" s="18">
        <f t="shared" si="30"/>
        <v>0</v>
      </c>
      <c r="I284" s="20">
        <v>45920</v>
      </c>
      <c r="J284" s="86" t="s">
        <v>21</v>
      </c>
      <c r="K284" s="79"/>
      <c r="L284" s="113"/>
      <c r="O284" s="38"/>
      <c r="P284" s="4"/>
      <c r="S284" s="4"/>
      <c r="Y284" s="4"/>
      <c r="AB284" s="4"/>
      <c r="AE284" s="4"/>
    </row>
    <row r="285" customHeight="1" spans="1:31">
      <c r="A285" s="70" t="s">
        <v>18</v>
      </c>
      <c r="B285" s="70" t="s">
        <v>334</v>
      </c>
      <c r="C285" s="70" t="s">
        <v>333</v>
      </c>
      <c r="D285" s="70">
        <v>2320000</v>
      </c>
      <c r="E285" s="70">
        <v>0.2329</v>
      </c>
      <c r="F285" s="52">
        <f t="shared" si="34"/>
        <v>540328</v>
      </c>
      <c r="G285" s="52">
        <f>531012+9316</f>
        <v>540328</v>
      </c>
      <c r="H285" s="52">
        <f t="shared" si="30"/>
        <v>0</v>
      </c>
      <c r="I285" s="85">
        <v>45939</v>
      </c>
      <c r="J285" s="70"/>
      <c r="K285" s="70"/>
      <c r="L285" s="112"/>
      <c r="P285" s="4"/>
      <c r="S285" s="4"/>
      <c r="Y285" s="4"/>
      <c r="AB285" s="4"/>
      <c r="AE285" s="4"/>
    </row>
    <row r="286" hidden="1" customHeight="1" spans="1:31">
      <c r="A286" s="73" t="s">
        <v>302</v>
      </c>
      <c r="B286" s="90" t="s">
        <v>188</v>
      </c>
      <c r="C286" s="90" t="s">
        <v>189</v>
      </c>
      <c r="D286" s="90">
        <v>28.002</v>
      </c>
      <c r="E286" s="154">
        <v>2551</v>
      </c>
      <c r="F286" s="65">
        <f t="shared" si="34"/>
        <v>71433.102</v>
      </c>
      <c r="G286" s="65">
        <v>71433.102</v>
      </c>
      <c r="H286" s="65">
        <f t="shared" si="30"/>
        <v>0</v>
      </c>
      <c r="I286" s="89">
        <v>46042</v>
      </c>
      <c r="J286" s="149" t="s">
        <v>21</v>
      </c>
      <c r="K286" s="149"/>
      <c r="L286" s="122"/>
      <c r="O286" s="38"/>
      <c r="P286" s="4"/>
      <c r="S286" s="4"/>
      <c r="Y286" s="4"/>
      <c r="AB286" s="4"/>
      <c r="AE286" s="4"/>
    </row>
    <row r="287" hidden="1" customHeight="1" spans="1:31">
      <c r="A287" s="73" t="s">
        <v>302</v>
      </c>
      <c r="B287" s="90" t="s">
        <v>193</v>
      </c>
      <c r="C287" s="90" t="s">
        <v>189</v>
      </c>
      <c r="D287" s="90">
        <v>26.298</v>
      </c>
      <c r="E287" s="154">
        <v>2551</v>
      </c>
      <c r="F287" s="65">
        <f t="shared" si="34"/>
        <v>67086.198</v>
      </c>
      <c r="G287" s="65">
        <v>67086.198</v>
      </c>
      <c r="H287" s="65">
        <f t="shared" si="30"/>
        <v>0</v>
      </c>
      <c r="I287" s="89">
        <v>46021</v>
      </c>
      <c r="J287" s="149" t="s">
        <v>21</v>
      </c>
      <c r="K287" s="149"/>
      <c r="L287" s="122"/>
      <c r="O287" s="38"/>
      <c r="P287" s="4"/>
      <c r="S287" s="4"/>
      <c r="Y287" s="4"/>
      <c r="AB287" s="4"/>
      <c r="AE287" s="4"/>
    </row>
    <row r="288" hidden="1" customHeight="1" spans="1:31">
      <c r="A288" s="73" t="s">
        <v>302</v>
      </c>
      <c r="B288" s="90" t="s">
        <v>193</v>
      </c>
      <c r="C288" s="90" t="s">
        <v>195</v>
      </c>
      <c r="D288" s="94">
        <v>40.905</v>
      </c>
      <c r="E288" s="154">
        <v>2551</v>
      </c>
      <c r="F288" s="65">
        <f t="shared" si="34"/>
        <v>104348.655</v>
      </c>
      <c r="G288" s="65">
        <v>104348.655</v>
      </c>
      <c r="H288" s="65">
        <f t="shared" si="30"/>
        <v>0</v>
      </c>
      <c r="I288" s="89">
        <v>46021</v>
      </c>
      <c r="J288" s="149" t="s">
        <v>21</v>
      </c>
      <c r="K288" s="149"/>
      <c r="L288" s="122"/>
      <c r="O288" s="45">
        <f>1258268+811282+1170315+236882+664731.72+182178</f>
        <v>4323656.72</v>
      </c>
      <c r="P288" s="4"/>
      <c r="S288" s="4"/>
      <c r="Y288" s="4"/>
      <c r="AB288" s="4"/>
      <c r="AE288" s="4"/>
    </row>
    <row r="289" hidden="1" customHeight="1" spans="1:31">
      <c r="A289" s="73" t="s">
        <v>302</v>
      </c>
      <c r="B289" s="90" t="s">
        <v>194</v>
      </c>
      <c r="C289" s="90" t="s">
        <v>195</v>
      </c>
      <c r="D289" s="94">
        <v>40.905</v>
      </c>
      <c r="E289" s="154">
        <v>2551</v>
      </c>
      <c r="F289" s="65">
        <f t="shared" si="34"/>
        <v>104348.655</v>
      </c>
      <c r="G289" s="65">
        <v>104348.655</v>
      </c>
      <c r="H289" s="65">
        <f t="shared" si="30"/>
        <v>0</v>
      </c>
      <c r="I289" s="89">
        <v>46042</v>
      </c>
      <c r="J289" s="149" t="s">
        <v>21</v>
      </c>
      <c r="K289" s="149"/>
      <c r="L289" s="122"/>
      <c r="O289" s="45"/>
      <c r="P289" s="4"/>
      <c r="S289" s="4"/>
      <c r="Y289" s="4"/>
      <c r="AB289" s="4"/>
      <c r="AE289" s="4"/>
    </row>
    <row r="290" hidden="1" customHeight="1" spans="1:31">
      <c r="A290" s="73" t="s">
        <v>302</v>
      </c>
      <c r="B290" s="90" t="s">
        <v>188</v>
      </c>
      <c r="C290" s="90" t="s">
        <v>195</v>
      </c>
      <c r="D290" s="94">
        <v>51.51</v>
      </c>
      <c r="E290" s="154">
        <v>2551</v>
      </c>
      <c r="F290" s="65">
        <f t="shared" si="34"/>
        <v>131402.01</v>
      </c>
      <c r="G290" s="65">
        <v>131402.01</v>
      </c>
      <c r="H290" s="65">
        <f t="shared" si="30"/>
        <v>0</v>
      </c>
      <c r="I290" s="89">
        <v>46042</v>
      </c>
      <c r="J290" s="149" t="s">
        <v>21</v>
      </c>
      <c r="K290" s="149"/>
      <c r="L290" s="122"/>
      <c r="O290" s="45"/>
      <c r="P290" s="4"/>
      <c r="S290" s="4"/>
      <c r="Y290" s="4"/>
      <c r="AB290" s="4"/>
      <c r="AE290" s="4"/>
    </row>
    <row r="291" hidden="1" customHeight="1" spans="1:31">
      <c r="A291" s="73" t="s">
        <v>302</v>
      </c>
      <c r="B291" s="90" t="s">
        <v>193</v>
      </c>
      <c r="C291" s="90" t="s">
        <v>199</v>
      </c>
      <c r="D291" s="94">
        <v>27.216</v>
      </c>
      <c r="E291" s="154">
        <v>2449</v>
      </c>
      <c r="F291" s="65">
        <f t="shared" si="34"/>
        <v>66651.984</v>
      </c>
      <c r="G291" s="65">
        <v>66651.984</v>
      </c>
      <c r="H291" s="65">
        <f t="shared" si="30"/>
        <v>0</v>
      </c>
      <c r="I291" s="89">
        <v>46021</v>
      </c>
      <c r="J291" s="149" t="s">
        <v>21</v>
      </c>
      <c r="K291" s="149"/>
      <c r="L291" s="122"/>
      <c r="P291" s="4"/>
      <c r="S291" s="4"/>
      <c r="Y291" s="4"/>
      <c r="AB291" s="4"/>
      <c r="AE291" s="4"/>
    </row>
    <row r="292" hidden="1" customHeight="1" spans="1:31">
      <c r="A292" s="73" t="s">
        <v>302</v>
      </c>
      <c r="B292" s="90" t="s">
        <v>193</v>
      </c>
      <c r="C292" s="90" t="s">
        <v>200</v>
      </c>
      <c r="D292" s="94">
        <v>27.27</v>
      </c>
      <c r="E292" s="154">
        <v>2551</v>
      </c>
      <c r="F292" s="65">
        <f t="shared" si="34"/>
        <v>69565.77</v>
      </c>
      <c r="G292" s="65">
        <v>69565.77</v>
      </c>
      <c r="H292" s="65">
        <f t="shared" si="30"/>
        <v>0</v>
      </c>
      <c r="I292" s="89">
        <v>46021</v>
      </c>
      <c r="J292" s="149" t="s">
        <v>21</v>
      </c>
      <c r="K292" s="149"/>
      <c r="L292" s="122"/>
      <c r="P292" s="4"/>
      <c r="S292" s="4"/>
      <c r="Y292" s="4"/>
      <c r="AB292" s="4"/>
      <c r="AE292" s="4"/>
    </row>
    <row r="293" hidden="1" customHeight="1" spans="1:31">
      <c r="A293" s="73" t="s">
        <v>302</v>
      </c>
      <c r="B293" s="90" t="s">
        <v>188</v>
      </c>
      <c r="C293" s="90" t="s">
        <v>200</v>
      </c>
      <c r="D293" s="94">
        <v>34.77</v>
      </c>
      <c r="E293" s="154">
        <v>2551</v>
      </c>
      <c r="F293" s="65">
        <f t="shared" si="34"/>
        <v>88698.27</v>
      </c>
      <c r="G293" s="65">
        <v>88698.27</v>
      </c>
      <c r="H293" s="65">
        <f t="shared" si="30"/>
        <v>0</v>
      </c>
      <c r="I293" s="89">
        <v>46042</v>
      </c>
      <c r="J293" s="149" t="s">
        <v>21</v>
      </c>
      <c r="K293" s="149"/>
      <c r="L293" s="122"/>
      <c r="P293" s="4"/>
      <c r="S293" s="4"/>
      <c r="Y293" s="4"/>
      <c r="AB293" s="4"/>
      <c r="AE293" s="4"/>
    </row>
    <row r="294" hidden="1" customHeight="1" spans="1:31">
      <c r="A294" s="73" t="s">
        <v>302</v>
      </c>
      <c r="B294" s="90" t="s">
        <v>201</v>
      </c>
      <c r="C294" s="90" t="s">
        <v>200</v>
      </c>
      <c r="D294" s="94">
        <v>7.529</v>
      </c>
      <c r="E294" s="154">
        <v>2551</v>
      </c>
      <c r="F294" s="65">
        <f t="shared" si="34"/>
        <v>19206.479</v>
      </c>
      <c r="G294" s="65">
        <v>19206.479</v>
      </c>
      <c r="H294" s="65">
        <f t="shared" si="30"/>
        <v>0</v>
      </c>
      <c r="I294" s="89">
        <v>46042</v>
      </c>
      <c r="J294" s="149" t="s">
        <v>21</v>
      </c>
      <c r="K294" s="149"/>
      <c r="L294" s="122"/>
      <c r="P294" s="4"/>
      <c r="S294" s="4"/>
      <c r="Y294" s="4"/>
      <c r="AB294" s="4"/>
      <c r="AE294" s="4"/>
    </row>
    <row r="295" hidden="1" customHeight="1" spans="1:31">
      <c r="A295" s="73" t="s">
        <v>302</v>
      </c>
      <c r="B295" s="90" t="s">
        <v>194</v>
      </c>
      <c r="C295" s="90" t="s">
        <v>200</v>
      </c>
      <c r="D295" s="94">
        <v>42.228</v>
      </c>
      <c r="E295" s="154">
        <v>2551</v>
      </c>
      <c r="F295" s="65">
        <f t="shared" si="34"/>
        <v>107723.628</v>
      </c>
      <c r="G295" s="65">
        <v>107723.628</v>
      </c>
      <c r="H295" s="65">
        <f t="shared" si="30"/>
        <v>0</v>
      </c>
      <c r="I295" s="89">
        <v>46042</v>
      </c>
      <c r="J295" s="149" t="s">
        <v>21</v>
      </c>
      <c r="K295" s="149"/>
      <c r="L295" s="122"/>
      <c r="P295" s="4"/>
      <c r="S295" s="4"/>
      <c r="Y295" s="4"/>
      <c r="AB295" s="4"/>
      <c r="AE295" s="4"/>
    </row>
    <row r="296" hidden="1" customHeight="1" spans="1:31">
      <c r="A296" s="73" t="s">
        <v>302</v>
      </c>
      <c r="B296" s="90" t="s">
        <v>188</v>
      </c>
      <c r="C296" s="90" t="s">
        <v>202</v>
      </c>
      <c r="D296" s="94">
        <v>22.47</v>
      </c>
      <c r="E296" s="154">
        <v>2449</v>
      </c>
      <c r="F296" s="65">
        <f t="shared" si="34"/>
        <v>55029.03</v>
      </c>
      <c r="G296" s="65">
        <v>55029.03</v>
      </c>
      <c r="H296" s="65">
        <f t="shared" si="30"/>
        <v>0</v>
      </c>
      <c r="I296" s="89">
        <v>46042</v>
      </c>
      <c r="J296" s="149" t="s">
        <v>21</v>
      </c>
      <c r="K296" s="149"/>
      <c r="L296" s="122"/>
      <c r="P296" s="4"/>
      <c r="S296" s="4"/>
      <c r="Y296" s="4"/>
      <c r="AB296" s="4"/>
      <c r="AE296" s="4"/>
    </row>
    <row r="297" hidden="1" customHeight="1" spans="1:31">
      <c r="A297" s="73" t="s">
        <v>302</v>
      </c>
      <c r="B297" s="90" t="s">
        <v>206</v>
      </c>
      <c r="C297" s="90" t="s">
        <v>202</v>
      </c>
      <c r="D297" s="94">
        <v>81.419</v>
      </c>
      <c r="E297" s="154">
        <v>2449</v>
      </c>
      <c r="F297" s="65">
        <f t="shared" si="34"/>
        <v>199395.131</v>
      </c>
      <c r="G297" s="65">
        <f>199395.13</f>
        <v>199395.13</v>
      </c>
      <c r="H297" s="65">
        <f t="shared" ref="H297:H360" si="35">F297-G297</f>
        <v>0.00099999998928979</v>
      </c>
      <c r="I297" s="89">
        <v>45962</v>
      </c>
      <c r="J297" s="149" t="s">
        <v>21</v>
      </c>
      <c r="K297" s="149"/>
      <c r="L297" s="122"/>
      <c r="P297" s="4"/>
      <c r="S297" s="4"/>
      <c r="Y297" s="4"/>
      <c r="AB297" s="4"/>
      <c r="AE297" s="4"/>
    </row>
    <row r="298" hidden="1" customHeight="1" spans="1:31">
      <c r="A298" s="73" t="s">
        <v>302</v>
      </c>
      <c r="B298" s="90" t="s">
        <v>193</v>
      </c>
      <c r="C298" s="90" t="s">
        <v>202</v>
      </c>
      <c r="D298" s="94">
        <v>81.442</v>
      </c>
      <c r="E298" s="154">
        <v>2449</v>
      </c>
      <c r="F298" s="65">
        <f t="shared" si="34"/>
        <v>199451.458</v>
      </c>
      <c r="G298" s="65">
        <v>199451.458</v>
      </c>
      <c r="H298" s="65">
        <f t="shared" si="35"/>
        <v>0</v>
      </c>
      <c r="I298" s="89">
        <v>46021</v>
      </c>
      <c r="J298" s="149" t="s">
        <v>21</v>
      </c>
      <c r="K298" s="149"/>
      <c r="L298" s="122"/>
      <c r="P298" s="4"/>
      <c r="S298" s="4"/>
      <c r="Y298" s="4"/>
      <c r="AB298" s="4"/>
      <c r="AE298" s="4"/>
    </row>
    <row r="299" hidden="1" customHeight="1" spans="1:31">
      <c r="A299" s="73" t="s">
        <v>302</v>
      </c>
      <c r="B299" s="90" t="s">
        <v>213</v>
      </c>
      <c r="C299" s="90" t="s">
        <v>189</v>
      </c>
      <c r="D299" s="90">
        <f>58.395-D300-D301</f>
        <v>37.986</v>
      </c>
      <c r="E299" s="154">
        <v>2551</v>
      </c>
      <c r="F299" s="65">
        <f t="shared" si="34"/>
        <v>96902.286</v>
      </c>
      <c r="G299" s="65">
        <v>96902.286</v>
      </c>
      <c r="H299" s="65">
        <f t="shared" si="35"/>
        <v>0</v>
      </c>
      <c r="I299" s="89">
        <v>46042</v>
      </c>
      <c r="J299" s="149" t="s">
        <v>21</v>
      </c>
      <c r="K299" s="149"/>
      <c r="L299" s="122"/>
      <c r="P299" s="4"/>
      <c r="S299" s="4"/>
      <c r="Y299" s="4"/>
      <c r="AB299" s="4"/>
      <c r="AE299" s="4"/>
    </row>
    <row r="300" hidden="1" customHeight="1" spans="1:31">
      <c r="A300" s="73" t="s">
        <v>302</v>
      </c>
      <c r="B300" s="90" t="s">
        <v>212</v>
      </c>
      <c r="C300" s="90" t="s">
        <v>189</v>
      </c>
      <c r="D300" s="90">
        <v>11.688</v>
      </c>
      <c r="E300" s="154">
        <v>2551</v>
      </c>
      <c r="F300" s="65">
        <f t="shared" si="34"/>
        <v>29816.088</v>
      </c>
      <c r="G300" s="65">
        <v>29816.088</v>
      </c>
      <c r="H300" s="65">
        <f t="shared" si="35"/>
        <v>0</v>
      </c>
      <c r="I300" s="89">
        <v>46042</v>
      </c>
      <c r="J300" s="149" t="s">
        <v>21</v>
      </c>
      <c r="K300" s="149"/>
      <c r="L300" s="122"/>
      <c r="P300" s="4"/>
      <c r="S300" s="4"/>
      <c r="Y300" s="4"/>
      <c r="AB300" s="4"/>
      <c r="AE300" s="4"/>
    </row>
    <row r="301" hidden="1" customHeight="1" spans="1:31">
      <c r="A301" s="73" t="s">
        <v>302</v>
      </c>
      <c r="B301" s="90" t="s">
        <v>212</v>
      </c>
      <c r="C301" s="90" t="s">
        <v>189</v>
      </c>
      <c r="D301" s="90">
        <v>8.721</v>
      </c>
      <c r="E301" s="154">
        <v>2551</v>
      </c>
      <c r="F301" s="65">
        <f t="shared" si="34"/>
        <v>22247.271</v>
      </c>
      <c r="G301" s="65">
        <v>22247.271</v>
      </c>
      <c r="H301" s="65">
        <f t="shared" si="35"/>
        <v>0</v>
      </c>
      <c r="I301" s="89">
        <v>46042</v>
      </c>
      <c r="J301" s="149" t="s">
        <v>21</v>
      </c>
      <c r="K301" s="149"/>
      <c r="L301" s="122"/>
      <c r="P301" s="4"/>
      <c r="S301" s="4"/>
      <c r="Y301" s="4"/>
      <c r="AB301" s="4"/>
      <c r="AE301" s="4"/>
    </row>
    <row r="302" hidden="1" customHeight="1" spans="1:31">
      <c r="A302" s="73" t="s">
        <v>302</v>
      </c>
      <c r="B302" s="90" t="s">
        <v>213</v>
      </c>
      <c r="C302" s="90" t="s">
        <v>195</v>
      </c>
      <c r="D302" s="90">
        <v>21.21</v>
      </c>
      <c r="E302" s="154">
        <v>2551</v>
      </c>
      <c r="F302" s="65">
        <f t="shared" si="34"/>
        <v>54106.71</v>
      </c>
      <c r="G302" s="65">
        <v>54106.71</v>
      </c>
      <c r="H302" s="65">
        <f t="shared" si="35"/>
        <v>0</v>
      </c>
      <c r="I302" s="89">
        <v>46042</v>
      </c>
      <c r="J302" s="149" t="s">
        <v>21</v>
      </c>
      <c r="K302" s="149"/>
      <c r="L302" s="122"/>
      <c r="P302" s="4"/>
      <c r="S302" s="4"/>
      <c r="Y302" s="4"/>
      <c r="AB302" s="4"/>
      <c r="AE302" s="4"/>
    </row>
    <row r="303" hidden="1" customHeight="1" spans="1:31">
      <c r="A303" s="73" t="s">
        <v>302</v>
      </c>
      <c r="B303" s="90" t="s">
        <v>211</v>
      </c>
      <c r="C303" s="90" t="s">
        <v>195</v>
      </c>
      <c r="D303" s="90">
        <v>8.622</v>
      </c>
      <c r="E303" s="154">
        <v>2551</v>
      </c>
      <c r="F303" s="65">
        <f t="shared" si="34"/>
        <v>21994.722</v>
      </c>
      <c r="G303" s="65">
        <v>21994.722</v>
      </c>
      <c r="H303" s="65">
        <f t="shared" si="35"/>
        <v>0</v>
      </c>
      <c r="I303" s="89">
        <v>46042</v>
      </c>
      <c r="J303" s="149" t="s">
        <v>21</v>
      </c>
      <c r="K303" s="149"/>
      <c r="L303" s="122"/>
      <c r="P303" s="4"/>
      <c r="S303" s="4"/>
      <c r="Y303" s="4"/>
      <c r="AB303" s="4"/>
      <c r="AE303" s="4"/>
    </row>
    <row r="304" ht="15" hidden="1" spans="1:31">
      <c r="A304" s="73" t="s">
        <v>302</v>
      </c>
      <c r="B304" s="90" t="s">
        <v>213</v>
      </c>
      <c r="C304" s="90" t="s">
        <v>199</v>
      </c>
      <c r="D304" s="94">
        <f>23.518-D305</f>
        <v>12.934</v>
      </c>
      <c r="E304" s="154">
        <v>2449</v>
      </c>
      <c r="F304" s="65">
        <f t="shared" si="34"/>
        <v>31675.366</v>
      </c>
      <c r="G304" s="65">
        <v>31675.366</v>
      </c>
      <c r="H304" s="65">
        <f t="shared" si="35"/>
        <v>0</v>
      </c>
      <c r="I304" s="89">
        <v>46042</v>
      </c>
      <c r="J304" s="149" t="s">
        <v>21</v>
      </c>
      <c r="K304" s="149"/>
      <c r="L304" s="122"/>
      <c r="P304" s="4"/>
      <c r="S304" s="4"/>
      <c r="Y304" s="4"/>
      <c r="AB304" s="4"/>
      <c r="AE304" s="4"/>
    </row>
    <row r="305" ht="15" hidden="1" spans="1:31">
      <c r="A305" s="73" t="s">
        <v>302</v>
      </c>
      <c r="B305" s="90" t="s">
        <v>212</v>
      </c>
      <c r="C305" s="90" t="s">
        <v>199</v>
      </c>
      <c r="D305" s="94">
        <v>10.584</v>
      </c>
      <c r="E305" s="154">
        <v>2449</v>
      </c>
      <c r="F305" s="65">
        <f t="shared" si="34"/>
        <v>25920.216</v>
      </c>
      <c r="G305" s="65">
        <v>25920.216</v>
      </c>
      <c r="H305" s="65">
        <f t="shared" si="35"/>
        <v>0</v>
      </c>
      <c r="I305" s="89">
        <v>46042</v>
      </c>
      <c r="J305" s="149" t="s">
        <v>21</v>
      </c>
      <c r="K305" s="149"/>
      <c r="L305" s="122"/>
      <c r="P305" s="4"/>
      <c r="S305" s="4"/>
      <c r="Y305" s="4"/>
      <c r="AB305" s="4"/>
      <c r="AE305" s="4"/>
    </row>
    <row r="306" hidden="1" customHeight="1" spans="1:31">
      <c r="A306" s="73" t="s">
        <v>302</v>
      </c>
      <c r="B306" s="90" t="s">
        <v>335</v>
      </c>
      <c r="C306" s="90" t="s">
        <v>202</v>
      </c>
      <c r="D306" s="94">
        <v>27.285</v>
      </c>
      <c r="E306" s="154">
        <v>2449</v>
      </c>
      <c r="F306" s="65">
        <f t="shared" si="34"/>
        <v>66820.965</v>
      </c>
      <c r="G306" s="65">
        <v>66820.965</v>
      </c>
      <c r="H306" s="65">
        <f t="shared" si="35"/>
        <v>0</v>
      </c>
      <c r="I306" s="89">
        <v>46042</v>
      </c>
      <c r="J306" s="149" t="s">
        <v>336</v>
      </c>
      <c r="K306" s="149"/>
      <c r="L306" s="122"/>
      <c r="P306" s="4"/>
      <c r="S306" s="4"/>
      <c r="Y306" s="4"/>
      <c r="AB306" s="4"/>
      <c r="AE306" s="4"/>
    </row>
    <row r="307" hidden="1" customHeight="1" spans="1:31">
      <c r="A307" s="126" t="s">
        <v>164</v>
      </c>
      <c r="B307" s="126" t="s">
        <v>337</v>
      </c>
      <c r="C307" s="126" t="s">
        <v>170</v>
      </c>
      <c r="D307" s="126">
        <v>1136670</v>
      </c>
      <c r="E307" s="126">
        <v>0.15705</v>
      </c>
      <c r="F307" s="83">
        <f t="shared" si="34"/>
        <v>178514.0235</v>
      </c>
      <c r="G307" s="83">
        <f>54653.4+123860.62</f>
        <v>178514.02</v>
      </c>
      <c r="H307" s="74">
        <f t="shared" si="35"/>
        <v>0.0034999999916181</v>
      </c>
      <c r="I307" s="155">
        <v>45917</v>
      </c>
      <c r="J307" s="86" t="s">
        <v>21</v>
      </c>
      <c r="K307" s="109"/>
      <c r="L307" s="156"/>
      <c r="O307" s="4">
        <f>1258268+1386882</f>
        <v>2645150</v>
      </c>
      <c r="P307" s="4"/>
      <c r="S307" s="4"/>
      <c r="Y307" s="4"/>
      <c r="AB307" s="4"/>
      <c r="AE307" s="4"/>
    </row>
    <row r="308" hidden="1" customHeight="1" spans="1:31">
      <c r="A308" s="126" t="s">
        <v>164</v>
      </c>
      <c r="B308" s="126" t="s">
        <v>338</v>
      </c>
      <c r="C308" s="126" t="s">
        <v>170</v>
      </c>
      <c r="D308" s="126">
        <v>1160000</v>
      </c>
      <c r="E308" s="126">
        <v>0.15705</v>
      </c>
      <c r="F308" s="83">
        <f t="shared" si="34"/>
        <v>182178</v>
      </c>
      <c r="G308" s="83">
        <v>182178</v>
      </c>
      <c r="H308" s="74">
        <f t="shared" si="35"/>
        <v>0</v>
      </c>
      <c r="I308" s="85">
        <v>45955</v>
      </c>
      <c r="J308" s="70" t="s">
        <v>21</v>
      </c>
      <c r="K308" s="112"/>
      <c r="L308" s="112"/>
      <c r="P308" s="4"/>
      <c r="S308" s="4"/>
      <c r="Y308" s="4"/>
      <c r="AB308" s="4"/>
      <c r="AE308" s="4"/>
    </row>
    <row r="309" hidden="1" customHeight="1" spans="1:31">
      <c r="A309" s="126" t="s">
        <v>164</v>
      </c>
      <c r="B309" s="126" t="s">
        <v>339</v>
      </c>
      <c r="C309" s="126" t="s">
        <v>170</v>
      </c>
      <c r="D309" s="126">
        <v>1160000</v>
      </c>
      <c r="E309" s="126">
        <v>0.15705</v>
      </c>
      <c r="F309" s="83">
        <f t="shared" si="34"/>
        <v>182178</v>
      </c>
      <c r="G309" s="83">
        <v>182178</v>
      </c>
      <c r="H309" s="74">
        <f t="shared" si="35"/>
        <v>0</v>
      </c>
      <c r="I309" s="85">
        <v>45986</v>
      </c>
      <c r="J309" s="17" t="s">
        <v>97</v>
      </c>
      <c r="K309" s="112"/>
      <c r="L309" s="112"/>
      <c r="P309" s="4"/>
      <c r="S309" s="4"/>
      <c r="Y309" s="4"/>
      <c r="AB309" s="4"/>
      <c r="AE309" s="4"/>
    </row>
    <row r="310" customHeight="1" spans="1:31">
      <c r="A310" s="17" t="s">
        <v>18</v>
      </c>
      <c r="B310" s="17" t="s">
        <v>340</v>
      </c>
      <c r="C310" s="24" t="s">
        <v>341</v>
      </c>
      <c r="D310" s="35">
        <v>696000</v>
      </c>
      <c r="E310" s="157">
        <v>0.224</v>
      </c>
      <c r="F310" s="18">
        <f t="shared" si="34"/>
        <v>155904</v>
      </c>
      <c r="G310" s="83">
        <v>155904</v>
      </c>
      <c r="H310" s="74">
        <f t="shared" si="35"/>
        <v>0</v>
      </c>
      <c r="I310" s="20">
        <v>45950</v>
      </c>
      <c r="J310" s="86" t="s">
        <v>21</v>
      </c>
      <c r="K310" s="79"/>
      <c r="L310" s="113"/>
      <c r="P310" s="4"/>
      <c r="S310" s="4"/>
      <c r="Y310" s="4"/>
      <c r="AB310" s="4"/>
      <c r="AE310" s="4"/>
    </row>
    <row r="311" customHeight="1" spans="1:31">
      <c r="A311" s="70" t="s">
        <v>18</v>
      </c>
      <c r="B311" s="70" t="s">
        <v>340</v>
      </c>
      <c r="C311" s="120" t="s">
        <v>342</v>
      </c>
      <c r="D311" s="158">
        <v>601920</v>
      </c>
      <c r="E311" s="159">
        <v>0.1695</v>
      </c>
      <c r="F311" s="52">
        <f t="shared" si="34"/>
        <v>102025.44</v>
      </c>
      <c r="G311" s="83">
        <v>102025.44</v>
      </c>
      <c r="H311" s="74">
        <f t="shared" si="35"/>
        <v>0</v>
      </c>
      <c r="I311" s="85">
        <v>45950</v>
      </c>
      <c r="J311" s="86" t="s">
        <v>21</v>
      </c>
      <c r="K311" s="79"/>
      <c r="L311" s="112"/>
      <c r="P311" s="4"/>
      <c r="S311" s="4"/>
      <c r="Y311" s="4"/>
      <c r="AB311" s="4"/>
      <c r="AE311" s="4"/>
    </row>
    <row r="312" customHeight="1" spans="1:31">
      <c r="A312" s="70" t="s">
        <v>18</v>
      </c>
      <c r="B312" s="17" t="s">
        <v>343</v>
      </c>
      <c r="C312" s="24" t="s">
        <v>344</v>
      </c>
      <c r="D312" s="151">
        <v>27.566</v>
      </c>
      <c r="E312" s="28">
        <v>6050</v>
      </c>
      <c r="F312" s="25">
        <f t="shared" si="34"/>
        <v>166774.3</v>
      </c>
      <c r="G312" s="83">
        <f>147015+14701.5+3932.5+1125.29999999999</f>
        <v>166774.3</v>
      </c>
      <c r="H312" s="160">
        <f t="shared" si="35"/>
        <v>0</v>
      </c>
      <c r="I312" s="20">
        <v>45976</v>
      </c>
      <c r="J312" s="17"/>
      <c r="K312" s="17"/>
      <c r="L312" s="113"/>
      <c r="P312" s="4"/>
      <c r="S312" s="4"/>
      <c r="Y312" s="4"/>
      <c r="AB312" s="4"/>
      <c r="AE312" s="4"/>
    </row>
    <row r="313" customHeight="1" spans="1:31">
      <c r="A313" s="70" t="s">
        <v>18</v>
      </c>
      <c r="B313" s="17" t="s">
        <v>343</v>
      </c>
      <c r="C313" s="24" t="s">
        <v>345</v>
      </c>
      <c r="D313" s="151">
        <v>27.536</v>
      </c>
      <c r="E313" s="28">
        <v>6050</v>
      </c>
      <c r="F313" s="25">
        <f t="shared" si="34"/>
        <v>166592.8</v>
      </c>
      <c r="G313" s="83">
        <f>147015+14701.5+21023.75-1125.29999999999-15022.15</f>
        <v>166592.8</v>
      </c>
      <c r="H313" s="160">
        <f t="shared" si="35"/>
        <v>0</v>
      </c>
      <c r="I313" s="20">
        <v>45976</v>
      </c>
      <c r="J313" s="17"/>
      <c r="K313" s="17"/>
      <c r="L313" s="113"/>
      <c r="P313" s="4"/>
      <c r="S313" s="4"/>
      <c r="Y313" s="4"/>
      <c r="AB313" s="4"/>
      <c r="AE313" s="4"/>
    </row>
    <row r="314" customHeight="1" spans="1:31">
      <c r="A314" s="70" t="s">
        <v>18</v>
      </c>
      <c r="B314" s="17" t="s">
        <v>346</v>
      </c>
      <c r="C314" s="24" t="s">
        <v>345</v>
      </c>
      <c r="D314" s="151">
        <f>30.582-D313</f>
        <v>3.046</v>
      </c>
      <c r="E314" s="28">
        <v>6050</v>
      </c>
      <c r="F314" s="25">
        <f t="shared" si="34"/>
        <v>18428.3</v>
      </c>
      <c r="G314" s="83">
        <f>15022.15+3406.15</f>
        <v>18428.3</v>
      </c>
      <c r="H314" s="74">
        <f t="shared" si="35"/>
        <v>0</v>
      </c>
      <c r="I314" s="20">
        <v>45976</v>
      </c>
      <c r="J314" s="17"/>
      <c r="K314" s="17"/>
      <c r="L314" s="113"/>
      <c r="N314" s="161"/>
      <c r="P314" s="4"/>
      <c r="S314" s="4"/>
      <c r="Y314" s="4"/>
      <c r="AB314" s="4"/>
      <c r="AE314" s="4"/>
    </row>
    <row r="315" customHeight="1" spans="1:31">
      <c r="A315" s="70" t="s">
        <v>18</v>
      </c>
      <c r="B315" s="17" t="s">
        <v>347</v>
      </c>
      <c r="C315" s="24" t="s">
        <v>348</v>
      </c>
      <c r="D315" s="28">
        <v>31.979</v>
      </c>
      <c r="E315" s="28">
        <v>6200</v>
      </c>
      <c r="F315" s="25">
        <f t="shared" si="34"/>
        <v>198269.8</v>
      </c>
      <c r="G315" s="83">
        <f>150660+15066+23928.4+1576.75+7038.64999999999</f>
        <v>198269.8</v>
      </c>
      <c r="H315" s="74">
        <f t="shared" si="35"/>
        <v>0</v>
      </c>
      <c r="I315" s="20">
        <v>45976</v>
      </c>
      <c r="J315" s="17"/>
      <c r="K315" s="17"/>
      <c r="L315" s="113"/>
      <c r="P315" s="4"/>
      <c r="S315" s="4"/>
      <c r="Y315" s="4"/>
      <c r="AB315" s="4"/>
      <c r="AE315" s="4"/>
    </row>
    <row r="316" customHeight="1" spans="1:31">
      <c r="A316" s="70" t="s">
        <v>18</v>
      </c>
      <c r="B316" s="17" t="s">
        <v>346</v>
      </c>
      <c r="C316" s="24" t="s">
        <v>349</v>
      </c>
      <c r="D316" s="151">
        <v>95.587</v>
      </c>
      <c r="E316" s="28">
        <v>6050</v>
      </c>
      <c r="F316" s="25">
        <f t="shared" si="34"/>
        <v>578301.35</v>
      </c>
      <c r="G316" s="83">
        <f>588060+58806+43348.25-111912.9</f>
        <v>578301.35</v>
      </c>
      <c r="H316" s="160">
        <f t="shared" si="35"/>
        <v>0</v>
      </c>
      <c r="I316" s="20">
        <v>45976</v>
      </c>
      <c r="J316" s="17"/>
      <c r="K316" s="17"/>
      <c r="L316" s="113"/>
      <c r="N316" s="161"/>
      <c r="P316" s="4"/>
      <c r="S316" s="4"/>
      <c r="Y316" s="4"/>
      <c r="AB316" s="4"/>
      <c r="AE316" s="4"/>
    </row>
    <row r="317" customHeight="1" spans="1:31">
      <c r="A317" s="70" t="s">
        <v>18</v>
      </c>
      <c r="B317" s="17" t="s">
        <v>350</v>
      </c>
      <c r="C317" s="24" t="s">
        <v>349</v>
      </c>
      <c r="D317" s="151">
        <v>18.799</v>
      </c>
      <c r="E317" s="28">
        <v>6050</v>
      </c>
      <c r="F317" s="25">
        <f t="shared" si="34"/>
        <v>113733.95</v>
      </c>
      <c r="G317" s="83">
        <f>111912.9+1821.05</f>
        <v>113733.95</v>
      </c>
      <c r="H317" s="74">
        <f t="shared" si="35"/>
        <v>0</v>
      </c>
      <c r="I317" s="20">
        <v>45976</v>
      </c>
      <c r="J317" s="17"/>
      <c r="K317" s="17"/>
      <c r="L317" s="113"/>
      <c r="N317" s="161" t="s">
        <v>351</v>
      </c>
      <c r="P317" s="4"/>
      <c r="S317" s="4"/>
      <c r="Y317" s="4"/>
      <c r="AB317" s="4"/>
      <c r="AE317" s="4"/>
    </row>
    <row r="318" customHeight="1" spans="1:31">
      <c r="A318" s="70" t="s">
        <v>18</v>
      </c>
      <c r="B318" s="17" t="s">
        <v>347</v>
      </c>
      <c r="C318" s="24" t="s">
        <v>352</v>
      </c>
      <c r="D318" s="28">
        <v>76.7</v>
      </c>
      <c r="E318" s="28">
        <v>5760</v>
      </c>
      <c r="F318" s="25">
        <f t="shared" si="34"/>
        <v>441792</v>
      </c>
      <c r="G318" s="83">
        <f>699840+69984-328032</f>
        <v>441792</v>
      </c>
      <c r="H318" s="74">
        <f t="shared" si="35"/>
        <v>0</v>
      </c>
      <c r="I318" s="20">
        <v>45976</v>
      </c>
      <c r="J318" s="17"/>
      <c r="K318" s="17"/>
      <c r="L318" s="113"/>
      <c r="P318" s="4"/>
      <c r="S318" s="4"/>
      <c r="Y318" s="4"/>
      <c r="AB318" s="4"/>
      <c r="AE318" s="4"/>
    </row>
    <row r="319" customHeight="1" spans="1:31">
      <c r="A319" s="70" t="s">
        <v>18</v>
      </c>
      <c r="B319" s="17" t="s">
        <v>343</v>
      </c>
      <c r="C319" s="24" t="s">
        <v>352</v>
      </c>
      <c r="D319" s="28">
        <v>55.224</v>
      </c>
      <c r="E319" s="28">
        <v>5760</v>
      </c>
      <c r="F319" s="25">
        <f t="shared" si="34"/>
        <v>318090.24</v>
      </c>
      <c r="G319" s="83">
        <f>328032-9941.76000000001</f>
        <v>318090.24</v>
      </c>
      <c r="H319" s="74">
        <f t="shared" si="35"/>
        <v>0</v>
      </c>
      <c r="I319" s="20">
        <v>45976</v>
      </c>
      <c r="J319" s="17"/>
      <c r="K319" s="17"/>
      <c r="L319" s="113"/>
      <c r="P319" s="4"/>
      <c r="S319" s="4"/>
      <c r="Y319" s="4"/>
      <c r="AB319" s="4"/>
      <c r="AE319" s="4"/>
    </row>
    <row r="320" customHeight="1" spans="1:31">
      <c r="A320" s="70" t="s">
        <v>18</v>
      </c>
      <c r="B320" s="17" t="s">
        <v>346</v>
      </c>
      <c r="C320" s="24" t="s">
        <v>352</v>
      </c>
      <c r="D320" s="28">
        <v>7.846</v>
      </c>
      <c r="E320" s="28">
        <v>5760</v>
      </c>
      <c r="F320" s="25">
        <f t="shared" si="34"/>
        <v>45192.96</v>
      </c>
      <c r="G320" s="83">
        <f>9941.76000000001+35251.2</f>
        <v>45192.96</v>
      </c>
      <c r="H320" s="74">
        <f t="shared" si="35"/>
        <v>0</v>
      </c>
      <c r="I320" s="20">
        <v>45976</v>
      </c>
      <c r="J320" s="17"/>
      <c r="K320" s="17"/>
      <c r="L320" s="113"/>
      <c r="N320" s="161"/>
      <c r="P320" s="4"/>
      <c r="S320" s="4"/>
      <c r="Y320" s="4"/>
      <c r="AB320" s="4"/>
      <c r="AE320" s="4"/>
    </row>
    <row r="321" customHeight="1" spans="1:31">
      <c r="A321" s="17" t="s">
        <v>18</v>
      </c>
      <c r="B321" s="17" t="s">
        <v>350</v>
      </c>
      <c r="C321" s="24" t="s">
        <v>353</v>
      </c>
      <c r="D321" s="151">
        <v>28.054</v>
      </c>
      <c r="E321" s="28">
        <v>5760</v>
      </c>
      <c r="F321" s="25">
        <f t="shared" si="34"/>
        <v>161591.04</v>
      </c>
      <c r="G321" s="83">
        <f>139968+13996.8+7228.80000000002+397.439999999973</f>
        <v>161591.04</v>
      </c>
      <c r="H321" s="162">
        <f t="shared" si="35"/>
        <v>0</v>
      </c>
      <c r="I321" s="20">
        <v>45976</v>
      </c>
      <c r="J321" s="17"/>
      <c r="K321" s="17"/>
      <c r="L321" s="113"/>
      <c r="N321" s="161" t="s">
        <v>354</v>
      </c>
      <c r="P321" s="4"/>
      <c r="S321" s="4"/>
      <c r="Y321" s="4"/>
      <c r="AB321" s="4"/>
      <c r="AE321" s="4"/>
    </row>
    <row r="322" hidden="1" customHeight="1" spans="1:31">
      <c r="A322" s="73" t="s">
        <v>302</v>
      </c>
      <c r="B322" s="90" t="s">
        <v>211</v>
      </c>
      <c r="C322" s="90" t="s">
        <v>202</v>
      </c>
      <c r="D322" s="163">
        <v>26.134</v>
      </c>
      <c r="E322" s="154">
        <v>2449</v>
      </c>
      <c r="F322" s="65">
        <f t="shared" si="34"/>
        <v>64002.166</v>
      </c>
      <c r="G322" s="83">
        <v>64002.166</v>
      </c>
      <c r="H322" s="65">
        <f t="shared" si="35"/>
        <v>0</v>
      </c>
      <c r="I322" s="89">
        <v>46042</v>
      </c>
      <c r="J322" s="149" t="s">
        <v>21</v>
      </c>
      <c r="K322" s="109"/>
      <c r="L322" s="112"/>
      <c r="N322" s="161"/>
      <c r="P322" s="4"/>
      <c r="S322" s="4"/>
      <c r="Y322" s="4"/>
      <c r="AB322" s="4"/>
      <c r="AE322" s="4"/>
    </row>
    <row r="323" hidden="1" customHeight="1" spans="1:31">
      <c r="A323" s="72" t="s">
        <v>302</v>
      </c>
      <c r="B323" s="70"/>
      <c r="C323" s="120" t="s">
        <v>355</v>
      </c>
      <c r="D323" s="70">
        <v>7</v>
      </c>
      <c r="E323" s="164">
        <v>38775.5102040816</v>
      </c>
      <c r="F323" s="52">
        <f>E323*D323</f>
        <v>271428.571428571</v>
      </c>
      <c r="G323" s="52">
        <f>174489.8+96938.7714285712</f>
        <v>271428.571428571</v>
      </c>
      <c r="H323" s="52">
        <f t="shared" si="35"/>
        <v>0</v>
      </c>
      <c r="I323" s="85">
        <v>45945</v>
      </c>
      <c r="J323" s="70"/>
      <c r="K323" s="112"/>
      <c r="L323" s="112"/>
      <c r="P323" s="4"/>
      <c r="S323" s="4"/>
      <c r="Y323" s="4"/>
      <c r="AB323" s="4"/>
      <c r="AE323" s="4"/>
    </row>
    <row r="324" customHeight="1" spans="1:31">
      <c r="A324" s="17" t="s">
        <v>18</v>
      </c>
      <c r="B324" s="24" t="s">
        <v>356</v>
      </c>
      <c r="C324" s="24" t="s">
        <v>357</v>
      </c>
      <c r="D324" s="28">
        <v>53.241</v>
      </c>
      <c r="E324" s="28">
        <v>6030</v>
      </c>
      <c r="F324" s="25">
        <f t="shared" ref="F324:F327" si="36">D324*E324</f>
        <v>321043.23</v>
      </c>
      <c r="G324" s="18">
        <v>321043.23</v>
      </c>
      <c r="H324" s="165">
        <f t="shared" si="35"/>
        <v>0</v>
      </c>
      <c r="I324" s="20">
        <v>46004</v>
      </c>
      <c r="J324" s="113"/>
      <c r="K324" s="17"/>
      <c r="L324" s="113"/>
    </row>
    <row r="325" customHeight="1" spans="1:31">
      <c r="A325" s="17" t="s">
        <v>18</v>
      </c>
      <c r="B325" s="24" t="s">
        <v>358</v>
      </c>
      <c r="C325" s="24" t="s">
        <v>359</v>
      </c>
      <c r="D325" s="151">
        <v>1.4</v>
      </c>
      <c r="E325" s="28">
        <v>5600</v>
      </c>
      <c r="F325" s="25">
        <f t="shared" si="36"/>
        <v>7840</v>
      </c>
      <c r="G325" s="18">
        <v>7840</v>
      </c>
      <c r="H325" s="165">
        <f t="shared" si="35"/>
        <v>0</v>
      </c>
      <c r="I325" s="20">
        <v>46004</v>
      </c>
      <c r="J325" s="113"/>
      <c r="K325" s="17"/>
      <c r="L325" s="113"/>
    </row>
    <row r="326" customHeight="1" spans="1:31">
      <c r="A326" s="17" t="s">
        <v>18</v>
      </c>
      <c r="B326" s="24" t="s">
        <v>356</v>
      </c>
      <c r="C326" s="24" t="s">
        <v>359</v>
      </c>
      <c r="D326" s="28">
        <v>1.4</v>
      </c>
      <c r="E326" s="28">
        <v>5600</v>
      </c>
      <c r="F326" s="25">
        <f t="shared" si="36"/>
        <v>7840</v>
      </c>
      <c r="G326" s="18">
        <v>7840</v>
      </c>
      <c r="H326" s="165">
        <f t="shared" si="35"/>
        <v>0</v>
      </c>
      <c r="I326" s="20">
        <v>46004</v>
      </c>
      <c r="J326" s="113"/>
      <c r="K326" s="17"/>
      <c r="L326" s="113"/>
    </row>
    <row r="327" customHeight="1" spans="1:31">
      <c r="A327" s="17" t="s">
        <v>18</v>
      </c>
      <c r="B327" s="24" t="s">
        <v>360</v>
      </c>
      <c r="C327" s="24" t="s">
        <v>359</v>
      </c>
      <c r="D327" s="28">
        <f>5.6-1.4</f>
        <v>4.2</v>
      </c>
      <c r="E327" s="28">
        <v>5600</v>
      </c>
      <c r="F327" s="25">
        <f t="shared" si="36"/>
        <v>23520</v>
      </c>
      <c r="G327" s="18">
        <v>23520</v>
      </c>
      <c r="H327" s="165">
        <f t="shared" si="35"/>
        <v>0</v>
      </c>
      <c r="I327" s="20">
        <v>46004</v>
      </c>
      <c r="J327" s="113"/>
      <c r="K327" s="17"/>
      <c r="L327" s="113"/>
      <c r="N327" s="4" t="s">
        <v>361</v>
      </c>
    </row>
    <row r="328" hidden="1" customHeight="1" spans="1:31">
      <c r="A328" s="17" t="s">
        <v>164</v>
      </c>
      <c r="B328" s="17" t="s">
        <v>362</v>
      </c>
      <c r="C328" s="27" t="s">
        <v>166</v>
      </c>
      <c r="D328" s="24">
        <f t="shared" ref="D328:D332" si="37">1960400*2</f>
        <v>3920800</v>
      </c>
      <c r="E328" s="17">
        <v>0.123</v>
      </c>
      <c r="F328" s="18">
        <f t="shared" ref="F328:F337" si="38">E328*D328</f>
        <v>482258.4</v>
      </c>
      <c r="G328" s="18">
        <v>482258.4</v>
      </c>
      <c r="H328" s="18">
        <f t="shared" si="35"/>
        <v>0</v>
      </c>
      <c r="I328" s="20">
        <v>45955</v>
      </c>
      <c r="J328" s="17" t="s">
        <v>21</v>
      </c>
      <c r="K328" s="113"/>
      <c r="L328" s="113"/>
    </row>
    <row r="329" hidden="1" customHeight="1" spans="1:31">
      <c r="A329" s="17" t="s">
        <v>164</v>
      </c>
      <c r="B329" s="17" t="s">
        <v>363</v>
      </c>
      <c r="C329" s="27" t="s">
        <v>166</v>
      </c>
      <c r="D329" s="24">
        <f t="shared" si="37"/>
        <v>3920800</v>
      </c>
      <c r="E329" s="17">
        <v>0.123</v>
      </c>
      <c r="F329" s="18">
        <f t="shared" si="38"/>
        <v>482258.4</v>
      </c>
      <c r="G329" s="18">
        <f>218458.94+263799.46</f>
        <v>482258.4</v>
      </c>
      <c r="H329" s="18">
        <f t="shared" si="35"/>
        <v>0</v>
      </c>
      <c r="I329" s="20">
        <v>45966</v>
      </c>
      <c r="J329" s="17" t="s">
        <v>97</v>
      </c>
      <c r="K329" s="113"/>
      <c r="L329" s="113"/>
    </row>
    <row r="330" hidden="1" customHeight="1" spans="1:31">
      <c r="A330" s="17" t="s">
        <v>164</v>
      </c>
      <c r="B330" s="17" t="s">
        <v>364</v>
      </c>
      <c r="C330" s="27" t="s">
        <v>166</v>
      </c>
      <c r="D330" s="24">
        <f t="shared" si="37"/>
        <v>3920800</v>
      </c>
      <c r="E330" s="17">
        <v>0.123</v>
      </c>
      <c r="F330" s="18">
        <f t="shared" si="38"/>
        <v>482258.4</v>
      </c>
      <c r="G330" s="18">
        <v>482258.4</v>
      </c>
      <c r="H330" s="18">
        <f t="shared" si="35"/>
        <v>0</v>
      </c>
      <c r="I330" s="20">
        <v>46050</v>
      </c>
      <c r="J330" s="17" t="s">
        <v>97</v>
      </c>
      <c r="K330" s="113"/>
      <c r="L330" s="113"/>
    </row>
    <row r="331" hidden="1" customHeight="1" spans="1:31">
      <c r="A331" s="17" t="s">
        <v>164</v>
      </c>
      <c r="B331" s="17" t="s">
        <v>365</v>
      </c>
      <c r="C331" s="27" t="s">
        <v>166</v>
      </c>
      <c r="D331" s="24">
        <f t="shared" si="37"/>
        <v>3920800</v>
      </c>
      <c r="E331" s="17">
        <v>0.123</v>
      </c>
      <c r="F331" s="18">
        <f t="shared" si="38"/>
        <v>482258.4</v>
      </c>
      <c r="G331" s="18">
        <v>482258.4</v>
      </c>
      <c r="H331" s="18">
        <f t="shared" si="35"/>
        <v>0</v>
      </c>
      <c r="I331" s="20">
        <v>46088</v>
      </c>
      <c r="J331" s="17" t="s">
        <v>21</v>
      </c>
      <c r="K331" s="113"/>
      <c r="L331" s="113"/>
    </row>
    <row r="332" hidden="1" customHeight="1" spans="1:31">
      <c r="A332" s="17" t="s">
        <v>164</v>
      </c>
      <c r="B332" s="17" t="s">
        <v>366</v>
      </c>
      <c r="C332" s="27" t="s">
        <v>166</v>
      </c>
      <c r="D332" s="24">
        <f t="shared" si="37"/>
        <v>3920800</v>
      </c>
      <c r="E332" s="17">
        <v>0.123</v>
      </c>
      <c r="F332" s="18">
        <f t="shared" si="38"/>
        <v>482258.4</v>
      </c>
      <c r="G332" s="18">
        <v>482258.4</v>
      </c>
      <c r="H332" s="18">
        <f t="shared" si="35"/>
        <v>0</v>
      </c>
      <c r="I332" s="20">
        <v>46119</v>
      </c>
      <c r="J332" s="17"/>
      <c r="K332" s="113"/>
      <c r="L332" s="113"/>
    </row>
    <row r="333" hidden="1" customHeight="1" spans="1:31">
      <c r="A333" s="17" t="s">
        <v>164</v>
      </c>
      <c r="B333" s="17" t="s">
        <v>367</v>
      </c>
      <c r="C333" s="27" t="s">
        <v>166</v>
      </c>
      <c r="D333" s="24">
        <f>1960400*3</f>
        <v>5881200</v>
      </c>
      <c r="E333" s="17">
        <v>0.123</v>
      </c>
      <c r="F333" s="18">
        <f t="shared" si="38"/>
        <v>723387.6</v>
      </c>
      <c r="G333" s="18">
        <v>723387.6</v>
      </c>
      <c r="H333" s="18">
        <f t="shared" si="35"/>
        <v>0</v>
      </c>
      <c r="I333" s="20">
        <v>46140</v>
      </c>
      <c r="J333" s="17"/>
      <c r="K333" s="113"/>
      <c r="L333" s="113"/>
    </row>
    <row r="334" hidden="1" customHeight="1" spans="1:31">
      <c r="A334" s="17" t="s">
        <v>164</v>
      </c>
      <c r="B334" s="17" t="s">
        <v>368</v>
      </c>
      <c r="C334" s="27" t="s">
        <v>166</v>
      </c>
      <c r="D334" s="24">
        <f>1960400</f>
        <v>1960400</v>
      </c>
      <c r="E334" s="17">
        <v>0.12764</v>
      </c>
      <c r="F334" s="18">
        <f t="shared" si="38"/>
        <v>250225.456</v>
      </c>
      <c r="G334" s="18">
        <f>206217.57+44007.89</f>
        <v>250225.46</v>
      </c>
      <c r="H334" s="18">
        <f t="shared" si="35"/>
        <v>-0.00400000001536682</v>
      </c>
      <c r="I334" s="20">
        <v>46170</v>
      </c>
      <c r="J334" s="17" t="s">
        <v>21</v>
      </c>
      <c r="K334" s="17" t="s">
        <v>223</v>
      </c>
      <c r="L334" s="113"/>
    </row>
    <row r="335" hidden="1" customHeight="1" spans="1:31">
      <c r="A335" s="17" t="s">
        <v>164</v>
      </c>
      <c r="B335" s="17" t="s">
        <v>369</v>
      </c>
      <c r="C335" s="27" t="s">
        <v>166</v>
      </c>
      <c r="D335" s="24">
        <f>1960400*2</f>
        <v>3920800</v>
      </c>
      <c r="E335" s="17">
        <v>0.123</v>
      </c>
      <c r="F335" s="18">
        <f t="shared" si="38"/>
        <v>482258.4</v>
      </c>
      <c r="G335" s="18">
        <v>0</v>
      </c>
      <c r="H335" s="18">
        <f t="shared" si="35"/>
        <v>482258.4</v>
      </c>
      <c r="I335" s="20">
        <v>46201</v>
      </c>
      <c r="J335" s="17"/>
      <c r="K335" s="113"/>
      <c r="L335" s="113"/>
    </row>
    <row r="336" hidden="1" customHeight="1" spans="1:31">
      <c r="A336" s="17" t="s">
        <v>164</v>
      </c>
      <c r="B336" s="17" t="s">
        <v>370</v>
      </c>
      <c r="C336" s="27" t="s">
        <v>166</v>
      </c>
      <c r="D336" s="24">
        <v>3920800</v>
      </c>
      <c r="E336" s="17">
        <v>0.123</v>
      </c>
      <c r="F336" s="18">
        <f t="shared" si="38"/>
        <v>482258.4</v>
      </c>
      <c r="G336" s="18">
        <v>0</v>
      </c>
      <c r="H336" s="18">
        <f t="shared" si="35"/>
        <v>482258.4</v>
      </c>
      <c r="I336" s="20">
        <v>46231</v>
      </c>
      <c r="J336" s="17"/>
      <c r="K336" s="113"/>
      <c r="L336" s="113"/>
    </row>
    <row r="337" hidden="1" customHeight="1" spans="1:12">
      <c r="A337" s="17" t="s">
        <v>164</v>
      </c>
      <c r="B337" s="17" t="s">
        <v>371</v>
      </c>
      <c r="C337" s="27" t="s">
        <v>166</v>
      </c>
      <c r="D337" s="24">
        <v>1188000</v>
      </c>
      <c r="E337" s="17">
        <v>0.123</v>
      </c>
      <c r="F337" s="18">
        <f t="shared" si="38"/>
        <v>146124</v>
      </c>
      <c r="G337" s="18">
        <v>0</v>
      </c>
      <c r="H337" s="18">
        <f t="shared" si="35"/>
        <v>146124</v>
      </c>
      <c r="I337" s="20">
        <v>46262</v>
      </c>
      <c r="J337" s="17"/>
      <c r="K337" s="113"/>
      <c r="L337" s="113"/>
    </row>
    <row r="338" hidden="1" customHeight="1" spans="1:12">
      <c r="A338" s="17" t="s">
        <v>164</v>
      </c>
      <c r="B338" s="17" t="s">
        <v>372</v>
      </c>
      <c r="C338" s="24" t="s">
        <v>373</v>
      </c>
      <c r="D338" s="28">
        <v>6</v>
      </c>
      <c r="E338" s="28">
        <v>160</v>
      </c>
      <c r="F338" s="25">
        <f t="shared" ref="F338:F340" si="39">D338*E338</f>
        <v>960</v>
      </c>
      <c r="G338" s="18">
        <v>0</v>
      </c>
      <c r="H338" s="18">
        <f t="shared" si="35"/>
        <v>960</v>
      </c>
      <c r="I338" s="20">
        <f>'[1]Sheet7 (2)'!V651</f>
        <v>45955</v>
      </c>
      <c r="J338" s="17"/>
      <c r="K338" s="113"/>
      <c r="L338" s="113"/>
    </row>
    <row r="339" hidden="1" customHeight="1" spans="1:12">
      <c r="A339" s="17" t="s">
        <v>164</v>
      </c>
      <c r="B339" s="17" t="s">
        <v>372</v>
      </c>
      <c r="C339" s="24" t="s">
        <v>373</v>
      </c>
      <c r="D339" s="28">
        <v>10</v>
      </c>
      <c r="E339" s="28">
        <v>160</v>
      </c>
      <c r="F339" s="25">
        <f t="shared" si="39"/>
        <v>1600</v>
      </c>
      <c r="G339" s="18">
        <v>0</v>
      </c>
      <c r="H339" s="18">
        <f t="shared" si="35"/>
        <v>1600</v>
      </c>
      <c r="I339" s="20">
        <f>'[1]Sheet7 (2)'!V651</f>
        <v>45955</v>
      </c>
      <c r="J339" s="17"/>
      <c r="K339" s="113"/>
      <c r="L339" s="113"/>
    </row>
    <row r="340" hidden="1" customHeight="1" spans="1:12">
      <c r="A340" s="17" t="s">
        <v>164</v>
      </c>
      <c r="B340" s="17" t="s">
        <v>372</v>
      </c>
      <c r="C340" s="24" t="s">
        <v>373</v>
      </c>
      <c r="D340" s="28">
        <v>6</v>
      </c>
      <c r="E340" s="28">
        <v>170</v>
      </c>
      <c r="F340" s="25">
        <f t="shared" si="39"/>
        <v>1020</v>
      </c>
      <c r="G340" s="18">
        <v>0</v>
      </c>
      <c r="H340" s="18">
        <f t="shared" si="35"/>
        <v>1020</v>
      </c>
      <c r="I340" s="20">
        <f>'[1]Sheet7 (2)'!V651</f>
        <v>45955</v>
      </c>
      <c r="J340" s="17"/>
      <c r="K340" s="113"/>
      <c r="L340" s="113"/>
    </row>
    <row r="341" hidden="1" customHeight="1" spans="1:12">
      <c r="A341" s="17" t="s">
        <v>164</v>
      </c>
      <c r="B341" s="17" t="s">
        <v>374</v>
      </c>
      <c r="C341" s="24" t="s">
        <v>375</v>
      </c>
      <c r="D341" s="35">
        <v>522000</v>
      </c>
      <c r="E341" s="166">
        <v>0.26748</v>
      </c>
      <c r="F341" s="25">
        <f t="shared" ref="F341:F344" si="40">E341*D341</f>
        <v>139624.56</v>
      </c>
      <c r="G341" s="18">
        <f>41887.368+97737.192</f>
        <v>139624.56</v>
      </c>
      <c r="H341" s="18">
        <f t="shared" si="35"/>
        <v>0</v>
      </c>
      <c r="I341" s="20">
        <f>'[1]Sheet7 (2)'!V655</f>
        <v>45969</v>
      </c>
      <c r="J341" s="17" t="s">
        <v>97</v>
      </c>
      <c r="K341" s="113"/>
      <c r="L341" s="113"/>
    </row>
    <row r="342" hidden="1" customHeight="1" spans="1:12">
      <c r="A342" s="17" t="s">
        <v>164</v>
      </c>
      <c r="B342" s="17" t="s">
        <v>374</v>
      </c>
      <c r="C342" s="24" t="s">
        <v>376</v>
      </c>
      <c r="D342" s="35">
        <v>512240</v>
      </c>
      <c r="E342" s="166">
        <v>0.22766</v>
      </c>
      <c r="F342" s="25">
        <f t="shared" si="40"/>
        <v>116616.5584</v>
      </c>
      <c r="G342" s="18">
        <f>35651.556+80965.0024</f>
        <v>116616.5584</v>
      </c>
      <c r="H342" s="18">
        <f t="shared" si="35"/>
        <v>0</v>
      </c>
      <c r="I342" s="20">
        <f>'[1]Sheet7 (2)'!V655</f>
        <v>45969</v>
      </c>
      <c r="J342" s="17" t="s">
        <v>97</v>
      </c>
      <c r="K342" s="113"/>
      <c r="L342" s="113"/>
    </row>
    <row r="343" hidden="1" customHeight="1" spans="1:12">
      <c r="A343" s="17" t="s">
        <v>164</v>
      </c>
      <c r="B343" s="17" t="s">
        <v>374</v>
      </c>
      <c r="C343" s="24" t="s">
        <v>377</v>
      </c>
      <c r="D343" s="35">
        <v>116000</v>
      </c>
      <c r="E343" s="28">
        <v>0.15705</v>
      </c>
      <c r="F343" s="25">
        <f t="shared" si="40"/>
        <v>18217.8</v>
      </c>
      <c r="G343" s="18">
        <f>5465.34+12752.46</f>
        <v>18217.8</v>
      </c>
      <c r="H343" s="18">
        <f t="shared" si="35"/>
        <v>0</v>
      </c>
      <c r="I343" s="20">
        <f>'[1]Sheet7 (2)'!V655</f>
        <v>45969</v>
      </c>
      <c r="J343" s="17" t="s">
        <v>97</v>
      </c>
      <c r="K343" s="113"/>
      <c r="L343" s="113"/>
    </row>
    <row r="344" hidden="1" customHeight="1" spans="1:12">
      <c r="A344" s="17" t="s">
        <v>164</v>
      </c>
      <c r="B344" s="17" t="s">
        <v>378</v>
      </c>
      <c r="C344" s="24" t="s">
        <v>379</v>
      </c>
      <c r="D344" s="35">
        <v>2183020</v>
      </c>
      <c r="E344" s="166">
        <v>0.09038</v>
      </c>
      <c r="F344" s="25">
        <f t="shared" si="40"/>
        <v>197301.3476</v>
      </c>
      <c r="G344" s="18">
        <f>127524.6+69776.75</f>
        <v>197301.35</v>
      </c>
      <c r="H344" s="18">
        <f t="shared" si="35"/>
        <v>-0.00239999999757856</v>
      </c>
      <c r="I344" s="20">
        <f>'[1]Sheet7 (2)'!V657</f>
        <v>45968</v>
      </c>
      <c r="J344" s="17" t="s">
        <v>97</v>
      </c>
      <c r="K344" s="113"/>
      <c r="L344" s="113"/>
    </row>
    <row r="345" customHeight="1" spans="1:12">
      <c r="A345" s="1" t="s">
        <v>18</v>
      </c>
      <c r="B345" s="17" t="s">
        <v>380</v>
      </c>
      <c r="C345" s="167" t="s">
        <v>381</v>
      </c>
      <c r="D345" s="117">
        <v>30.576</v>
      </c>
      <c r="E345" s="117">
        <v>6000</v>
      </c>
      <c r="F345" s="168">
        <f t="shared" ref="F345:F350" si="41">D345*E345</f>
        <v>183456</v>
      </c>
      <c r="G345" s="52">
        <f>145800+37656</f>
        <v>183456</v>
      </c>
      <c r="H345" s="169">
        <f t="shared" si="35"/>
        <v>0</v>
      </c>
      <c r="I345" s="170">
        <v>45991</v>
      </c>
      <c r="J345" s="17" t="s">
        <v>97</v>
      </c>
      <c r="K345" s="17"/>
      <c r="L345" s="113"/>
    </row>
    <row r="346" customHeight="1" spans="1:12">
      <c r="A346" s="17" t="s">
        <v>18</v>
      </c>
      <c r="B346" s="17" t="s">
        <v>380</v>
      </c>
      <c r="C346" s="171" t="s">
        <v>382</v>
      </c>
      <c r="D346" s="28">
        <f>26.388-1.523-0.497</f>
        <v>24.368</v>
      </c>
      <c r="E346" s="28">
        <v>6000</v>
      </c>
      <c r="F346" s="25">
        <f t="shared" si="41"/>
        <v>146208</v>
      </c>
      <c r="G346" s="18">
        <f>145800+12528-9138-2982</f>
        <v>146208</v>
      </c>
      <c r="H346" s="146">
        <f t="shared" si="35"/>
        <v>0</v>
      </c>
      <c r="I346" s="172">
        <v>45991</v>
      </c>
      <c r="J346" s="17" t="s">
        <v>97</v>
      </c>
      <c r="K346" s="17"/>
      <c r="L346" s="113"/>
    </row>
    <row r="347" customHeight="1" spans="1:12">
      <c r="A347" s="17" t="s">
        <v>18</v>
      </c>
      <c r="B347" s="17" t="s">
        <v>383</v>
      </c>
      <c r="C347" s="171" t="s">
        <v>382</v>
      </c>
      <c r="D347" s="28">
        <v>0.497</v>
      </c>
      <c r="E347" s="28">
        <v>6000</v>
      </c>
      <c r="F347" s="25">
        <f t="shared" si="41"/>
        <v>2982</v>
      </c>
      <c r="G347" s="18">
        <v>2982</v>
      </c>
      <c r="H347" s="146">
        <f t="shared" si="35"/>
        <v>0</v>
      </c>
      <c r="I347" s="172">
        <v>45991</v>
      </c>
      <c r="J347" s="17" t="s">
        <v>97</v>
      </c>
      <c r="K347" s="17"/>
      <c r="L347" s="113"/>
    </row>
    <row r="348" customHeight="1" spans="1:12">
      <c r="A348" s="17" t="s">
        <v>18</v>
      </c>
      <c r="B348" s="17" t="s">
        <v>384</v>
      </c>
      <c r="C348" s="171" t="s">
        <v>382</v>
      </c>
      <c r="D348" s="28">
        <v>1.523</v>
      </c>
      <c r="E348" s="28">
        <v>6000</v>
      </c>
      <c r="F348" s="25">
        <f t="shared" si="41"/>
        <v>9138</v>
      </c>
      <c r="G348" s="18">
        <v>9138</v>
      </c>
      <c r="H348" s="18">
        <f t="shared" si="35"/>
        <v>0</v>
      </c>
      <c r="I348" s="172">
        <v>45991</v>
      </c>
      <c r="J348" s="17" t="s">
        <v>97</v>
      </c>
      <c r="K348" s="17"/>
      <c r="L348" s="113"/>
    </row>
    <row r="349" customHeight="1" spans="1:12">
      <c r="A349" s="17" t="s">
        <v>18</v>
      </c>
      <c r="B349" s="17" t="s">
        <v>383</v>
      </c>
      <c r="C349" s="171" t="s">
        <v>385</v>
      </c>
      <c r="D349" s="28">
        <v>7.51</v>
      </c>
      <c r="E349" s="28">
        <v>6100</v>
      </c>
      <c r="F349" s="25">
        <f t="shared" si="41"/>
        <v>45811</v>
      </c>
      <c r="G349" s="18">
        <v>45811</v>
      </c>
      <c r="H349" s="146">
        <f t="shared" si="35"/>
        <v>0</v>
      </c>
      <c r="I349" s="172">
        <v>45991</v>
      </c>
      <c r="J349" s="17" t="s">
        <v>97</v>
      </c>
      <c r="K349" s="17"/>
      <c r="L349" s="113"/>
    </row>
    <row r="350" customHeight="1" spans="1:12">
      <c r="A350" s="17" t="s">
        <v>18</v>
      </c>
      <c r="B350" s="17" t="s">
        <v>380</v>
      </c>
      <c r="C350" s="171" t="s">
        <v>385</v>
      </c>
      <c r="D350" s="28">
        <v>26.821</v>
      </c>
      <c r="E350" s="28">
        <v>6100</v>
      </c>
      <c r="F350" s="25">
        <f t="shared" si="41"/>
        <v>163608.1</v>
      </c>
      <c r="G350" s="18">
        <f>148230+61189.1-45811</f>
        <v>163608.1</v>
      </c>
      <c r="H350" s="146">
        <f t="shared" si="35"/>
        <v>0</v>
      </c>
      <c r="I350" s="172">
        <v>45991</v>
      </c>
      <c r="J350" s="17" t="s">
        <v>97</v>
      </c>
      <c r="K350" s="17"/>
      <c r="L350" s="113"/>
    </row>
    <row r="351" customHeight="1" spans="1:12">
      <c r="A351" s="17" t="s">
        <v>18</v>
      </c>
      <c r="B351" s="17" t="s">
        <v>386</v>
      </c>
      <c r="C351" s="171" t="s">
        <v>387</v>
      </c>
      <c r="D351" s="173">
        <v>106.556</v>
      </c>
      <c r="E351" s="28">
        <v>5900</v>
      </c>
      <c r="F351" s="25">
        <f>D351*E351*0.1</f>
        <v>62868.04</v>
      </c>
      <c r="G351" s="18">
        <f>63720+5048.04000000001-5900</f>
        <v>62868.04</v>
      </c>
      <c r="H351" s="18">
        <f t="shared" si="35"/>
        <v>0</v>
      </c>
      <c r="I351" s="172">
        <v>45950</v>
      </c>
      <c r="J351" s="17" t="s">
        <v>97</v>
      </c>
      <c r="K351" s="17"/>
      <c r="L351" s="113"/>
    </row>
    <row r="352" customHeight="1" spans="1:12">
      <c r="A352" s="17" t="s">
        <v>18</v>
      </c>
      <c r="B352" s="17" t="s">
        <v>386</v>
      </c>
      <c r="C352" s="171" t="s">
        <v>387</v>
      </c>
      <c r="D352" s="173">
        <v>106.556</v>
      </c>
      <c r="E352" s="28">
        <v>5900</v>
      </c>
      <c r="F352" s="25">
        <f>D352*E352*0.9</f>
        <v>565812.36</v>
      </c>
      <c r="G352" s="18">
        <f>516132+102780.36-53100</f>
        <v>565812.36</v>
      </c>
      <c r="H352" s="162">
        <f t="shared" si="35"/>
        <v>0</v>
      </c>
      <c r="I352" s="172">
        <v>45984</v>
      </c>
      <c r="J352" s="17" t="s">
        <v>97</v>
      </c>
      <c r="K352" s="17"/>
      <c r="L352" s="113"/>
    </row>
    <row r="353" customHeight="1" spans="1:14">
      <c r="A353" s="17" t="s">
        <v>18</v>
      </c>
      <c r="B353" s="17" t="s">
        <v>388</v>
      </c>
      <c r="C353" s="171" t="s">
        <v>387</v>
      </c>
      <c r="D353" s="173">
        <v>10</v>
      </c>
      <c r="E353" s="28">
        <v>5900</v>
      </c>
      <c r="F353" s="25">
        <f t="shared" ref="F353:F357" si="42">D353*E353</f>
        <v>59000</v>
      </c>
      <c r="G353" s="18">
        <f>5900+53100</f>
        <v>59000</v>
      </c>
      <c r="H353" s="18">
        <f t="shared" si="35"/>
        <v>0</v>
      </c>
      <c r="I353" s="172">
        <v>45984</v>
      </c>
      <c r="J353" s="17" t="s">
        <v>97</v>
      </c>
      <c r="K353" s="17"/>
      <c r="L353" s="113"/>
    </row>
    <row r="354" customHeight="1" spans="1:14">
      <c r="A354" s="17" t="s">
        <v>18</v>
      </c>
      <c r="B354" s="17" t="s">
        <v>388</v>
      </c>
      <c r="C354" s="171" t="s">
        <v>389</v>
      </c>
      <c r="D354" s="173">
        <v>41.418</v>
      </c>
      <c r="E354" s="28">
        <v>5600</v>
      </c>
      <c r="F354" s="25">
        <f>D354*E354*0.1</f>
        <v>23194.08</v>
      </c>
      <c r="G354" s="18">
        <f>30240+1774.08-8820</f>
        <v>23194.08</v>
      </c>
      <c r="H354" s="18">
        <f t="shared" si="35"/>
        <v>0</v>
      </c>
      <c r="I354" s="172">
        <v>45950</v>
      </c>
      <c r="J354" s="17" t="s">
        <v>97</v>
      </c>
      <c r="K354" s="17"/>
      <c r="L354" s="113"/>
    </row>
    <row r="355" customHeight="1" spans="1:14">
      <c r="A355" s="17" t="s">
        <v>18</v>
      </c>
      <c r="B355" s="17" t="s">
        <v>388</v>
      </c>
      <c r="C355" s="171" t="s">
        <v>389</v>
      </c>
      <c r="D355" s="173">
        <v>41.418</v>
      </c>
      <c r="E355" s="28">
        <v>5600</v>
      </c>
      <c r="F355" s="25">
        <f>D355*E355*0.9</f>
        <v>208746.72</v>
      </c>
      <c r="G355" s="18">
        <f>244944+18568.05+24614.67-79380</f>
        <v>208746.72</v>
      </c>
      <c r="H355" s="18">
        <f t="shared" si="35"/>
        <v>0</v>
      </c>
      <c r="I355" s="172">
        <v>45984</v>
      </c>
      <c r="J355" s="17" t="s">
        <v>97</v>
      </c>
      <c r="K355" s="17"/>
      <c r="L355" s="113"/>
    </row>
    <row r="356" customHeight="1" spans="1:14">
      <c r="A356" s="17" t="s">
        <v>18</v>
      </c>
      <c r="B356" s="17" t="s">
        <v>390</v>
      </c>
      <c r="C356" s="171" t="s">
        <v>389</v>
      </c>
      <c r="D356" s="173">
        <f>15.75-10.738</f>
        <v>5.012</v>
      </c>
      <c r="E356" s="28">
        <v>5600</v>
      </c>
      <c r="F356" s="25">
        <f t="shared" si="42"/>
        <v>28067.2</v>
      </c>
      <c r="G356" s="18">
        <f>8820+79380-60132.8</f>
        <v>28067.2</v>
      </c>
      <c r="H356" s="18">
        <f t="shared" si="35"/>
        <v>0</v>
      </c>
      <c r="I356" s="172">
        <v>45984</v>
      </c>
      <c r="J356" s="17" t="s">
        <v>97</v>
      </c>
      <c r="K356" s="17"/>
      <c r="L356" s="113"/>
    </row>
    <row r="357" customHeight="1" spans="1:14">
      <c r="A357" s="17" t="s">
        <v>18</v>
      </c>
      <c r="B357" s="17" t="s">
        <v>384</v>
      </c>
      <c r="C357" s="171" t="s">
        <v>389</v>
      </c>
      <c r="D357" s="173">
        <v>10.738</v>
      </c>
      <c r="E357" s="28">
        <v>5600</v>
      </c>
      <c r="F357" s="25">
        <f t="shared" si="42"/>
        <v>60132.8</v>
      </c>
      <c r="G357" s="18">
        <v>60132.8</v>
      </c>
      <c r="H357" s="18">
        <f t="shared" si="35"/>
        <v>0</v>
      </c>
      <c r="I357" s="172">
        <v>45984</v>
      </c>
      <c r="J357" s="17" t="s">
        <v>97</v>
      </c>
      <c r="K357" s="17"/>
      <c r="L357" s="113"/>
    </row>
    <row r="358" customHeight="1" spans="1:14">
      <c r="A358" s="17" t="s">
        <v>18</v>
      </c>
      <c r="B358" s="17" t="s">
        <v>388</v>
      </c>
      <c r="C358" s="171" t="s">
        <v>391</v>
      </c>
      <c r="D358" s="173">
        <v>57.569</v>
      </c>
      <c r="E358" s="28">
        <v>5600</v>
      </c>
      <c r="F358" s="25">
        <f t="shared" ref="F358:F363" si="43">D358*E358*0.1</f>
        <v>32238.64</v>
      </c>
      <c r="G358" s="18">
        <f>30240+1998.64</f>
        <v>32238.64</v>
      </c>
      <c r="H358" s="18">
        <f t="shared" si="35"/>
        <v>0</v>
      </c>
      <c r="I358" s="172">
        <v>45950</v>
      </c>
      <c r="J358" s="17" t="s">
        <v>97</v>
      </c>
      <c r="K358" s="17"/>
      <c r="L358" s="113"/>
    </row>
    <row r="359" customHeight="1" spans="1:14">
      <c r="A359" s="17" t="s">
        <v>18</v>
      </c>
      <c r="B359" s="17" t="s">
        <v>388</v>
      </c>
      <c r="C359" s="171" t="s">
        <v>391</v>
      </c>
      <c r="D359" s="173">
        <v>57.569</v>
      </c>
      <c r="E359" s="28">
        <v>5600</v>
      </c>
      <c r="F359" s="25">
        <f t="shared" ref="F359:F364" si="44">D359*E359*0.9</f>
        <v>290147.76</v>
      </c>
      <c r="G359" s="18">
        <f>244944+45203.76</f>
        <v>290147.76</v>
      </c>
      <c r="H359" s="162">
        <f t="shared" si="35"/>
        <v>0</v>
      </c>
      <c r="I359" s="172">
        <v>45984</v>
      </c>
      <c r="J359" s="17" t="s">
        <v>97</v>
      </c>
      <c r="K359" s="17"/>
      <c r="L359" s="113"/>
    </row>
    <row r="360" hidden="1" customHeight="1" spans="1:14">
      <c r="A360" s="17" t="s">
        <v>164</v>
      </c>
      <c r="B360" s="17" t="s">
        <v>392</v>
      </c>
      <c r="C360" s="17" t="s">
        <v>393</v>
      </c>
      <c r="D360" s="17">
        <v>346500</v>
      </c>
      <c r="E360" s="28">
        <v>0.18</v>
      </c>
      <c r="F360" s="25">
        <f>D360*E360</f>
        <v>62370</v>
      </c>
      <c r="G360" s="18">
        <v>62370</v>
      </c>
      <c r="H360" s="18">
        <f t="shared" si="35"/>
        <v>0</v>
      </c>
      <c r="I360" s="20">
        <v>45966</v>
      </c>
      <c r="J360" s="17" t="s">
        <v>97</v>
      </c>
      <c r="K360" s="113"/>
      <c r="L360" s="113"/>
    </row>
    <row r="361" customHeight="1" spans="1:14">
      <c r="A361" s="17" t="s">
        <v>18</v>
      </c>
      <c r="B361" s="17" t="s">
        <v>394</v>
      </c>
      <c r="C361" s="24" t="s">
        <v>395</v>
      </c>
      <c r="D361" s="28">
        <v>10.462</v>
      </c>
      <c r="E361" s="28">
        <v>5220</v>
      </c>
      <c r="F361" s="25">
        <f t="shared" si="43"/>
        <v>5461.164</v>
      </c>
      <c r="G361" s="18">
        <f>7830-2368.836</f>
        <v>5461.164</v>
      </c>
      <c r="H361" s="18">
        <f t="shared" ref="H361:H424" si="45">F361-G361</f>
        <v>0</v>
      </c>
      <c r="I361" s="172">
        <v>45950</v>
      </c>
      <c r="J361" s="17"/>
      <c r="K361" s="17"/>
      <c r="L361" s="113"/>
    </row>
    <row r="362" customHeight="1" spans="1:14">
      <c r="A362" s="17" t="s">
        <v>18</v>
      </c>
      <c r="B362" s="17" t="s">
        <v>394</v>
      </c>
      <c r="C362" s="24" t="s">
        <v>395</v>
      </c>
      <c r="D362" s="28">
        <v>10.462</v>
      </c>
      <c r="E362" s="28">
        <v>5220</v>
      </c>
      <c r="F362" s="25">
        <f t="shared" si="44"/>
        <v>49150.476</v>
      </c>
      <c r="G362" s="18">
        <v>49150.476</v>
      </c>
      <c r="H362" s="18">
        <f t="shared" si="45"/>
        <v>0</v>
      </c>
      <c r="I362" s="172">
        <v>45984</v>
      </c>
      <c r="J362" s="17"/>
      <c r="K362" s="17"/>
      <c r="L362" s="113"/>
    </row>
    <row r="363" customHeight="1" spans="1:14">
      <c r="A363" s="17" t="s">
        <v>18</v>
      </c>
      <c r="B363" s="17" t="s">
        <v>394</v>
      </c>
      <c r="C363" s="24" t="s">
        <v>396</v>
      </c>
      <c r="D363" s="28">
        <v>14.988</v>
      </c>
      <c r="E363" s="28">
        <v>5220</v>
      </c>
      <c r="F363" s="25">
        <f t="shared" si="43"/>
        <v>7823.736</v>
      </c>
      <c r="G363" s="18">
        <f>7830-6.26400000000012</f>
        <v>7823.736</v>
      </c>
      <c r="H363" s="18">
        <f t="shared" si="45"/>
        <v>0</v>
      </c>
      <c r="I363" s="172">
        <v>45950</v>
      </c>
      <c r="J363" s="17"/>
      <c r="K363" s="17"/>
      <c r="L363" s="113"/>
    </row>
    <row r="364" customHeight="1" spans="1:14">
      <c r="A364" s="17" t="s">
        <v>18</v>
      </c>
      <c r="B364" s="17" t="s">
        <v>394</v>
      </c>
      <c r="C364" s="24" t="s">
        <v>396</v>
      </c>
      <c r="D364" s="28">
        <v>14.988</v>
      </c>
      <c r="E364" s="28">
        <v>5220</v>
      </c>
      <c r="F364" s="25">
        <f t="shared" si="44"/>
        <v>70413.624</v>
      </c>
      <c r="G364" s="18">
        <v>70413.624</v>
      </c>
      <c r="H364" s="18">
        <f t="shared" si="45"/>
        <v>0</v>
      </c>
      <c r="I364" s="172">
        <v>45984</v>
      </c>
      <c r="J364" s="17"/>
      <c r="K364" s="17"/>
      <c r="L364" s="113"/>
    </row>
    <row r="365" customHeight="1" spans="1:14">
      <c r="A365" s="17" t="s">
        <v>18</v>
      </c>
      <c r="B365" s="17" t="s">
        <v>397</v>
      </c>
      <c r="C365" s="24" t="s">
        <v>398</v>
      </c>
      <c r="D365" s="28">
        <v>14.735</v>
      </c>
      <c r="E365" s="28">
        <v>5950</v>
      </c>
      <c r="F365" s="25">
        <f t="shared" ref="F365:F417" si="46">D365*E365</f>
        <v>87673.25</v>
      </c>
      <c r="G365" s="18">
        <f>89250-1576.75</f>
        <v>87673.25</v>
      </c>
      <c r="H365" s="165">
        <f t="shared" si="45"/>
        <v>0</v>
      </c>
      <c r="I365" s="20">
        <v>46021</v>
      </c>
      <c r="J365" s="96" t="s">
        <v>196</v>
      </c>
      <c r="K365" s="22"/>
      <c r="L365" s="113"/>
    </row>
    <row r="366" hidden="1" customHeight="1" spans="1:14">
      <c r="A366" s="17" t="s">
        <v>139</v>
      </c>
      <c r="B366" s="17" t="s">
        <v>399</v>
      </c>
      <c r="C366" s="17" t="s">
        <v>400</v>
      </c>
      <c r="D366" s="17">
        <v>7.48</v>
      </c>
      <c r="E366" s="17">
        <v>6720</v>
      </c>
      <c r="F366" s="25">
        <f t="shared" si="46"/>
        <v>50265.6</v>
      </c>
      <c r="G366" s="18">
        <f>15079.68+35185.92</f>
        <v>50265.6</v>
      </c>
      <c r="H366" s="18">
        <f t="shared" si="45"/>
        <v>0</v>
      </c>
      <c r="I366" s="20">
        <v>46115</v>
      </c>
      <c r="J366" s="17" t="s">
        <v>21</v>
      </c>
      <c r="K366" s="113"/>
      <c r="L366" s="113"/>
    </row>
    <row r="367" hidden="1" customHeight="1" spans="1:14">
      <c r="A367" s="17" t="s">
        <v>139</v>
      </c>
      <c r="B367" s="17" t="s">
        <v>401</v>
      </c>
      <c r="C367" s="17" t="s">
        <v>402</v>
      </c>
      <c r="D367" s="17">
        <v>21.154</v>
      </c>
      <c r="E367" s="17">
        <v>6720</v>
      </c>
      <c r="F367" s="25">
        <f t="shared" si="46"/>
        <v>142154.88</v>
      </c>
      <c r="G367" s="18">
        <f>42646.464+99508.42</f>
        <v>142154.884</v>
      </c>
      <c r="H367" s="18">
        <f t="shared" si="45"/>
        <v>-0.00399999998626299</v>
      </c>
      <c r="I367" s="20">
        <v>46082</v>
      </c>
      <c r="J367" s="17" t="s">
        <v>21</v>
      </c>
      <c r="K367" s="113"/>
      <c r="L367" s="113"/>
    </row>
    <row r="368" hidden="1" customHeight="1" spans="1:14">
      <c r="A368" s="17" t="s">
        <v>139</v>
      </c>
      <c r="B368" s="17" t="s">
        <v>403</v>
      </c>
      <c r="C368" s="17" t="s">
        <v>402</v>
      </c>
      <c r="D368" s="17">
        <v>10.31</v>
      </c>
      <c r="E368" s="17">
        <v>6720</v>
      </c>
      <c r="F368" s="25">
        <f t="shared" si="46"/>
        <v>69283.2</v>
      </c>
      <c r="G368" s="18">
        <f>20784.96+48498.24</f>
        <v>69283.2</v>
      </c>
      <c r="H368" s="18">
        <f t="shared" si="45"/>
        <v>0</v>
      </c>
      <c r="I368" s="20">
        <v>46114</v>
      </c>
      <c r="J368" s="17" t="s">
        <v>21</v>
      </c>
      <c r="K368" s="113"/>
      <c r="L368" s="113"/>
      <c r="N368" s="4" t="s">
        <v>404</v>
      </c>
    </row>
    <row r="369" hidden="1" customHeight="1" spans="1:12">
      <c r="A369" s="17" t="s">
        <v>139</v>
      </c>
      <c r="B369" s="17" t="s">
        <v>405</v>
      </c>
      <c r="C369" s="17" t="s">
        <v>406</v>
      </c>
      <c r="D369" s="17">
        <v>10.703</v>
      </c>
      <c r="E369" s="17">
        <v>6660</v>
      </c>
      <c r="F369" s="25">
        <f t="shared" si="46"/>
        <v>71281.98</v>
      </c>
      <c r="G369" s="18">
        <f>21384.594+49897.386</f>
        <v>71281.98</v>
      </c>
      <c r="H369" s="18">
        <f t="shared" si="45"/>
        <v>0</v>
      </c>
      <c r="I369" s="20">
        <v>46109</v>
      </c>
      <c r="J369" s="17" t="s">
        <v>21</v>
      </c>
      <c r="K369" s="113"/>
      <c r="L369" s="113"/>
    </row>
    <row r="370" hidden="1" customHeight="1" spans="1:12">
      <c r="A370" s="17" t="s">
        <v>139</v>
      </c>
      <c r="B370" s="17" t="s">
        <v>403</v>
      </c>
      <c r="C370" s="17" t="s">
        <v>406</v>
      </c>
      <c r="D370" s="17">
        <v>10.962</v>
      </c>
      <c r="E370" s="17">
        <v>6660</v>
      </c>
      <c r="F370" s="25">
        <f t="shared" si="46"/>
        <v>73006.92</v>
      </c>
      <c r="G370" s="18">
        <f>21902.076+51104.844</f>
        <v>73006.92</v>
      </c>
      <c r="H370" s="18">
        <f t="shared" si="45"/>
        <v>0</v>
      </c>
      <c r="I370" s="20">
        <v>46114</v>
      </c>
      <c r="J370" s="17" t="s">
        <v>21</v>
      </c>
      <c r="K370" s="113"/>
      <c r="L370" s="113"/>
    </row>
    <row r="371" hidden="1" customHeight="1" spans="1:12">
      <c r="A371" s="17" t="s">
        <v>139</v>
      </c>
      <c r="B371" s="17" t="s">
        <v>399</v>
      </c>
      <c r="C371" s="17" t="s">
        <v>406</v>
      </c>
      <c r="D371" s="17">
        <v>7.645</v>
      </c>
      <c r="E371" s="17">
        <v>6660</v>
      </c>
      <c r="F371" s="25">
        <f t="shared" si="46"/>
        <v>50915.7</v>
      </c>
      <c r="G371" s="18">
        <f>15274.71+35640.99</f>
        <v>50915.7</v>
      </c>
      <c r="H371" s="18">
        <f t="shared" si="45"/>
        <v>0</v>
      </c>
      <c r="I371" s="20">
        <v>46115</v>
      </c>
      <c r="J371" s="17" t="s">
        <v>21</v>
      </c>
      <c r="K371" s="113"/>
      <c r="L371" s="113"/>
    </row>
    <row r="372" hidden="1" customHeight="1" spans="1:12">
      <c r="A372" s="17" t="s">
        <v>139</v>
      </c>
      <c r="B372" s="17" t="s">
        <v>407</v>
      </c>
      <c r="C372" s="17" t="s">
        <v>406</v>
      </c>
      <c r="D372" s="17">
        <v>12.291</v>
      </c>
      <c r="E372" s="17">
        <v>6660</v>
      </c>
      <c r="F372" s="25">
        <f t="shared" si="46"/>
        <v>81858.06</v>
      </c>
      <c r="G372" s="18">
        <f>160560-137072.484+58370.24</f>
        <v>81857.756</v>
      </c>
      <c r="H372" s="18">
        <f t="shared" si="45"/>
        <v>0.304000000003725</v>
      </c>
      <c r="I372" s="20">
        <v>46115</v>
      </c>
      <c r="J372" s="17" t="s">
        <v>21</v>
      </c>
      <c r="K372" s="113"/>
      <c r="L372" s="113"/>
    </row>
    <row r="373" hidden="1" customHeight="1" spans="1:12">
      <c r="A373" s="17" t="s">
        <v>139</v>
      </c>
      <c r="B373" s="17" t="s">
        <v>408</v>
      </c>
      <c r="C373" s="17" t="s">
        <v>409</v>
      </c>
      <c r="D373" s="17">
        <v>9.102</v>
      </c>
      <c r="E373" s="17">
        <v>7215</v>
      </c>
      <c r="F373" s="25">
        <f t="shared" si="46"/>
        <v>65670.93</v>
      </c>
      <c r="G373" s="18">
        <f>F373*0.3+45969.651</f>
        <v>65670.93</v>
      </c>
      <c r="H373" s="18">
        <f t="shared" si="45"/>
        <v>0</v>
      </c>
      <c r="I373" s="20">
        <v>46082</v>
      </c>
      <c r="J373" s="17" t="s">
        <v>21</v>
      </c>
      <c r="K373" s="113"/>
      <c r="L373" s="113"/>
    </row>
    <row r="374" hidden="1" customHeight="1" spans="1:12">
      <c r="A374" s="17" t="s">
        <v>139</v>
      </c>
      <c r="B374" s="17" t="s">
        <v>408</v>
      </c>
      <c r="C374" s="17" t="s">
        <v>410</v>
      </c>
      <c r="D374" s="17">
        <v>7.191</v>
      </c>
      <c r="E374" s="17">
        <v>7215</v>
      </c>
      <c r="F374" s="25">
        <f t="shared" si="46"/>
        <v>51883.065</v>
      </c>
      <c r="G374" s="18">
        <f>F374*0.3+36318.1455</f>
        <v>51883.065</v>
      </c>
      <c r="H374" s="18">
        <f t="shared" si="45"/>
        <v>0</v>
      </c>
      <c r="I374" s="20">
        <v>46082</v>
      </c>
      <c r="J374" s="17" t="s">
        <v>21</v>
      </c>
      <c r="K374" s="113"/>
      <c r="L374" s="113"/>
    </row>
    <row r="375" hidden="1" customHeight="1" spans="1:12">
      <c r="A375" s="17" t="s">
        <v>139</v>
      </c>
      <c r="B375" s="17" t="s">
        <v>411</v>
      </c>
      <c r="C375" s="17" t="s">
        <v>412</v>
      </c>
      <c r="D375" s="17">
        <f>16.205-D376</f>
        <v>7.097</v>
      </c>
      <c r="E375" s="17">
        <v>7215</v>
      </c>
      <c r="F375" s="25">
        <f t="shared" si="46"/>
        <v>51204.855</v>
      </c>
      <c r="G375" s="18">
        <f>F375*0.3+35843.3985</f>
        <v>51204.855</v>
      </c>
      <c r="H375" s="18">
        <f t="shared" si="45"/>
        <v>0</v>
      </c>
      <c r="I375" s="20">
        <v>46082</v>
      </c>
      <c r="J375" s="17" t="s">
        <v>21</v>
      </c>
      <c r="K375" s="113"/>
      <c r="L375" s="113"/>
    </row>
    <row r="376" hidden="1" customHeight="1" spans="1:12">
      <c r="A376" s="17" t="s">
        <v>139</v>
      </c>
      <c r="B376" s="17" t="s">
        <v>408</v>
      </c>
      <c r="C376" s="17" t="s">
        <v>412</v>
      </c>
      <c r="D376" s="17">
        <v>9.108</v>
      </c>
      <c r="E376" s="17">
        <v>7215</v>
      </c>
      <c r="F376" s="25">
        <f t="shared" si="46"/>
        <v>65714.22</v>
      </c>
      <c r="G376" s="18">
        <f>F376*0.3+45999.954</f>
        <v>65714.22</v>
      </c>
      <c r="H376" s="18">
        <f t="shared" si="45"/>
        <v>0</v>
      </c>
      <c r="I376" s="20">
        <v>46082</v>
      </c>
      <c r="J376" s="17" t="s">
        <v>21</v>
      </c>
      <c r="K376" s="113"/>
      <c r="L376" s="113"/>
    </row>
    <row r="377" hidden="1" customHeight="1" spans="1:12">
      <c r="A377" s="17" t="s">
        <v>139</v>
      </c>
      <c r="B377" s="17" t="s">
        <v>411</v>
      </c>
      <c r="C377" s="17" t="s">
        <v>413</v>
      </c>
      <c r="D377" s="17">
        <f>36.17-D378</f>
        <v>8.291</v>
      </c>
      <c r="E377" s="17">
        <v>6900</v>
      </c>
      <c r="F377" s="25">
        <f t="shared" si="46"/>
        <v>57207.9</v>
      </c>
      <c r="G377" s="18">
        <f>F377*0.3+3466.179+36579.351</f>
        <v>57207.9</v>
      </c>
      <c r="H377" s="18">
        <f t="shared" si="45"/>
        <v>0</v>
      </c>
      <c r="I377" s="20">
        <v>46082</v>
      </c>
      <c r="J377" s="17" t="s">
        <v>21</v>
      </c>
      <c r="K377" s="113"/>
      <c r="L377" s="113"/>
    </row>
    <row r="378" hidden="1" customHeight="1" spans="1:12">
      <c r="A378" s="17" t="s">
        <v>139</v>
      </c>
      <c r="B378" s="17" t="s">
        <v>408</v>
      </c>
      <c r="C378" s="17" t="s">
        <v>413</v>
      </c>
      <c r="D378" s="17">
        <v>27.879</v>
      </c>
      <c r="E378" s="17">
        <v>6900</v>
      </c>
      <c r="F378" s="25">
        <f t="shared" si="46"/>
        <v>192365.1</v>
      </c>
      <c r="G378" s="18">
        <f>F378*0.3+134655.57</f>
        <v>192365.1</v>
      </c>
      <c r="H378" s="18">
        <f t="shared" si="45"/>
        <v>0</v>
      </c>
      <c r="I378" s="20">
        <v>46082</v>
      </c>
      <c r="J378" s="17" t="s">
        <v>21</v>
      </c>
      <c r="K378" s="113"/>
      <c r="L378" s="113"/>
    </row>
    <row r="379" hidden="1" customHeight="1" spans="1:12">
      <c r="A379" s="17" t="s">
        <v>139</v>
      </c>
      <c r="B379" s="17" t="s">
        <v>414</v>
      </c>
      <c r="C379" s="17" t="s">
        <v>415</v>
      </c>
      <c r="D379" s="17">
        <v>28.198</v>
      </c>
      <c r="E379" s="17">
        <v>6080</v>
      </c>
      <c r="F379" s="25">
        <f t="shared" si="46"/>
        <v>171443.84</v>
      </c>
      <c r="G379" s="18">
        <f>F379*0.3+120010.688</f>
        <v>171443.84</v>
      </c>
      <c r="H379" s="18">
        <f t="shared" si="45"/>
        <v>0</v>
      </c>
      <c r="I379" s="20">
        <v>46082</v>
      </c>
      <c r="J379" s="17" t="s">
        <v>21</v>
      </c>
      <c r="K379" s="113"/>
      <c r="L379" s="113"/>
    </row>
    <row r="380" hidden="1" customHeight="1" spans="1:12">
      <c r="A380" s="17" t="s">
        <v>139</v>
      </c>
      <c r="B380" s="17" t="s">
        <v>414</v>
      </c>
      <c r="C380" s="17" t="s">
        <v>416</v>
      </c>
      <c r="D380" s="17">
        <v>19.418</v>
      </c>
      <c r="E380" s="17">
        <v>6080</v>
      </c>
      <c r="F380" s="25">
        <f t="shared" si="46"/>
        <v>118061.44</v>
      </c>
      <c r="G380" s="18">
        <f>F380*0.3+82643.008</f>
        <v>118061.44</v>
      </c>
      <c r="H380" s="18">
        <f t="shared" si="45"/>
        <v>0</v>
      </c>
      <c r="I380" s="20">
        <v>46082</v>
      </c>
      <c r="J380" s="17" t="s">
        <v>21</v>
      </c>
      <c r="K380" s="113"/>
      <c r="L380" s="113"/>
    </row>
    <row r="381" hidden="1" customHeight="1" spans="1:12">
      <c r="A381" s="17" t="s">
        <v>139</v>
      </c>
      <c r="B381" s="17" t="s">
        <v>417</v>
      </c>
      <c r="C381" s="17" t="s">
        <v>418</v>
      </c>
      <c r="D381" s="17">
        <v>10.493</v>
      </c>
      <c r="E381" s="17">
        <v>5790</v>
      </c>
      <c r="F381" s="25">
        <f t="shared" si="46"/>
        <v>60754.47</v>
      </c>
      <c r="G381" s="18">
        <f>F381*0.3+42528.129</f>
        <v>60754.47</v>
      </c>
      <c r="H381" s="18">
        <f t="shared" si="45"/>
        <v>0</v>
      </c>
      <c r="I381" s="20">
        <v>46023</v>
      </c>
      <c r="J381" s="17" t="s">
        <v>21</v>
      </c>
      <c r="K381" s="113"/>
      <c r="L381" s="113"/>
    </row>
    <row r="382" hidden="1" customHeight="1" spans="1:12">
      <c r="A382" s="17" t="s">
        <v>139</v>
      </c>
      <c r="B382" s="17" t="s">
        <v>419</v>
      </c>
      <c r="C382" s="17" t="s">
        <v>418</v>
      </c>
      <c r="D382" s="17">
        <v>11.815</v>
      </c>
      <c r="E382" s="17">
        <v>5790</v>
      </c>
      <c r="F382" s="25">
        <f t="shared" si="46"/>
        <v>68408.85</v>
      </c>
      <c r="G382" s="18">
        <f>F382*0.3+47886.195</f>
        <v>68408.85</v>
      </c>
      <c r="H382" s="18">
        <f t="shared" si="45"/>
        <v>0</v>
      </c>
      <c r="I382" s="20">
        <v>46054</v>
      </c>
      <c r="J382" s="17" t="s">
        <v>21</v>
      </c>
      <c r="K382" s="113"/>
      <c r="L382" s="113"/>
    </row>
    <row r="383" hidden="1" customHeight="1" spans="1:12">
      <c r="A383" s="17" t="s">
        <v>139</v>
      </c>
      <c r="B383" s="17" t="s">
        <v>419</v>
      </c>
      <c r="C383" s="17" t="s">
        <v>420</v>
      </c>
      <c r="D383" s="17">
        <v>6.072</v>
      </c>
      <c r="E383" s="17">
        <v>6080</v>
      </c>
      <c r="F383" s="25">
        <f t="shared" si="46"/>
        <v>36917.76</v>
      </c>
      <c r="G383" s="18">
        <f>F383*0.3+25842.432</f>
        <v>36917.76</v>
      </c>
      <c r="H383" s="18">
        <f t="shared" si="45"/>
        <v>0</v>
      </c>
      <c r="I383" s="20">
        <v>46054</v>
      </c>
      <c r="J383" s="17" t="s">
        <v>21</v>
      </c>
      <c r="K383" s="113"/>
      <c r="L383" s="113"/>
    </row>
    <row r="384" hidden="1" customHeight="1" spans="1:12">
      <c r="A384" s="17" t="s">
        <v>139</v>
      </c>
      <c r="B384" s="17" t="s">
        <v>417</v>
      </c>
      <c r="C384" s="17" t="s">
        <v>421</v>
      </c>
      <c r="D384" s="17">
        <v>15.11</v>
      </c>
      <c r="E384" s="17">
        <v>5790</v>
      </c>
      <c r="F384" s="25">
        <f t="shared" si="46"/>
        <v>87486.9</v>
      </c>
      <c r="G384" s="18">
        <f>F384*0.3+61240.83</f>
        <v>87486.9</v>
      </c>
      <c r="H384" s="18">
        <f t="shared" si="45"/>
        <v>0</v>
      </c>
      <c r="I384" s="20">
        <v>46023</v>
      </c>
      <c r="J384" s="17" t="s">
        <v>21</v>
      </c>
      <c r="K384" s="113"/>
      <c r="L384" s="113"/>
    </row>
    <row r="385" hidden="1" customHeight="1" spans="1:14">
      <c r="A385" s="17" t="s">
        <v>139</v>
      </c>
      <c r="B385" s="17" t="s">
        <v>422</v>
      </c>
      <c r="C385" s="17" t="s">
        <v>421</v>
      </c>
      <c r="D385" s="17">
        <v>7.492</v>
      </c>
      <c r="E385" s="17">
        <v>5790</v>
      </c>
      <c r="F385" s="25">
        <f t="shared" si="46"/>
        <v>43378.68</v>
      </c>
      <c r="G385" s="18">
        <f>F385*0.3+30365.076</f>
        <v>43378.68</v>
      </c>
      <c r="H385" s="18">
        <f t="shared" si="45"/>
        <v>0</v>
      </c>
      <c r="I385" s="20">
        <v>46023</v>
      </c>
      <c r="J385" s="17" t="s">
        <v>21</v>
      </c>
      <c r="K385" s="113"/>
      <c r="L385" s="113"/>
    </row>
    <row r="386" hidden="1" customHeight="1" spans="1:14">
      <c r="A386" s="17" t="s">
        <v>139</v>
      </c>
      <c r="B386" s="17" t="s">
        <v>423</v>
      </c>
      <c r="C386" s="17" t="s">
        <v>424</v>
      </c>
      <c r="D386" s="17">
        <v>10.556</v>
      </c>
      <c r="E386" s="17">
        <v>5830</v>
      </c>
      <c r="F386" s="25">
        <f t="shared" si="46"/>
        <v>61541.48</v>
      </c>
      <c r="G386" s="18">
        <f>49778.895+11762.585</f>
        <v>61541.48</v>
      </c>
      <c r="H386" s="18">
        <f t="shared" si="45"/>
        <v>0</v>
      </c>
      <c r="I386" s="20">
        <v>46082</v>
      </c>
      <c r="J386" s="17" t="s">
        <v>21</v>
      </c>
      <c r="K386" s="113"/>
      <c r="L386" s="113"/>
    </row>
    <row r="387" hidden="1" customHeight="1" spans="1:14">
      <c r="A387" s="17" t="s">
        <v>139</v>
      </c>
      <c r="B387" s="17" t="s">
        <v>425</v>
      </c>
      <c r="C387" s="17" t="s">
        <v>424</v>
      </c>
      <c r="D387" s="17">
        <v>21.112</v>
      </c>
      <c r="E387" s="17">
        <v>5830</v>
      </c>
      <c r="F387" s="25">
        <f t="shared" si="46"/>
        <v>123082.96</v>
      </c>
      <c r="G387" s="18">
        <f>F387*0.3+86158.072</f>
        <v>123082.96</v>
      </c>
      <c r="H387" s="18">
        <f t="shared" si="45"/>
        <v>0</v>
      </c>
      <c r="I387" s="20">
        <v>46082</v>
      </c>
      <c r="J387" s="17" t="s">
        <v>21</v>
      </c>
      <c r="K387" s="113"/>
      <c r="L387" s="113"/>
    </row>
    <row r="388" hidden="1" customHeight="1" spans="1:14">
      <c r="A388" s="17" t="s">
        <v>139</v>
      </c>
      <c r="B388" s="17" t="s">
        <v>422</v>
      </c>
      <c r="C388" s="17" t="s">
        <v>426</v>
      </c>
      <c r="D388" s="17">
        <v>18.348</v>
      </c>
      <c r="E388" s="17">
        <v>6660</v>
      </c>
      <c r="F388" s="25">
        <f t="shared" si="46"/>
        <v>122197.68</v>
      </c>
      <c r="G388" s="18">
        <f>F388*0.3+60000+25538.376</f>
        <v>122197.68</v>
      </c>
      <c r="H388" s="18">
        <f t="shared" si="45"/>
        <v>0</v>
      </c>
      <c r="I388" s="20">
        <v>46023</v>
      </c>
      <c r="J388" s="17" t="s">
        <v>21</v>
      </c>
      <c r="K388" s="113"/>
      <c r="L388" s="113"/>
    </row>
    <row r="389" hidden="1" customHeight="1" spans="1:14">
      <c r="A389" s="17" t="s">
        <v>139</v>
      </c>
      <c r="B389" s="17" t="s">
        <v>427</v>
      </c>
      <c r="C389" s="17" t="s">
        <v>426</v>
      </c>
      <c r="D389" s="17">
        <v>5.169</v>
      </c>
      <c r="E389" s="17">
        <v>6660</v>
      </c>
      <c r="F389" s="25">
        <f t="shared" si="46"/>
        <v>34425.54</v>
      </c>
      <c r="G389" s="18">
        <f>F389*0.3+24097.878</f>
        <v>34425.54</v>
      </c>
      <c r="H389" s="18">
        <f t="shared" si="45"/>
        <v>0</v>
      </c>
      <c r="I389" s="20">
        <v>46023</v>
      </c>
      <c r="J389" s="17" t="s">
        <v>21</v>
      </c>
      <c r="K389" s="113"/>
      <c r="L389" s="113"/>
    </row>
    <row r="390" hidden="1" customHeight="1" spans="1:14">
      <c r="A390" s="17" t="s">
        <v>139</v>
      </c>
      <c r="B390" s="17" t="s">
        <v>428</v>
      </c>
      <c r="C390" s="17" t="s">
        <v>429</v>
      </c>
      <c r="D390" s="17">
        <v>10.7</v>
      </c>
      <c r="E390" s="17">
        <v>5770</v>
      </c>
      <c r="F390" s="25">
        <f t="shared" si="46"/>
        <v>61739</v>
      </c>
      <c r="G390" s="18">
        <f>F390*0.3+43217.3</f>
        <v>61739</v>
      </c>
      <c r="H390" s="18">
        <f t="shared" si="45"/>
        <v>0</v>
      </c>
      <c r="I390" s="20">
        <v>46109</v>
      </c>
      <c r="J390" s="17" t="s">
        <v>21</v>
      </c>
      <c r="K390" s="113"/>
      <c r="L390" s="113"/>
    </row>
    <row r="391" hidden="1" customHeight="1" spans="1:14">
      <c r="A391" s="17" t="s">
        <v>139</v>
      </c>
      <c r="B391" s="17" t="s">
        <v>430</v>
      </c>
      <c r="C391" s="17" t="s">
        <v>429</v>
      </c>
      <c r="D391" s="17">
        <v>21.224</v>
      </c>
      <c r="E391" s="17">
        <v>5770</v>
      </c>
      <c r="F391" s="25">
        <f t="shared" si="46"/>
        <v>122462.48</v>
      </c>
      <c r="G391" s="18">
        <f>F391*0.3+85723.736</f>
        <v>122462.48</v>
      </c>
      <c r="H391" s="18">
        <f t="shared" si="45"/>
        <v>0</v>
      </c>
      <c r="I391" s="20">
        <v>46124</v>
      </c>
      <c r="J391" s="17" t="s">
        <v>21</v>
      </c>
      <c r="K391" s="113"/>
      <c r="L391" s="113"/>
    </row>
    <row r="392" hidden="1" customHeight="1" spans="1:14">
      <c r="A392" s="17" t="s">
        <v>139</v>
      </c>
      <c r="B392" s="17" t="s">
        <v>427</v>
      </c>
      <c r="C392" s="17" t="s">
        <v>431</v>
      </c>
      <c r="D392" s="17">
        <v>21.024</v>
      </c>
      <c r="E392" s="17">
        <v>5720</v>
      </c>
      <c r="F392" s="25">
        <f t="shared" si="46"/>
        <v>120257.28</v>
      </c>
      <c r="G392" s="18">
        <f>F392*0.3+84180.096</f>
        <v>120257.28</v>
      </c>
      <c r="H392" s="18">
        <f t="shared" si="45"/>
        <v>0</v>
      </c>
      <c r="I392" s="20">
        <v>46023</v>
      </c>
      <c r="J392" s="17" t="s">
        <v>21</v>
      </c>
      <c r="K392" s="113"/>
      <c r="L392" s="113"/>
    </row>
    <row r="393" hidden="1" customHeight="1" spans="1:14">
      <c r="A393" s="17" t="s">
        <v>139</v>
      </c>
      <c r="B393" s="17" t="s">
        <v>419</v>
      </c>
      <c r="C393" s="17" t="s">
        <v>431</v>
      </c>
      <c r="D393" s="17">
        <v>7.283</v>
      </c>
      <c r="E393" s="17">
        <v>5720</v>
      </c>
      <c r="F393" s="25">
        <f t="shared" si="46"/>
        <v>41658.76</v>
      </c>
      <c r="G393" s="18">
        <f>F393*0.3+29161.132</f>
        <v>41658.76</v>
      </c>
      <c r="H393" s="18">
        <f t="shared" si="45"/>
        <v>0</v>
      </c>
      <c r="I393" s="20">
        <v>46054</v>
      </c>
      <c r="J393" s="17" t="s">
        <v>21</v>
      </c>
      <c r="K393" s="113"/>
      <c r="L393" s="113"/>
    </row>
    <row r="394" hidden="1" customHeight="1" spans="1:14">
      <c r="A394" s="17" t="s">
        <v>139</v>
      </c>
      <c r="B394" s="17" t="s">
        <v>432</v>
      </c>
      <c r="C394" s="17" t="s">
        <v>420</v>
      </c>
      <c r="D394" s="17">
        <v>14.612</v>
      </c>
      <c r="E394" s="17">
        <v>6080</v>
      </c>
      <c r="F394" s="25">
        <f t="shared" si="46"/>
        <v>88840.96</v>
      </c>
      <c r="G394" s="18">
        <f>F394*0.3+62188.672</f>
        <v>88840.96</v>
      </c>
      <c r="H394" s="18">
        <f t="shared" si="45"/>
        <v>0</v>
      </c>
      <c r="I394" s="20">
        <v>46054</v>
      </c>
      <c r="J394" s="17" t="s">
        <v>21</v>
      </c>
      <c r="K394" s="113"/>
      <c r="L394" s="113"/>
    </row>
    <row r="395" hidden="1" customHeight="1" spans="1:14">
      <c r="A395" s="17" t="s">
        <v>139</v>
      </c>
      <c r="B395" s="17" t="s">
        <v>433</v>
      </c>
      <c r="C395" s="17" t="s">
        <v>434</v>
      </c>
      <c r="D395" s="17">
        <v>12.934</v>
      </c>
      <c r="E395" s="17">
        <v>5720</v>
      </c>
      <c r="F395" s="25">
        <f t="shared" si="46"/>
        <v>73982.48</v>
      </c>
      <c r="G395" s="18">
        <f>F395*0.3+21532.152+30255.584</f>
        <v>73982.48</v>
      </c>
      <c r="H395" s="18">
        <f t="shared" si="45"/>
        <v>0</v>
      </c>
      <c r="I395" s="20">
        <v>46023</v>
      </c>
      <c r="J395" s="17" t="s">
        <v>21</v>
      </c>
      <c r="K395" s="113"/>
      <c r="L395" s="113"/>
    </row>
    <row r="396" hidden="1" customHeight="1" spans="1:14">
      <c r="A396" s="17" t="s">
        <v>139</v>
      </c>
      <c r="B396" s="17" t="s">
        <v>414</v>
      </c>
      <c r="C396" s="17" t="s">
        <v>434</v>
      </c>
      <c r="D396" s="17">
        <v>3.068</v>
      </c>
      <c r="E396" s="17">
        <v>5720</v>
      </c>
      <c r="F396" s="25">
        <f t="shared" si="46"/>
        <v>17548.96</v>
      </c>
      <c r="G396" s="18">
        <f>F396*0.3+12284.272</f>
        <v>17548.96</v>
      </c>
      <c r="H396" s="18">
        <f t="shared" si="45"/>
        <v>0</v>
      </c>
      <c r="I396" s="20">
        <v>46023</v>
      </c>
      <c r="J396" s="17" t="s">
        <v>97</v>
      </c>
      <c r="K396" s="113"/>
      <c r="L396" s="113"/>
      <c r="N396" s="4" t="s">
        <v>435</v>
      </c>
    </row>
    <row r="397" hidden="1" customHeight="1" spans="1:14">
      <c r="A397" s="17" t="s">
        <v>139</v>
      </c>
      <c r="B397" s="17" t="s">
        <v>436</v>
      </c>
      <c r="C397" s="17" t="s">
        <v>437</v>
      </c>
      <c r="D397" s="17">
        <v>1.471</v>
      </c>
      <c r="E397" s="17">
        <v>5570</v>
      </c>
      <c r="F397" s="25">
        <f t="shared" si="46"/>
        <v>8193.47</v>
      </c>
      <c r="G397" s="18">
        <f>F397*0.3+5735.429</f>
        <v>8193.47</v>
      </c>
      <c r="H397" s="18">
        <f t="shared" si="45"/>
        <v>0</v>
      </c>
      <c r="I397" s="20">
        <v>46023</v>
      </c>
      <c r="J397" s="17" t="s">
        <v>21</v>
      </c>
      <c r="K397" s="113"/>
      <c r="L397" s="113"/>
    </row>
    <row r="398" hidden="1" customHeight="1" spans="1:14">
      <c r="A398" s="17" t="s">
        <v>139</v>
      </c>
      <c r="B398" s="17" t="s">
        <v>438</v>
      </c>
      <c r="C398" s="17" t="s">
        <v>437</v>
      </c>
      <c r="D398" s="17">
        <v>15.004</v>
      </c>
      <c r="E398" s="17">
        <v>5570</v>
      </c>
      <c r="F398" s="25">
        <f t="shared" si="46"/>
        <v>83572.28</v>
      </c>
      <c r="G398" s="18">
        <f>F398*0.3+58500.596</f>
        <v>83572.28</v>
      </c>
      <c r="H398" s="18">
        <f t="shared" si="45"/>
        <v>0</v>
      </c>
      <c r="I398" s="20">
        <v>46023</v>
      </c>
      <c r="J398" s="17" t="s">
        <v>21</v>
      </c>
      <c r="K398" s="113"/>
      <c r="L398" s="113"/>
    </row>
    <row r="399" hidden="1" customHeight="1" spans="1:14">
      <c r="A399" s="17" t="s">
        <v>139</v>
      </c>
      <c r="B399" s="17" t="s">
        <v>417</v>
      </c>
      <c r="C399" s="17" t="s">
        <v>439</v>
      </c>
      <c r="D399" s="17">
        <v>0.363</v>
      </c>
      <c r="E399" s="17">
        <v>5570</v>
      </c>
      <c r="F399" s="25">
        <f t="shared" si="46"/>
        <v>2021.91</v>
      </c>
      <c r="G399" s="18">
        <f>F399*0.3+1415.337</f>
        <v>2021.91</v>
      </c>
      <c r="H399" s="18">
        <f t="shared" si="45"/>
        <v>0</v>
      </c>
      <c r="I399" s="20">
        <v>46023</v>
      </c>
      <c r="J399" s="17" t="s">
        <v>21</v>
      </c>
      <c r="K399" s="113"/>
      <c r="L399" s="113"/>
    </row>
    <row r="400" hidden="1" customHeight="1" spans="1:14">
      <c r="A400" s="17" t="s">
        <v>139</v>
      </c>
      <c r="B400" s="17" t="s">
        <v>436</v>
      </c>
      <c r="C400" s="17" t="s">
        <v>439</v>
      </c>
      <c r="D400" s="17">
        <v>12.22</v>
      </c>
      <c r="E400" s="17">
        <v>5570</v>
      </c>
      <c r="F400" s="25">
        <f t="shared" si="46"/>
        <v>68065.4</v>
      </c>
      <c r="G400" s="18">
        <f>F400*0.3+47645.78</f>
        <v>68065.4</v>
      </c>
      <c r="H400" s="18">
        <f t="shared" si="45"/>
        <v>0</v>
      </c>
      <c r="I400" s="20">
        <v>46023</v>
      </c>
      <c r="J400" s="17" t="s">
        <v>21</v>
      </c>
      <c r="K400" s="113"/>
      <c r="L400" s="113"/>
    </row>
    <row r="401" hidden="1" customHeight="1" spans="1:14">
      <c r="A401" s="17" t="s">
        <v>139</v>
      </c>
      <c r="B401" s="17" t="s">
        <v>438</v>
      </c>
      <c r="C401" s="17" t="s">
        <v>440</v>
      </c>
      <c r="D401" s="17">
        <v>10.977</v>
      </c>
      <c r="E401" s="17">
        <v>5570</v>
      </c>
      <c r="F401" s="25">
        <f t="shared" si="46"/>
        <v>61141.89</v>
      </c>
      <c r="G401" s="18">
        <f>F401*0.3+42799.323</f>
        <v>61141.89</v>
      </c>
      <c r="H401" s="18">
        <f t="shared" si="45"/>
        <v>0</v>
      </c>
      <c r="I401" s="20">
        <v>46023</v>
      </c>
      <c r="J401" s="17" t="s">
        <v>21</v>
      </c>
      <c r="K401" s="113"/>
      <c r="L401" s="113"/>
    </row>
    <row r="402" hidden="1" customHeight="1" spans="1:14">
      <c r="A402" s="17" t="s">
        <v>139</v>
      </c>
      <c r="B402" s="17" t="s">
        <v>441</v>
      </c>
      <c r="C402" s="17" t="s">
        <v>440</v>
      </c>
      <c r="D402" s="17">
        <v>2.992</v>
      </c>
      <c r="E402" s="17">
        <v>5570</v>
      </c>
      <c r="F402" s="25">
        <f t="shared" si="46"/>
        <v>16665.44</v>
      </c>
      <c r="G402" s="18">
        <f>F402*0.3+11665.808</f>
        <v>16665.44</v>
      </c>
      <c r="H402" s="18">
        <f t="shared" si="45"/>
        <v>0</v>
      </c>
      <c r="I402" s="20">
        <v>46023</v>
      </c>
      <c r="J402" s="17" t="s">
        <v>21</v>
      </c>
      <c r="K402" s="113"/>
      <c r="L402" s="113"/>
      <c r="N402" s="4" t="s">
        <v>442</v>
      </c>
    </row>
    <row r="403" hidden="1" customHeight="1" spans="1:14">
      <c r="A403" s="17" t="s">
        <v>139</v>
      </c>
      <c r="B403" s="17" t="s">
        <v>436</v>
      </c>
      <c r="C403" s="17" t="s">
        <v>443</v>
      </c>
      <c r="D403" s="17">
        <v>12.56</v>
      </c>
      <c r="E403" s="17">
        <v>5570</v>
      </c>
      <c r="F403" s="25">
        <f t="shared" si="46"/>
        <v>69959.2</v>
      </c>
      <c r="G403" s="18">
        <f>F403*0.3+48971.44</f>
        <v>69959.2</v>
      </c>
      <c r="H403" s="18">
        <f t="shared" si="45"/>
        <v>0</v>
      </c>
      <c r="I403" s="20">
        <v>46023</v>
      </c>
      <c r="J403" s="17" t="s">
        <v>21</v>
      </c>
      <c r="K403" s="113"/>
      <c r="L403" s="113"/>
    </row>
    <row r="404" hidden="1" customHeight="1" spans="1:14">
      <c r="A404" s="17" t="s">
        <v>139</v>
      </c>
      <c r="B404" s="17" t="s">
        <v>432</v>
      </c>
      <c r="C404" s="17" t="s">
        <v>444</v>
      </c>
      <c r="D404" s="17">
        <v>11.117</v>
      </c>
      <c r="E404" s="17">
        <v>5520</v>
      </c>
      <c r="F404" s="25">
        <f t="shared" si="46"/>
        <v>61365.84</v>
      </c>
      <c r="G404" s="18">
        <f>F404*0.3+42956.088</f>
        <v>61365.84</v>
      </c>
      <c r="H404" s="18">
        <f t="shared" si="45"/>
        <v>0</v>
      </c>
      <c r="I404" s="20">
        <v>46054</v>
      </c>
      <c r="J404" s="17" t="s">
        <v>21</v>
      </c>
      <c r="K404" s="113"/>
      <c r="L404" s="113"/>
    </row>
    <row r="405" hidden="1" customHeight="1" spans="1:14">
      <c r="A405" s="17" t="s">
        <v>139</v>
      </c>
      <c r="B405" s="17" t="s">
        <v>433</v>
      </c>
      <c r="C405" s="17" t="s">
        <v>445</v>
      </c>
      <c r="D405" s="17">
        <v>13.55</v>
      </c>
      <c r="E405" s="17">
        <v>5520</v>
      </c>
      <c r="F405" s="25">
        <f t="shared" si="46"/>
        <v>74796</v>
      </c>
      <c r="G405" s="18">
        <f>F405*0.3+52357.2</f>
        <v>74796</v>
      </c>
      <c r="H405" s="18">
        <f t="shared" si="45"/>
        <v>0</v>
      </c>
      <c r="I405" s="20">
        <v>46054</v>
      </c>
      <c r="J405" s="17" t="s">
        <v>21</v>
      </c>
      <c r="K405" s="113"/>
      <c r="L405" s="113"/>
    </row>
    <row r="406" hidden="1" customHeight="1" spans="1:14">
      <c r="A406" s="17" t="s">
        <v>139</v>
      </c>
      <c r="B406" s="17" t="s">
        <v>446</v>
      </c>
      <c r="C406" s="17" t="s">
        <v>426</v>
      </c>
      <c r="D406" s="17">
        <v>20.842</v>
      </c>
      <c r="E406" s="17">
        <v>5770</v>
      </c>
      <c r="F406" s="25">
        <f t="shared" si="46"/>
        <v>120258.34</v>
      </c>
      <c r="G406" s="18">
        <f>34620+85638.34</f>
        <v>120258.34</v>
      </c>
      <c r="H406" s="18">
        <f t="shared" si="45"/>
        <v>0</v>
      </c>
      <c r="I406" s="20">
        <v>46054</v>
      </c>
      <c r="J406" s="17" t="s">
        <v>21</v>
      </c>
      <c r="K406" s="113"/>
      <c r="L406" s="113"/>
    </row>
    <row r="407" customHeight="1" spans="1:14">
      <c r="A407" s="17" t="s">
        <v>18</v>
      </c>
      <c r="B407" s="17" t="s">
        <v>447</v>
      </c>
      <c r="C407" s="17" t="s">
        <v>448</v>
      </c>
      <c r="D407" s="17">
        <v>82.35</v>
      </c>
      <c r="E407" s="17">
        <f t="shared" ref="E407:E417" si="47">5350+250</f>
        <v>5600</v>
      </c>
      <c r="F407" s="25">
        <f t="shared" si="46"/>
        <v>461160</v>
      </c>
      <c r="G407" s="18">
        <v>461160</v>
      </c>
      <c r="H407" s="18">
        <f t="shared" si="45"/>
        <v>0</v>
      </c>
      <c r="I407" s="20">
        <v>46042</v>
      </c>
      <c r="J407" s="17" t="s">
        <v>21</v>
      </c>
      <c r="K407" s="17"/>
      <c r="L407" s="113"/>
    </row>
    <row r="408" customHeight="1" spans="1:14">
      <c r="A408" s="17" t="s">
        <v>18</v>
      </c>
      <c r="B408" s="17" t="s">
        <v>449</v>
      </c>
      <c r="C408" s="17" t="s">
        <v>448</v>
      </c>
      <c r="D408" s="17">
        <f>412.5-D407-SUM(D410:D417)</f>
        <v>41.525</v>
      </c>
      <c r="E408" s="17">
        <f t="shared" si="47"/>
        <v>5600</v>
      </c>
      <c r="F408" s="25">
        <f t="shared" si="46"/>
        <v>232540</v>
      </c>
      <c r="G408" s="18">
        <v>0</v>
      </c>
      <c r="H408" s="18">
        <f t="shared" si="45"/>
        <v>232540</v>
      </c>
      <c r="I408" s="174">
        <v>46388</v>
      </c>
      <c r="J408" s="17"/>
      <c r="K408" s="17"/>
      <c r="L408" s="113"/>
    </row>
    <row r="409" customHeight="1" spans="1:14">
      <c r="A409" s="17" t="s">
        <v>18</v>
      </c>
      <c r="B409" s="17" t="s">
        <v>450</v>
      </c>
      <c r="C409" s="17" t="s">
        <v>448</v>
      </c>
      <c r="D409" s="17">
        <v>27.45</v>
      </c>
      <c r="E409" s="17">
        <f t="shared" si="47"/>
        <v>5600</v>
      </c>
      <c r="F409" s="25">
        <f t="shared" si="46"/>
        <v>153720</v>
      </c>
      <c r="G409" s="18">
        <f>F409</f>
        <v>153720</v>
      </c>
      <c r="H409" s="18">
        <f t="shared" si="45"/>
        <v>0</v>
      </c>
      <c r="I409" s="174">
        <v>46096</v>
      </c>
      <c r="J409" s="17" t="s">
        <v>21</v>
      </c>
      <c r="K409" s="17"/>
      <c r="L409" s="113"/>
    </row>
    <row r="410" customHeight="1" spans="1:14">
      <c r="A410" s="17" t="s">
        <v>18</v>
      </c>
      <c r="B410" s="17" t="s">
        <v>451</v>
      </c>
      <c r="C410" s="17" t="s">
        <v>448</v>
      </c>
      <c r="D410" s="133">
        <f>55-D409</f>
        <v>27.55</v>
      </c>
      <c r="E410" s="17">
        <f t="shared" si="47"/>
        <v>5600</v>
      </c>
      <c r="F410" s="25">
        <f t="shared" si="46"/>
        <v>154280</v>
      </c>
      <c r="G410" s="18">
        <f>F410</f>
        <v>154280</v>
      </c>
      <c r="H410" s="18">
        <f t="shared" si="45"/>
        <v>0</v>
      </c>
      <c r="I410" s="174">
        <v>46096</v>
      </c>
      <c r="J410" s="17" t="s">
        <v>452</v>
      </c>
      <c r="K410" s="17"/>
      <c r="L410" s="113"/>
    </row>
    <row r="411" customHeight="1" spans="1:14">
      <c r="A411" s="17" t="s">
        <v>18</v>
      </c>
      <c r="B411" s="17" t="s">
        <v>453</v>
      </c>
      <c r="C411" s="17" t="s">
        <v>448</v>
      </c>
      <c r="D411" s="17">
        <v>54.9</v>
      </c>
      <c r="E411" s="17">
        <f t="shared" si="47"/>
        <v>5600</v>
      </c>
      <c r="F411" s="25">
        <f t="shared" si="46"/>
        <v>307440</v>
      </c>
      <c r="G411" s="18">
        <f>230840+76600</f>
        <v>307440</v>
      </c>
      <c r="H411" s="18">
        <f t="shared" si="45"/>
        <v>0</v>
      </c>
      <c r="I411" s="174">
        <v>46127</v>
      </c>
      <c r="J411" s="17" t="s">
        <v>21</v>
      </c>
      <c r="K411" s="17"/>
      <c r="L411" s="113"/>
    </row>
    <row r="412" customHeight="1" spans="1:14">
      <c r="A412" s="17" t="s">
        <v>18</v>
      </c>
      <c r="B412" s="17" t="s">
        <v>454</v>
      </c>
      <c r="C412" s="17" t="s">
        <v>448</v>
      </c>
      <c r="D412" s="17">
        <v>41.175</v>
      </c>
      <c r="E412" s="17">
        <f t="shared" si="47"/>
        <v>5600</v>
      </c>
      <c r="F412" s="25">
        <f t="shared" si="46"/>
        <v>230580</v>
      </c>
      <c r="G412" s="18">
        <f>308000-77420</f>
        <v>230580</v>
      </c>
      <c r="H412" s="18">
        <f t="shared" si="45"/>
        <v>0</v>
      </c>
      <c r="I412" s="174">
        <v>46157</v>
      </c>
      <c r="J412" s="17" t="s">
        <v>455</v>
      </c>
      <c r="K412" s="17"/>
      <c r="L412" s="113"/>
    </row>
    <row r="413" customHeight="1" spans="1:14">
      <c r="A413" s="17" t="s">
        <v>18</v>
      </c>
      <c r="B413" s="17" t="s">
        <v>456</v>
      </c>
      <c r="C413" s="17" t="s">
        <v>448</v>
      </c>
      <c r="D413" s="17">
        <f>27.5*2</f>
        <v>55</v>
      </c>
      <c r="E413" s="17">
        <f t="shared" si="47"/>
        <v>5600</v>
      </c>
      <c r="F413" s="25">
        <f t="shared" si="46"/>
        <v>308000</v>
      </c>
      <c r="G413" s="18">
        <v>77420</v>
      </c>
      <c r="H413" s="18">
        <f t="shared" si="45"/>
        <v>230580</v>
      </c>
      <c r="I413" s="174">
        <v>46188</v>
      </c>
      <c r="J413" s="17" t="s">
        <v>457</v>
      </c>
      <c r="K413" s="17"/>
      <c r="L413" s="113"/>
    </row>
    <row r="414" customHeight="1" spans="1:14">
      <c r="A414" s="17" t="s">
        <v>18</v>
      </c>
      <c r="B414" s="17" t="s">
        <v>458</v>
      </c>
      <c r="C414" s="17" t="s">
        <v>448</v>
      </c>
      <c r="D414" s="17">
        <v>27.5</v>
      </c>
      <c r="E414" s="17">
        <f t="shared" si="47"/>
        <v>5600</v>
      </c>
      <c r="F414" s="25">
        <f t="shared" si="46"/>
        <v>154000</v>
      </c>
      <c r="G414" s="18">
        <v>0</v>
      </c>
      <c r="H414" s="18">
        <f t="shared" si="45"/>
        <v>154000</v>
      </c>
      <c r="I414" s="174">
        <v>46218</v>
      </c>
      <c r="J414" s="17"/>
      <c r="K414" s="17" t="s">
        <v>223</v>
      </c>
      <c r="L414" s="113"/>
    </row>
    <row r="415" customHeight="1" spans="1:14">
      <c r="A415" s="17" t="s">
        <v>18</v>
      </c>
      <c r="B415" s="17" t="s">
        <v>459</v>
      </c>
      <c r="C415" s="17" t="s">
        <v>448</v>
      </c>
      <c r="D415" s="17">
        <v>27.5</v>
      </c>
      <c r="E415" s="17">
        <f t="shared" si="47"/>
        <v>5600</v>
      </c>
      <c r="F415" s="25">
        <f t="shared" si="46"/>
        <v>154000</v>
      </c>
      <c r="G415" s="18">
        <v>0</v>
      </c>
      <c r="H415" s="18">
        <f t="shared" si="45"/>
        <v>154000</v>
      </c>
      <c r="I415" s="174">
        <v>46249</v>
      </c>
      <c r="J415" s="17"/>
      <c r="K415" s="17" t="s">
        <v>223</v>
      </c>
      <c r="L415" s="113"/>
    </row>
    <row r="416" customHeight="1" spans="1:14">
      <c r="A416" s="17" t="s">
        <v>18</v>
      </c>
      <c r="B416" s="17" t="s">
        <v>460</v>
      </c>
      <c r="C416" s="17" t="s">
        <v>448</v>
      </c>
      <c r="D416" s="17">
        <v>27.5</v>
      </c>
      <c r="E416" s="17">
        <f t="shared" si="47"/>
        <v>5600</v>
      </c>
      <c r="F416" s="25">
        <f t="shared" si="46"/>
        <v>154000</v>
      </c>
      <c r="G416" s="18">
        <v>0</v>
      </c>
      <c r="H416" s="18">
        <f t="shared" si="45"/>
        <v>154000</v>
      </c>
      <c r="I416" s="174">
        <v>46341</v>
      </c>
      <c r="J416" s="17"/>
      <c r="K416" s="17"/>
      <c r="L416" s="113"/>
    </row>
    <row r="417" customHeight="1" spans="1:14">
      <c r="A417" s="17" t="s">
        <v>18</v>
      </c>
      <c r="B417" s="17" t="s">
        <v>461</v>
      </c>
      <c r="C417" s="17" t="s">
        <v>448</v>
      </c>
      <c r="D417" s="17">
        <v>27.5</v>
      </c>
      <c r="E417" s="17">
        <f t="shared" si="47"/>
        <v>5600</v>
      </c>
      <c r="F417" s="25">
        <f t="shared" si="46"/>
        <v>154000</v>
      </c>
      <c r="G417" s="18">
        <v>0</v>
      </c>
      <c r="H417" s="18">
        <f t="shared" si="45"/>
        <v>154000</v>
      </c>
      <c r="I417" s="174">
        <v>46371</v>
      </c>
      <c r="J417" s="17"/>
      <c r="K417" s="17"/>
      <c r="L417" s="113"/>
    </row>
    <row r="418" customHeight="1" spans="1:14">
      <c r="A418" s="17" t="s">
        <v>18</v>
      </c>
      <c r="B418" s="17" t="s">
        <v>462</v>
      </c>
      <c r="C418" s="24" t="s">
        <v>250</v>
      </c>
      <c r="D418" s="17">
        <v>97.008</v>
      </c>
      <c r="E418" s="17">
        <v>5890</v>
      </c>
      <c r="F418" s="25">
        <f>D418*E418*0.1</f>
        <v>57137.712</v>
      </c>
      <c r="G418" s="25">
        <f>58900-1762.288</f>
        <v>57137.712</v>
      </c>
      <c r="H418" s="18">
        <f t="shared" si="45"/>
        <v>0</v>
      </c>
      <c r="I418" s="20">
        <v>45971</v>
      </c>
      <c r="J418" s="17"/>
      <c r="K418" s="17"/>
      <c r="L418" s="113"/>
    </row>
    <row r="419" customHeight="1" spans="1:14">
      <c r="A419" s="17" t="s">
        <v>18</v>
      </c>
      <c r="B419" s="17" t="s">
        <v>462</v>
      </c>
      <c r="C419" s="24" t="s">
        <v>250</v>
      </c>
      <c r="D419" s="17">
        <v>97.008</v>
      </c>
      <c r="E419" s="17">
        <v>5890</v>
      </c>
      <c r="F419" s="25">
        <f>D419*E419*0.9</f>
        <v>514239.408</v>
      </c>
      <c r="G419" s="25">
        <f>477090+1762.288+906.990000000005+2142.09999999999+32338.03</f>
        <v>514239.408</v>
      </c>
      <c r="H419" s="146">
        <f t="shared" si="45"/>
        <v>0</v>
      </c>
      <c r="I419" s="20">
        <v>46028</v>
      </c>
      <c r="J419" s="147"/>
      <c r="K419" s="147"/>
      <c r="L419" s="113"/>
    </row>
    <row r="420" customHeight="1" spans="1:14">
      <c r="A420" s="17" t="s">
        <v>18</v>
      </c>
      <c r="B420" s="17" t="s">
        <v>462</v>
      </c>
      <c r="C420" s="24" t="s">
        <v>251</v>
      </c>
      <c r="D420" s="17">
        <v>100.492</v>
      </c>
      <c r="E420" s="17">
        <v>5890</v>
      </c>
      <c r="F420" s="25">
        <f>D420*E420*0.1</f>
        <v>59189.788</v>
      </c>
      <c r="G420" s="25">
        <f>58900+289.788</f>
        <v>59189.788</v>
      </c>
      <c r="H420" s="18">
        <f t="shared" si="45"/>
        <v>0</v>
      </c>
      <c r="I420" s="20">
        <v>45971</v>
      </c>
      <c r="J420" s="147"/>
      <c r="K420" s="147"/>
      <c r="L420" s="113"/>
    </row>
    <row r="421" customHeight="1" spans="1:14">
      <c r="A421" s="17" t="s">
        <v>18</v>
      </c>
      <c r="B421" s="17" t="s">
        <v>462</v>
      </c>
      <c r="C421" s="24" t="s">
        <v>251</v>
      </c>
      <c r="D421" s="17">
        <v>100.492</v>
      </c>
      <c r="E421" s="17">
        <v>5890</v>
      </c>
      <c r="F421" s="25">
        <f>D421*E421*0.9</f>
        <v>532708.092</v>
      </c>
      <c r="G421" s="25">
        <f>477090-289.788+55907.8799999999</f>
        <v>532708.092</v>
      </c>
      <c r="H421" s="146">
        <f t="shared" si="45"/>
        <v>0</v>
      </c>
      <c r="I421" s="20">
        <v>46028</v>
      </c>
      <c r="J421" s="147"/>
      <c r="K421" s="147"/>
      <c r="L421" s="113"/>
    </row>
    <row r="422" customHeight="1" spans="1:14">
      <c r="A422" s="40" t="s">
        <v>18</v>
      </c>
      <c r="B422" s="40" t="s">
        <v>463</v>
      </c>
      <c r="C422" s="40" t="s">
        <v>464</v>
      </c>
      <c r="D422" s="17">
        <v>13.353</v>
      </c>
      <c r="E422" s="17">
        <v>6170</v>
      </c>
      <c r="F422" s="25">
        <f t="shared" ref="F422:F426" si="48">D422*E422</f>
        <v>82388.01</v>
      </c>
      <c r="G422" s="18">
        <f>83295-906.990000000005</f>
        <v>82388.01</v>
      </c>
      <c r="H422" s="18">
        <f t="shared" si="45"/>
        <v>0</v>
      </c>
      <c r="I422" s="20">
        <v>46029</v>
      </c>
      <c r="J422" s="147"/>
      <c r="K422" s="147"/>
      <c r="L422" s="113"/>
    </row>
    <row r="423" customHeight="1" spans="1:14">
      <c r="A423" s="40" t="s">
        <v>18</v>
      </c>
      <c r="B423" s="40" t="s">
        <v>463</v>
      </c>
      <c r="C423" s="40" t="s">
        <v>465</v>
      </c>
      <c r="D423" s="17">
        <v>10.49</v>
      </c>
      <c r="E423" s="17">
        <v>6910</v>
      </c>
      <c r="F423" s="25">
        <f t="shared" si="48"/>
        <v>72485.9</v>
      </c>
      <c r="G423" s="18">
        <f>74628-2142.09999999999</f>
        <v>72485.9</v>
      </c>
      <c r="H423" s="18">
        <f t="shared" si="45"/>
        <v>0</v>
      </c>
      <c r="I423" s="20">
        <v>46033</v>
      </c>
      <c r="J423" s="147"/>
      <c r="K423" s="147"/>
      <c r="L423" s="113"/>
    </row>
    <row r="424" customHeight="1" spans="1:14">
      <c r="A424" s="17" t="s">
        <v>18</v>
      </c>
      <c r="B424" s="17" t="s">
        <v>466</v>
      </c>
      <c r="C424" s="24" t="s">
        <v>242</v>
      </c>
      <c r="D424" s="17">
        <v>84.906</v>
      </c>
      <c r="E424" s="17">
        <v>5925</v>
      </c>
      <c r="F424" s="25">
        <f t="shared" ref="F424:F429" si="49">D424*E424*0.1</f>
        <v>50306.805</v>
      </c>
      <c r="G424" s="25">
        <f>53325-3018.19499999999</f>
        <v>50306.805</v>
      </c>
      <c r="H424" s="18">
        <f t="shared" si="45"/>
        <v>0</v>
      </c>
      <c r="I424" s="20">
        <v>45971</v>
      </c>
      <c r="J424" s="17" t="s">
        <v>97</v>
      </c>
      <c r="K424" s="17"/>
      <c r="L424" s="113"/>
    </row>
    <row r="425" customHeight="1" spans="1:14">
      <c r="A425" s="17" t="s">
        <v>18</v>
      </c>
      <c r="B425" s="17" t="s">
        <v>466</v>
      </c>
      <c r="C425" s="24" t="s">
        <v>242</v>
      </c>
      <c r="D425" s="17">
        <v>84.906</v>
      </c>
      <c r="E425" s="17">
        <v>5925</v>
      </c>
      <c r="F425" s="25">
        <f t="shared" ref="F425:F430" si="50">D425*E425*0.9</f>
        <v>452761.245</v>
      </c>
      <c r="G425" s="25">
        <f>3018.19499999999+449743.05</f>
        <v>452761.245</v>
      </c>
      <c r="H425" s="18">
        <f t="shared" ref="H425:H488" si="51">F425-G425</f>
        <v>0</v>
      </c>
      <c r="I425" s="20">
        <v>46016</v>
      </c>
      <c r="J425" s="17" t="s">
        <v>97</v>
      </c>
      <c r="K425" s="17"/>
      <c r="L425" s="113"/>
    </row>
    <row r="426" customHeight="1" spans="1:14">
      <c r="A426" s="17" t="s">
        <v>18</v>
      </c>
      <c r="B426" s="17" t="s">
        <v>467</v>
      </c>
      <c r="C426" s="24" t="s">
        <v>242</v>
      </c>
      <c r="D426" s="17">
        <f>90.683-84.906</f>
        <v>5.777</v>
      </c>
      <c r="E426" s="17">
        <v>5925</v>
      </c>
      <c r="F426" s="25">
        <f t="shared" si="48"/>
        <v>34228.725</v>
      </c>
      <c r="G426" s="18">
        <v>34228.725</v>
      </c>
      <c r="H426" s="18">
        <f t="shared" si="51"/>
        <v>0</v>
      </c>
      <c r="I426" s="20">
        <v>46016</v>
      </c>
      <c r="J426" s="17" t="s">
        <v>97</v>
      </c>
      <c r="K426" s="17"/>
      <c r="L426" s="113"/>
      <c r="N426" s="161" t="s">
        <v>468</v>
      </c>
    </row>
    <row r="427" customHeight="1" spans="1:14">
      <c r="A427" s="17" t="s">
        <v>18</v>
      </c>
      <c r="B427" s="17" t="s">
        <v>466</v>
      </c>
      <c r="C427" s="24" t="s">
        <v>241</v>
      </c>
      <c r="D427" s="17">
        <v>14.405</v>
      </c>
      <c r="E427" s="17">
        <v>5925</v>
      </c>
      <c r="F427" s="25">
        <f t="shared" si="49"/>
        <v>8534.9625</v>
      </c>
      <c r="G427" s="18">
        <f>8887.5-352.5375</f>
        <v>8534.9625</v>
      </c>
      <c r="H427" s="18">
        <f t="shared" si="51"/>
        <v>0</v>
      </c>
      <c r="I427" s="20">
        <v>45971</v>
      </c>
      <c r="J427" s="17" t="s">
        <v>97</v>
      </c>
      <c r="K427" s="17"/>
      <c r="L427" s="113"/>
    </row>
    <row r="428" customHeight="1" spans="1:14">
      <c r="A428" s="17" t="s">
        <v>18</v>
      </c>
      <c r="B428" s="17" t="s">
        <v>466</v>
      </c>
      <c r="C428" s="24" t="s">
        <v>241</v>
      </c>
      <c r="D428" s="17">
        <v>14.405</v>
      </c>
      <c r="E428" s="17">
        <v>5925</v>
      </c>
      <c r="F428" s="25">
        <f t="shared" si="50"/>
        <v>76814.6625</v>
      </c>
      <c r="G428" s="18">
        <f>352.5375+76462.125</f>
        <v>76814.6625</v>
      </c>
      <c r="H428" s="18">
        <f t="shared" si="51"/>
        <v>0</v>
      </c>
      <c r="I428" s="20">
        <v>46016</v>
      </c>
      <c r="J428" s="17" t="s">
        <v>97</v>
      </c>
      <c r="K428" s="17"/>
      <c r="L428" s="113"/>
    </row>
    <row r="429" customHeight="1" spans="1:14">
      <c r="A429" s="17" t="s">
        <v>18</v>
      </c>
      <c r="B429" s="17" t="s">
        <v>466</v>
      </c>
      <c r="C429" s="24" t="s">
        <v>243</v>
      </c>
      <c r="D429" s="17">
        <v>46.304</v>
      </c>
      <c r="E429" s="17">
        <v>5875</v>
      </c>
      <c r="F429" s="25">
        <f t="shared" si="49"/>
        <v>27203.6</v>
      </c>
      <c r="G429" s="25">
        <f>31725-1213.775-3307.625</f>
        <v>27203.6</v>
      </c>
      <c r="H429" s="18">
        <f t="shared" si="51"/>
        <v>0</v>
      </c>
      <c r="I429" s="20">
        <v>45971</v>
      </c>
      <c r="J429" s="17" t="s">
        <v>97</v>
      </c>
      <c r="K429" s="17"/>
      <c r="L429" s="113"/>
    </row>
    <row r="430" customHeight="1" spans="1:14">
      <c r="A430" s="17" t="s">
        <v>18</v>
      </c>
      <c r="B430" s="17" t="s">
        <v>466</v>
      </c>
      <c r="C430" s="24" t="s">
        <v>243</v>
      </c>
      <c r="D430" s="17">
        <v>46.304</v>
      </c>
      <c r="E430" s="17">
        <v>5875</v>
      </c>
      <c r="F430" s="25">
        <f t="shared" si="50"/>
        <v>244832.4</v>
      </c>
      <c r="G430" s="18">
        <f>1213.775+3307.625+240311</f>
        <v>244832.4</v>
      </c>
      <c r="H430" s="18">
        <f t="shared" si="51"/>
        <v>0</v>
      </c>
      <c r="I430" s="20">
        <v>46016</v>
      </c>
      <c r="J430" s="17" t="s">
        <v>97</v>
      </c>
      <c r="K430" s="17"/>
      <c r="L430" s="113"/>
    </row>
    <row r="431" customHeight="1" spans="1:14">
      <c r="A431" s="17" t="s">
        <v>18</v>
      </c>
      <c r="B431" s="17" t="s">
        <v>467</v>
      </c>
      <c r="C431" s="24" t="s">
        <v>243</v>
      </c>
      <c r="D431" s="81">
        <f>51.934-46.304</f>
        <v>5.63</v>
      </c>
      <c r="E431" s="17">
        <v>5875</v>
      </c>
      <c r="F431" s="25">
        <f t="shared" ref="F431:F479" si="52">D431*E431</f>
        <v>33076.25</v>
      </c>
      <c r="G431" s="18">
        <v>33076.25</v>
      </c>
      <c r="H431" s="18">
        <f t="shared" si="51"/>
        <v>0</v>
      </c>
      <c r="I431" s="20">
        <v>46016</v>
      </c>
      <c r="J431" s="17" t="s">
        <v>97</v>
      </c>
      <c r="K431" s="17"/>
      <c r="L431" s="113"/>
      <c r="N431" s="161" t="s">
        <v>468</v>
      </c>
    </row>
    <row r="432" customHeight="1" spans="1:14">
      <c r="A432" s="17" t="s">
        <v>18</v>
      </c>
      <c r="B432" s="17" t="s">
        <v>469</v>
      </c>
      <c r="C432" s="17" t="s">
        <v>470</v>
      </c>
      <c r="D432" s="17">
        <v>14.388</v>
      </c>
      <c r="E432" s="17">
        <v>5650</v>
      </c>
      <c r="F432" s="25">
        <f t="shared" si="52"/>
        <v>81292.2</v>
      </c>
      <c r="G432" s="18">
        <v>81292.2</v>
      </c>
      <c r="H432" s="18">
        <f t="shared" si="51"/>
        <v>0</v>
      </c>
      <c r="I432" s="175">
        <v>46032</v>
      </c>
      <c r="J432" s="17"/>
      <c r="K432" s="17"/>
      <c r="L432" s="113"/>
    </row>
    <row r="433" customHeight="1" spans="1:13">
      <c r="A433" s="17" t="s">
        <v>18</v>
      </c>
      <c r="B433" s="17" t="s">
        <v>469</v>
      </c>
      <c r="C433" s="17" t="s">
        <v>471</v>
      </c>
      <c r="D433" s="17">
        <v>17.042</v>
      </c>
      <c r="E433" s="17">
        <v>5550</v>
      </c>
      <c r="F433" s="25">
        <f t="shared" si="52"/>
        <v>94583.1</v>
      </c>
      <c r="G433" s="18">
        <v>94583.1</v>
      </c>
      <c r="H433" s="18">
        <f t="shared" si="51"/>
        <v>0</v>
      </c>
      <c r="I433" s="175">
        <v>46032</v>
      </c>
      <c r="J433" s="17"/>
      <c r="K433" s="17"/>
      <c r="L433" s="113"/>
    </row>
    <row r="434" customHeight="1" spans="1:13">
      <c r="A434" s="17" t="s">
        <v>18</v>
      </c>
      <c r="B434" s="17" t="s">
        <v>469</v>
      </c>
      <c r="C434" s="17" t="s">
        <v>472</v>
      </c>
      <c r="D434" s="17">
        <v>16.5</v>
      </c>
      <c r="E434" s="17">
        <v>5680</v>
      </c>
      <c r="F434" s="25">
        <f t="shared" si="52"/>
        <v>93720</v>
      </c>
      <c r="G434" s="18">
        <v>93720</v>
      </c>
      <c r="H434" s="18">
        <f t="shared" si="51"/>
        <v>0</v>
      </c>
      <c r="I434" s="175">
        <v>46032</v>
      </c>
      <c r="J434" s="17"/>
      <c r="K434" s="17"/>
      <c r="L434" s="113"/>
    </row>
    <row r="435" hidden="1" customHeight="1" spans="1:13">
      <c r="A435" s="17" t="s">
        <v>152</v>
      </c>
      <c r="B435" s="24" t="s">
        <v>473</v>
      </c>
      <c r="C435" s="24" t="s">
        <v>474</v>
      </c>
      <c r="D435" s="24">
        <v>164.484</v>
      </c>
      <c r="E435" s="132">
        <v>8381</v>
      </c>
      <c r="F435" s="25">
        <f t="shared" si="52"/>
        <v>1378540.404</v>
      </c>
      <c r="G435" s="18">
        <f>F435*0.25+1033905.3</f>
        <v>1378540.401</v>
      </c>
      <c r="H435" s="18">
        <f t="shared" si="51"/>
        <v>0.00300000002607703</v>
      </c>
      <c r="I435" s="20">
        <v>46011</v>
      </c>
      <c r="J435" s="17" t="s">
        <v>97</v>
      </c>
      <c r="K435" s="20" t="s">
        <v>223</v>
      </c>
      <c r="L435" s="20">
        <v>46078</v>
      </c>
      <c r="M435" s="20">
        <f t="shared" ref="M435:M460" si="53">L435+60</f>
        <v>46138</v>
      </c>
    </row>
    <row r="436" hidden="1" customHeight="1" spans="1:13">
      <c r="A436" s="17" t="s">
        <v>152</v>
      </c>
      <c r="B436" s="24" t="s">
        <v>475</v>
      </c>
      <c r="C436" s="24" t="s">
        <v>476</v>
      </c>
      <c r="D436" s="24">
        <v>42.868</v>
      </c>
      <c r="E436" s="132">
        <v>7680</v>
      </c>
      <c r="F436" s="25">
        <f t="shared" si="52"/>
        <v>329226.24</v>
      </c>
      <c r="G436" s="18">
        <f>F436*0.25+246919.68</f>
        <v>329226.24</v>
      </c>
      <c r="H436" s="18">
        <f t="shared" si="51"/>
        <v>0</v>
      </c>
      <c r="I436" s="20">
        <v>46032</v>
      </c>
      <c r="J436" s="17" t="s">
        <v>477</v>
      </c>
      <c r="K436" s="20" t="s">
        <v>223</v>
      </c>
      <c r="L436" s="20">
        <v>46078</v>
      </c>
      <c r="M436" s="20">
        <f t="shared" si="53"/>
        <v>46138</v>
      </c>
    </row>
    <row r="437" hidden="1" customHeight="1" spans="1:13">
      <c r="A437" s="17" t="s">
        <v>152</v>
      </c>
      <c r="B437" s="24" t="s">
        <v>478</v>
      </c>
      <c r="C437" s="24" t="s">
        <v>476</v>
      </c>
      <c r="D437" s="24">
        <v>26.856</v>
      </c>
      <c r="E437" s="132">
        <v>7680</v>
      </c>
      <c r="F437" s="25">
        <f t="shared" si="52"/>
        <v>206254.08</v>
      </c>
      <c r="G437" s="18">
        <f>F437*0.25+154690.56</f>
        <v>206254.08</v>
      </c>
      <c r="H437" s="18">
        <f t="shared" si="51"/>
        <v>0</v>
      </c>
      <c r="I437" s="20">
        <v>46032</v>
      </c>
      <c r="J437" s="17" t="s">
        <v>97</v>
      </c>
      <c r="K437" s="20" t="s">
        <v>223</v>
      </c>
      <c r="L437" s="20">
        <v>46078</v>
      </c>
      <c r="M437" s="20">
        <f t="shared" si="53"/>
        <v>46138</v>
      </c>
    </row>
    <row r="438" hidden="1" customHeight="1" spans="1:13">
      <c r="A438" s="17" t="s">
        <v>152</v>
      </c>
      <c r="B438" s="24" t="s">
        <v>479</v>
      </c>
      <c r="C438" s="24" t="s">
        <v>476</v>
      </c>
      <c r="D438" s="24">
        <v>26.856</v>
      </c>
      <c r="E438" s="132">
        <v>8593</v>
      </c>
      <c r="F438" s="25">
        <f t="shared" si="52"/>
        <v>230773.608</v>
      </c>
      <c r="G438" s="18">
        <f>F438*0.25+173080.21</f>
        <v>230773.612</v>
      </c>
      <c r="H438" s="18">
        <f t="shared" si="51"/>
        <v>-0.00399999998626299</v>
      </c>
      <c r="I438" s="20">
        <v>46032</v>
      </c>
      <c r="J438" s="17" t="s">
        <v>97</v>
      </c>
      <c r="K438" s="20" t="s">
        <v>223</v>
      </c>
      <c r="L438" s="20">
        <v>46078</v>
      </c>
      <c r="M438" s="20">
        <f t="shared" si="53"/>
        <v>46138</v>
      </c>
    </row>
    <row r="439" hidden="1" customHeight="1" spans="1:13">
      <c r="A439" s="17" t="s">
        <v>152</v>
      </c>
      <c r="B439" s="24" t="s">
        <v>480</v>
      </c>
      <c r="C439" s="24" t="s">
        <v>476</v>
      </c>
      <c r="D439" s="24">
        <v>79.076</v>
      </c>
      <c r="E439" s="132">
        <v>7778.3</v>
      </c>
      <c r="F439" s="25">
        <f t="shared" si="52"/>
        <v>615076.8508</v>
      </c>
      <c r="G439" s="18">
        <f>F439*0.25+461307.6381</f>
        <v>615076.8508</v>
      </c>
      <c r="H439" s="18">
        <f t="shared" si="51"/>
        <v>0</v>
      </c>
      <c r="I439" s="20">
        <v>46032</v>
      </c>
      <c r="J439" s="17" t="s">
        <v>97</v>
      </c>
      <c r="K439" s="20" t="s">
        <v>223</v>
      </c>
      <c r="L439" s="20">
        <v>46078</v>
      </c>
      <c r="M439" s="20">
        <f t="shared" si="53"/>
        <v>46138</v>
      </c>
    </row>
    <row r="440" hidden="1" customHeight="1" spans="1:13">
      <c r="A440" s="17" t="s">
        <v>152</v>
      </c>
      <c r="B440" s="24" t="s">
        <v>480</v>
      </c>
      <c r="C440" s="27" t="s">
        <v>481</v>
      </c>
      <c r="D440" s="24">
        <v>55.152</v>
      </c>
      <c r="E440" s="132">
        <v>7361.3</v>
      </c>
      <c r="F440" s="25">
        <f t="shared" si="52"/>
        <v>405990.4176</v>
      </c>
      <c r="G440" s="18">
        <f>F440*0.25+304492.8132</f>
        <v>405990.4176</v>
      </c>
      <c r="H440" s="18">
        <f t="shared" si="51"/>
        <v>0</v>
      </c>
      <c r="I440" s="20">
        <v>46037</v>
      </c>
      <c r="J440" s="17" t="s">
        <v>97</v>
      </c>
      <c r="K440" s="20" t="s">
        <v>223</v>
      </c>
      <c r="L440" s="20">
        <f>I440+45</f>
        <v>46082</v>
      </c>
      <c r="M440" s="20">
        <f t="shared" si="53"/>
        <v>46142</v>
      </c>
    </row>
    <row r="441" hidden="1" customHeight="1" spans="1:13">
      <c r="A441" s="17" t="s">
        <v>152</v>
      </c>
      <c r="B441" s="24" t="s">
        <v>482</v>
      </c>
      <c r="C441" s="24" t="s">
        <v>474</v>
      </c>
      <c r="D441" s="24">
        <f>328.148+274.14</f>
        <v>602.288</v>
      </c>
      <c r="E441" s="176">
        <v>8597.1</v>
      </c>
      <c r="F441" s="25">
        <f t="shared" si="52"/>
        <v>5177930.1648</v>
      </c>
      <c r="G441" s="18">
        <f>F441*0.25+3583447.62+300000</f>
        <v>5177930.1612</v>
      </c>
      <c r="H441" s="18">
        <f t="shared" si="51"/>
        <v>0.00360000040382147</v>
      </c>
      <c r="I441" s="20">
        <v>46073</v>
      </c>
      <c r="J441" s="17" t="s">
        <v>97</v>
      </c>
      <c r="K441" s="20" t="s">
        <v>223</v>
      </c>
      <c r="L441" s="20">
        <v>46137</v>
      </c>
      <c r="M441" s="20">
        <f t="shared" si="53"/>
        <v>46197</v>
      </c>
    </row>
    <row r="442" hidden="1" customHeight="1" spans="1:13">
      <c r="A442" s="17" t="s">
        <v>152</v>
      </c>
      <c r="B442" s="24" t="s">
        <v>483</v>
      </c>
      <c r="C442" s="24" t="s">
        <v>476</v>
      </c>
      <c r="D442" s="24">
        <v>53.41</v>
      </c>
      <c r="E442" s="132">
        <v>8519</v>
      </c>
      <c r="F442" s="25">
        <f t="shared" si="52"/>
        <v>454999.79</v>
      </c>
      <c r="G442" s="18">
        <f>F442*0.25+341249.84</f>
        <v>454999.7875</v>
      </c>
      <c r="H442" s="18">
        <f t="shared" si="51"/>
        <v>0.00249999994412065</v>
      </c>
      <c r="I442" s="20">
        <v>46063</v>
      </c>
      <c r="J442" s="17" t="s">
        <v>97</v>
      </c>
      <c r="K442" s="20" t="s">
        <v>223</v>
      </c>
      <c r="L442" s="20">
        <v>46106</v>
      </c>
      <c r="M442" s="20">
        <f t="shared" si="53"/>
        <v>46166</v>
      </c>
    </row>
    <row r="443" hidden="1" customHeight="1" spans="1:13">
      <c r="A443" s="17" t="s">
        <v>152</v>
      </c>
      <c r="B443" s="24" t="s">
        <v>484</v>
      </c>
      <c r="C443" s="24" t="s">
        <v>476</v>
      </c>
      <c r="D443" s="24">
        <v>53.712</v>
      </c>
      <c r="E443" s="132">
        <v>8884</v>
      </c>
      <c r="F443" s="25">
        <f t="shared" si="52"/>
        <v>477177.408</v>
      </c>
      <c r="G443" s="18">
        <f>F443*0.25+357883.06</f>
        <v>477177.412</v>
      </c>
      <c r="H443" s="18">
        <f t="shared" si="51"/>
        <v>-0.00399999995715916</v>
      </c>
      <c r="I443" s="20">
        <v>46063</v>
      </c>
      <c r="J443" s="17" t="s">
        <v>97</v>
      </c>
      <c r="K443" s="20" t="s">
        <v>223</v>
      </c>
      <c r="L443" s="20">
        <v>46106</v>
      </c>
      <c r="M443" s="20">
        <f t="shared" si="53"/>
        <v>46166</v>
      </c>
    </row>
    <row r="444" hidden="1" customHeight="1" spans="1:13">
      <c r="A444" s="17" t="s">
        <v>152</v>
      </c>
      <c r="B444" s="24" t="s">
        <v>485</v>
      </c>
      <c r="C444" s="24" t="s">
        <v>474</v>
      </c>
      <c r="D444" s="24">
        <v>137.07</v>
      </c>
      <c r="E444" s="132">
        <v>8548</v>
      </c>
      <c r="F444" s="25">
        <f t="shared" si="52"/>
        <v>1171674.36</v>
      </c>
      <c r="G444" s="18">
        <f>F444*0.25+878755.77</f>
        <v>1171674.36</v>
      </c>
      <c r="H444" s="18">
        <f t="shared" si="51"/>
        <v>0</v>
      </c>
      <c r="I444" s="20">
        <v>46154</v>
      </c>
      <c r="J444" s="17" t="s">
        <v>97</v>
      </c>
      <c r="K444" s="20" t="s">
        <v>223</v>
      </c>
      <c r="L444" s="20">
        <v>46167</v>
      </c>
      <c r="M444" s="20">
        <f t="shared" si="53"/>
        <v>46227</v>
      </c>
    </row>
    <row r="445" hidden="1" customHeight="1" spans="1:13">
      <c r="A445" s="17" t="s">
        <v>152</v>
      </c>
      <c r="B445" s="24" t="s">
        <v>486</v>
      </c>
      <c r="C445" s="24" t="s">
        <v>476</v>
      </c>
      <c r="D445" s="24">
        <v>53.712</v>
      </c>
      <c r="E445" s="132">
        <v>8734</v>
      </c>
      <c r="F445" s="25">
        <f t="shared" si="52"/>
        <v>469120.608</v>
      </c>
      <c r="G445" s="18">
        <f>F445*0.25+300000+51840.46</f>
        <v>469120.612</v>
      </c>
      <c r="H445" s="18">
        <f t="shared" si="51"/>
        <v>-0.00400000001536682</v>
      </c>
      <c r="I445" s="20">
        <v>46091</v>
      </c>
      <c r="J445" s="17" t="s">
        <v>97</v>
      </c>
      <c r="K445" s="20" t="s">
        <v>223</v>
      </c>
      <c r="L445" s="20">
        <v>46137</v>
      </c>
      <c r="M445" s="20">
        <f t="shared" si="53"/>
        <v>46197</v>
      </c>
    </row>
    <row r="446" hidden="1" customHeight="1" spans="1:13">
      <c r="A446" s="17" t="s">
        <v>152</v>
      </c>
      <c r="B446" s="24" t="s">
        <v>487</v>
      </c>
      <c r="C446" s="24" t="s">
        <v>476</v>
      </c>
      <c r="D446" s="24">
        <v>107.959</v>
      </c>
      <c r="E446" s="132">
        <v>8736.1</v>
      </c>
      <c r="F446" s="25">
        <f t="shared" si="52"/>
        <v>943140.6199</v>
      </c>
      <c r="G446" s="18">
        <f>F446*0.25+707355.47</f>
        <v>943140.624975</v>
      </c>
      <c r="H446" s="18">
        <f t="shared" si="51"/>
        <v>-0.00507499999366701</v>
      </c>
      <c r="I446" s="20">
        <v>46091</v>
      </c>
      <c r="J446" s="17" t="s">
        <v>97</v>
      </c>
      <c r="K446" s="20" t="s">
        <v>223</v>
      </c>
      <c r="L446" s="20">
        <v>46137</v>
      </c>
      <c r="M446" s="20">
        <f t="shared" si="53"/>
        <v>46197</v>
      </c>
    </row>
    <row r="447" hidden="1" customHeight="1" spans="1:13">
      <c r="A447" s="17" t="s">
        <v>152</v>
      </c>
      <c r="B447" s="24" t="s">
        <v>488</v>
      </c>
      <c r="C447" s="27" t="s">
        <v>481</v>
      </c>
      <c r="D447" s="24">
        <v>165.456</v>
      </c>
      <c r="E447" s="132">
        <v>8582</v>
      </c>
      <c r="F447" s="25">
        <f t="shared" si="52"/>
        <v>1419943.392</v>
      </c>
      <c r="G447" s="18">
        <f>F447*0.25+1064957.544</f>
        <v>1419943.392</v>
      </c>
      <c r="H447" s="18">
        <f t="shared" si="51"/>
        <v>0</v>
      </c>
      <c r="I447" s="20">
        <v>46145</v>
      </c>
      <c r="J447" s="17" t="s">
        <v>97</v>
      </c>
      <c r="K447" s="20" t="s">
        <v>223</v>
      </c>
      <c r="L447" s="20">
        <f t="shared" ref="L447:L452" si="54">I447+45</f>
        <v>46190</v>
      </c>
      <c r="M447" s="20">
        <f t="shared" si="53"/>
        <v>46250</v>
      </c>
    </row>
    <row r="448" hidden="1" customHeight="1" spans="1:13">
      <c r="A448" s="17" t="s">
        <v>152</v>
      </c>
      <c r="B448" s="24" t="s">
        <v>489</v>
      </c>
      <c r="C448" s="27" t="s">
        <v>481</v>
      </c>
      <c r="D448" s="24">
        <v>82.728</v>
      </c>
      <c r="E448" s="132">
        <v>8442</v>
      </c>
      <c r="F448" s="25">
        <f t="shared" si="52"/>
        <v>698389.776</v>
      </c>
      <c r="G448" s="18">
        <f>F448*0.25+523792.332</f>
        <v>698389.776</v>
      </c>
      <c r="H448" s="18">
        <f t="shared" si="51"/>
        <v>0</v>
      </c>
      <c r="I448" s="20">
        <v>46154</v>
      </c>
      <c r="J448" s="17" t="s">
        <v>97</v>
      </c>
      <c r="K448" s="20" t="s">
        <v>223</v>
      </c>
      <c r="L448" s="20">
        <f t="shared" si="54"/>
        <v>46199</v>
      </c>
      <c r="M448" s="20">
        <f t="shared" si="53"/>
        <v>46259</v>
      </c>
    </row>
    <row r="449" hidden="1" customHeight="1" spans="1:14">
      <c r="A449" s="17" t="s">
        <v>152</v>
      </c>
      <c r="B449" s="24" t="s">
        <v>490</v>
      </c>
      <c r="C449" s="24" t="s">
        <v>474</v>
      </c>
      <c r="D449" s="24">
        <v>81.531</v>
      </c>
      <c r="E449" s="132">
        <v>8660</v>
      </c>
      <c r="F449" s="25">
        <f t="shared" si="52"/>
        <v>706058.46</v>
      </c>
      <c r="G449" s="18">
        <f>F449*0.25+529543.84</f>
        <v>706058.455</v>
      </c>
      <c r="H449" s="18">
        <f t="shared" si="51"/>
        <v>0.00500000012107193</v>
      </c>
      <c r="I449" s="20">
        <v>46141</v>
      </c>
      <c r="J449" s="17" t="s">
        <v>97</v>
      </c>
      <c r="K449" s="20" t="s">
        <v>223</v>
      </c>
      <c r="L449" s="20">
        <v>46228</v>
      </c>
      <c r="M449" s="20">
        <f t="shared" si="53"/>
        <v>46288</v>
      </c>
    </row>
    <row r="450" hidden="1" customHeight="1" spans="1:14">
      <c r="A450" s="17" t="s">
        <v>152</v>
      </c>
      <c r="B450" s="24" t="s">
        <v>491</v>
      </c>
      <c r="C450" s="24" t="s">
        <v>474</v>
      </c>
      <c r="D450" s="24">
        <v>109.656</v>
      </c>
      <c r="E450" s="132">
        <v>8549</v>
      </c>
      <c r="F450" s="25">
        <f t="shared" si="52"/>
        <v>937449.144</v>
      </c>
      <c r="G450" s="18">
        <f>F450*0.25+150000+553086.85</f>
        <v>937449.136</v>
      </c>
      <c r="H450" s="18">
        <f t="shared" si="51"/>
        <v>0.00800000014714897</v>
      </c>
      <c r="I450" s="20">
        <v>46162</v>
      </c>
      <c r="J450" s="17" t="s">
        <v>97</v>
      </c>
      <c r="K450" s="20" t="s">
        <v>223</v>
      </c>
      <c r="L450" s="20">
        <v>46228</v>
      </c>
      <c r="M450" s="20">
        <f t="shared" si="53"/>
        <v>46288</v>
      </c>
    </row>
    <row r="451" hidden="1" customHeight="1" spans="1:14">
      <c r="A451" s="17" t="s">
        <v>152</v>
      </c>
      <c r="B451" s="24" t="s">
        <v>488</v>
      </c>
      <c r="C451" s="24" t="s">
        <v>476</v>
      </c>
      <c r="D451" s="24">
        <v>214.94</v>
      </c>
      <c r="E451" s="132">
        <v>8657</v>
      </c>
      <c r="F451" s="25">
        <f t="shared" si="52"/>
        <v>1860735.58</v>
      </c>
      <c r="G451" s="18">
        <f>F451*0.25+995551.686+400000</f>
        <v>1860735.581</v>
      </c>
      <c r="H451" s="18">
        <f t="shared" si="51"/>
        <v>-0.000999999931082129</v>
      </c>
      <c r="I451" s="20">
        <v>46145</v>
      </c>
      <c r="J451" s="17" t="s">
        <v>97</v>
      </c>
      <c r="K451" s="20" t="s">
        <v>223</v>
      </c>
      <c r="L451" s="20">
        <v>46228</v>
      </c>
      <c r="M451" s="20">
        <f t="shared" si="53"/>
        <v>46288</v>
      </c>
    </row>
    <row r="452" hidden="1" customHeight="1" spans="1:14">
      <c r="A452" s="17" t="s">
        <v>152</v>
      </c>
      <c r="B452" s="24" t="s">
        <v>492</v>
      </c>
      <c r="C452" s="27" t="s">
        <v>493</v>
      </c>
      <c r="D452" s="24">
        <v>27.576</v>
      </c>
      <c r="E452" s="132">
        <v>8539</v>
      </c>
      <c r="F452" s="25">
        <f t="shared" si="52"/>
        <v>235471.464</v>
      </c>
      <c r="G452" s="18">
        <f>F452*0.25+176603.598</f>
        <v>235471.464</v>
      </c>
      <c r="H452" s="18">
        <f t="shared" si="51"/>
        <v>0</v>
      </c>
      <c r="I452" s="20">
        <v>46163</v>
      </c>
      <c r="J452" s="17" t="s">
        <v>97</v>
      </c>
      <c r="K452" s="20" t="s">
        <v>223</v>
      </c>
      <c r="L452" s="20">
        <f t="shared" si="54"/>
        <v>46208</v>
      </c>
      <c r="M452" s="20">
        <f t="shared" si="53"/>
        <v>46268</v>
      </c>
    </row>
    <row r="453" hidden="1" customHeight="1" spans="1:14">
      <c r="A453" s="17" t="s">
        <v>152</v>
      </c>
      <c r="B453" s="24" t="s">
        <v>492</v>
      </c>
      <c r="C453" s="24" t="s">
        <v>474</v>
      </c>
      <c r="D453" s="24">
        <v>54.828</v>
      </c>
      <c r="E453" s="132">
        <v>8639</v>
      </c>
      <c r="F453" s="25">
        <f t="shared" si="52"/>
        <v>473659.092</v>
      </c>
      <c r="G453" s="18">
        <f>F453*0.25+355244.319</f>
        <v>473659.092</v>
      </c>
      <c r="H453" s="18">
        <f t="shared" si="51"/>
        <v>0</v>
      </c>
      <c r="I453" s="20">
        <v>46163</v>
      </c>
      <c r="J453" s="17" t="s">
        <v>97</v>
      </c>
      <c r="K453" s="20" t="s">
        <v>223</v>
      </c>
      <c r="L453" s="20">
        <v>46259</v>
      </c>
      <c r="M453" s="20">
        <f t="shared" si="53"/>
        <v>46319</v>
      </c>
    </row>
    <row r="454" hidden="1" customHeight="1" spans="1:14">
      <c r="A454" s="17" t="s">
        <v>152</v>
      </c>
      <c r="B454" s="24" t="s">
        <v>494</v>
      </c>
      <c r="C454" s="24" t="s">
        <v>476</v>
      </c>
      <c r="D454" s="24">
        <v>107.496</v>
      </c>
      <c r="E454" s="132">
        <v>8670</v>
      </c>
      <c r="F454" s="25">
        <f t="shared" si="52"/>
        <v>931990.32</v>
      </c>
      <c r="G454" s="18">
        <f>F454*0.25+698992.74</f>
        <v>931990.32</v>
      </c>
      <c r="H454" s="18">
        <f t="shared" si="51"/>
        <v>0</v>
      </c>
      <c r="I454" s="20">
        <v>46183</v>
      </c>
      <c r="J454" s="17" t="s">
        <v>97</v>
      </c>
      <c r="K454" s="20" t="s">
        <v>223</v>
      </c>
      <c r="L454" s="20">
        <v>46259</v>
      </c>
      <c r="M454" s="20">
        <f t="shared" si="53"/>
        <v>46319</v>
      </c>
    </row>
    <row r="455" hidden="1" customHeight="1" spans="1:14">
      <c r="A455" s="17" t="s">
        <v>152</v>
      </c>
      <c r="B455" s="24" t="s">
        <v>495</v>
      </c>
      <c r="C455" s="27" t="s">
        <v>496</v>
      </c>
      <c r="D455" s="24">
        <v>54.987</v>
      </c>
      <c r="E455" s="132">
        <v>9068</v>
      </c>
      <c r="F455" s="25">
        <f t="shared" si="52"/>
        <v>498622.116</v>
      </c>
      <c r="G455" s="18">
        <f>F455*0.25+373966.587</f>
        <v>498622.116</v>
      </c>
      <c r="H455" s="18">
        <f t="shared" si="51"/>
        <v>0</v>
      </c>
      <c r="I455" s="20">
        <v>46204</v>
      </c>
      <c r="J455" s="17" t="s">
        <v>97</v>
      </c>
      <c r="K455" s="20" t="s">
        <v>223</v>
      </c>
      <c r="L455" s="20">
        <f>I455+45</f>
        <v>46249</v>
      </c>
      <c r="M455" s="20">
        <f t="shared" si="53"/>
        <v>46309</v>
      </c>
    </row>
    <row r="456" hidden="1" customHeight="1" spans="1:14">
      <c r="A456" s="17" t="s">
        <v>152</v>
      </c>
      <c r="B456" s="24" t="s">
        <v>497</v>
      </c>
      <c r="C456" s="24" t="s">
        <v>474</v>
      </c>
      <c r="D456" s="24">
        <v>137.07</v>
      </c>
      <c r="E456" s="132">
        <v>9306</v>
      </c>
      <c r="F456" s="25">
        <f t="shared" si="52"/>
        <v>1275573.42</v>
      </c>
      <c r="G456" s="25">
        <f>F456*0.25+500000+408672.53+48007.5349999999</f>
        <v>1275573.42</v>
      </c>
      <c r="H456" s="18">
        <f t="shared" si="51"/>
        <v>0</v>
      </c>
      <c r="I456" s="20">
        <v>46223</v>
      </c>
      <c r="J456" s="17" t="s">
        <v>97</v>
      </c>
      <c r="K456" s="20" t="s">
        <v>223</v>
      </c>
      <c r="L456" s="20">
        <v>46290</v>
      </c>
      <c r="M456" s="20">
        <f t="shared" si="53"/>
        <v>46350</v>
      </c>
    </row>
    <row r="457" hidden="1" customHeight="1" spans="1:14">
      <c r="A457" s="17" t="s">
        <v>152</v>
      </c>
      <c r="B457" s="24" t="s">
        <v>498</v>
      </c>
      <c r="C457" s="24" t="s">
        <v>476</v>
      </c>
      <c r="D457" s="24">
        <v>107.496</v>
      </c>
      <c r="E457" s="132">
        <v>9044</v>
      </c>
      <c r="F457" s="25">
        <f t="shared" si="52"/>
        <v>972193.824</v>
      </c>
      <c r="G457" s="18">
        <f>F457*0.25+500000+229145.37</f>
        <v>972193.826</v>
      </c>
      <c r="H457" s="18">
        <f t="shared" si="51"/>
        <v>-0.0020000000949949</v>
      </c>
      <c r="I457" s="20">
        <v>46213</v>
      </c>
      <c r="J457" s="17" t="s">
        <v>97</v>
      </c>
      <c r="K457" s="20" t="s">
        <v>223</v>
      </c>
      <c r="L457" s="20">
        <v>46290</v>
      </c>
      <c r="M457" s="20">
        <f t="shared" si="53"/>
        <v>46350</v>
      </c>
    </row>
    <row r="458" hidden="1" customHeight="1" spans="1:14">
      <c r="A458" s="17" t="s">
        <v>152</v>
      </c>
      <c r="B458" s="24" t="s">
        <v>497</v>
      </c>
      <c r="C458" s="27" t="s">
        <v>493</v>
      </c>
      <c r="D458" s="24">
        <v>137.88</v>
      </c>
      <c r="E458" s="132">
        <v>9206</v>
      </c>
      <c r="F458" s="25">
        <f t="shared" si="52"/>
        <v>1269323.28</v>
      </c>
      <c r="G458" s="25">
        <f>F458*0.25+951992.46</f>
        <v>1269323.28</v>
      </c>
      <c r="H458" s="18">
        <f t="shared" si="51"/>
        <v>0</v>
      </c>
      <c r="I458" s="20">
        <v>46235</v>
      </c>
      <c r="J458" s="17" t="s">
        <v>97</v>
      </c>
      <c r="K458" s="20" t="s">
        <v>223</v>
      </c>
      <c r="L458" s="20">
        <f>I458+45</f>
        <v>46280</v>
      </c>
      <c r="M458" s="20">
        <f t="shared" si="53"/>
        <v>46340</v>
      </c>
    </row>
    <row r="459" hidden="1" customHeight="1" spans="1:14">
      <c r="A459" s="17" t="s">
        <v>152</v>
      </c>
      <c r="B459" s="24" t="s">
        <v>499</v>
      </c>
      <c r="C459" s="24" t="s">
        <v>476</v>
      </c>
      <c r="D459" s="24">
        <v>100</v>
      </c>
      <c r="E459" s="132">
        <v>7680</v>
      </c>
      <c r="F459" s="25">
        <f t="shared" si="52"/>
        <v>768000</v>
      </c>
      <c r="G459" s="25">
        <v>541466.314825</v>
      </c>
      <c r="H459" s="18">
        <f t="shared" si="51"/>
        <v>226533.685175</v>
      </c>
      <c r="I459" s="20">
        <v>46244</v>
      </c>
      <c r="J459" s="17"/>
      <c r="K459" s="20" t="s">
        <v>223</v>
      </c>
      <c r="L459" s="20">
        <v>46320</v>
      </c>
      <c r="M459" s="20">
        <f t="shared" si="53"/>
        <v>46380</v>
      </c>
    </row>
    <row r="460" hidden="1" customHeight="1" spans="1:14">
      <c r="A460" s="17" t="s">
        <v>152</v>
      </c>
      <c r="B460" s="24" t="s">
        <v>500</v>
      </c>
      <c r="C460" s="24" t="s">
        <v>474</v>
      </c>
      <c r="D460" s="24">
        <v>274.242</v>
      </c>
      <c r="E460" s="132">
        <v>9179</v>
      </c>
      <c r="F460" s="25">
        <f t="shared" si="52"/>
        <v>2517267.318</v>
      </c>
      <c r="G460" s="25">
        <f>F460*0.25</f>
        <v>629316.8295</v>
      </c>
      <c r="H460" s="18">
        <f t="shared" si="51"/>
        <v>1887950.4885</v>
      </c>
      <c r="I460" s="20">
        <v>46236</v>
      </c>
      <c r="J460" s="17" t="s">
        <v>97</v>
      </c>
      <c r="K460" s="20" t="s">
        <v>223</v>
      </c>
      <c r="L460" s="20">
        <v>46290</v>
      </c>
      <c r="M460" s="20">
        <f t="shared" si="53"/>
        <v>46350</v>
      </c>
    </row>
    <row r="461" customHeight="1" spans="1:14">
      <c r="A461" s="17" t="s">
        <v>18</v>
      </c>
      <c r="B461" s="17" t="s">
        <v>501</v>
      </c>
      <c r="C461" s="17" t="s">
        <v>242</v>
      </c>
      <c r="D461" s="17">
        <v>13.815</v>
      </c>
      <c r="E461" s="24">
        <v>6080</v>
      </c>
      <c r="F461" s="25">
        <f t="shared" si="52"/>
        <v>83995.2</v>
      </c>
      <c r="G461" s="18">
        <v>83995.2</v>
      </c>
      <c r="H461" s="18">
        <f t="shared" si="51"/>
        <v>0</v>
      </c>
      <c r="I461" s="20">
        <v>45974</v>
      </c>
      <c r="J461" s="17"/>
      <c r="K461" s="17"/>
      <c r="L461" s="113"/>
      <c r="N461" s="23"/>
    </row>
    <row r="462" customHeight="1" spans="1:14">
      <c r="A462" s="17" t="s">
        <v>18</v>
      </c>
      <c r="B462" s="17" t="s">
        <v>502</v>
      </c>
      <c r="C462" s="17" t="s">
        <v>242</v>
      </c>
      <c r="D462" s="17">
        <v>154.71</v>
      </c>
      <c r="E462" s="24">
        <v>6080</v>
      </c>
      <c r="F462" s="25">
        <f t="shared" si="52"/>
        <v>940636.8</v>
      </c>
      <c r="G462" s="18">
        <v>940636.8</v>
      </c>
      <c r="H462" s="18">
        <f t="shared" si="51"/>
        <v>0</v>
      </c>
      <c r="I462" s="20">
        <v>45974</v>
      </c>
      <c r="J462" s="17"/>
      <c r="K462" s="17"/>
      <c r="L462" s="113"/>
    </row>
    <row r="463" customHeight="1" spans="1:14">
      <c r="A463" s="17" t="s">
        <v>18</v>
      </c>
      <c r="B463" s="17" t="s">
        <v>502</v>
      </c>
      <c r="C463" s="17" t="s">
        <v>241</v>
      </c>
      <c r="D463" s="17">
        <v>93.385</v>
      </c>
      <c r="E463" s="24">
        <v>6180</v>
      </c>
      <c r="F463" s="25">
        <f t="shared" si="52"/>
        <v>577119.3</v>
      </c>
      <c r="G463" s="18">
        <f>315183.17+235742.517+26193.6130000001</f>
        <v>577119.3</v>
      </c>
      <c r="H463" s="18">
        <f t="shared" si="51"/>
        <v>0</v>
      </c>
      <c r="I463" s="20">
        <v>45974</v>
      </c>
      <c r="J463" s="17"/>
      <c r="K463" s="17"/>
      <c r="L463" s="113"/>
    </row>
    <row r="464" customHeight="1" spans="1:14">
      <c r="A464" s="17" t="s">
        <v>18</v>
      </c>
      <c r="B464" s="24" t="s">
        <v>503</v>
      </c>
      <c r="C464" s="24" t="s">
        <v>504</v>
      </c>
      <c r="D464" s="28">
        <v>59.371</v>
      </c>
      <c r="E464" s="17">
        <v>5800</v>
      </c>
      <c r="F464" s="25">
        <f t="shared" si="52"/>
        <v>344351.8</v>
      </c>
      <c r="G464" s="18">
        <v>344351.8</v>
      </c>
      <c r="H464" s="177">
        <f t="shared" si="51"/>
        <v>0</v>
      </c>
      <c r="I464" s="20">
        <v>46038</v>
      </c>
      <c r="J464" s="17" t="s">
        <v>97</v>
      </c>
      <c r="K464" s="17"/>
      <c r="L464" s="113"/>
    </row>
    <row r="465" customHeight="1" spans="1:12">
      <c r="A465" s="17" t="s">
        <v>18</v>
      </c>
      <c r="B465" s="24" t="s">
        <v>503</v>
      </c>
      <c r="C465" s="24" t="s">
        <v>505</v>
      </c>
      <c r="D465" s="28">
        <v>47.213</v>
      </c>
      <c r="E465" s="17">
        <v>5800</v>
      </c>
      <c r="F465" s="25">
        <f t="shared" si="52"/>
        <v>273835.4</v>
      </c>
      <c r="G465" s="18">
        <v>273835.4</v>
      </c>
      <c r="H465" s="177">
        <f t="shared" si="51"/>
        <v>0</v>
      </c>
      <c r="I465" s="20">
        <v>46038</v>
      </c>
      <c r="J465" s="17" t="s">
        <v>97</v>
      </c>
      <c r="K465" s="17"/>
      <c r="L465" s="113"/>
    </row>
    <row r="466" customHeight="1" spans="1:12">
      <c r="A466" s="17" t="s">
        <v>18</v>
      </c>
      <c r="B466" s="24" t="s">
        <v>506</v>
      </c>
      <c r="C466" s="24" t="s">
        <v>505</v>
      </c>
      <c r="D466" s="28">
        <v>1.244</v>
      </c>
      <c r="E466" s="17">
        <v>5800</v>
      </c>
      <c r="F466" s="25">
        <f t="shared" si="52"/>
        <v>7215.2</v>
      </c>
      <c r="G466" s="18">
        <v>7215.2</v>
      </c>
      <c r="H466" s="18">
        <f t="shared" si="51"/>
        <v>0</v>
      </c>
      <c r="I466" s="20">
        <v>46038</v>
      </c>
      <c r="J466" s="17" t="s">
        <v>97</v>
      </c>
      <c r="K466" s="17"/>
      <c r="L466" s="113"/>
    </row>
    <row r="467" customHeight="1" spans="1:12">
      <c r="A467" s="17" t="s">
        <v>18</v>
      </c>
      <c r="B467" s="24" t="s">
        <v>503</v>
      </c>
      <c r="C467" s="24" t="s">
        <v>507</v>
      </c>
      <c r="D467" s="28">
        <v>50.425</v>
      </c>
      <c r="E467" s="17">
        <v>5910</v>
      </c>
      <c r="F467" s="25">
        <f t="shared" si="52"/>
        <v>298011.75</v>
      </c>
      <c r="G467" s="18">
        <v>298011.75</v>
      </c>
      <c r="H467" s="177">
        <f t="shared" si="51"/>
        <v>0</v>
      </c>
      <c r="I467" s="20">
        <v>46038</v>
      </c>
      <c r="J467" s="17" t="s">
        <v>97</v>
      </c>
      <c r="K467" s="17"/>
      <c r="L467" s="113"/>
    </row>
    <row r="468" customHeight="1" spans="1:12">
      <c r="A468" s="17" t="s">
        <v>18</v>
      </c>
      <c r="B468" s="24" t="s">
        <v>508</v>
      </c>
      <c r="C468" s="24" t="s">
        <v>509</v>
      </c>
      <c r="D468" s="28">
        <v>26.639</v>
      </c>
      <c r="E468" s="17">
        <v>5850</v>
      </c>
      <c r="F468" s="25">
        <f t="shared" si="52"/>
        <v>155838.15</v>
      </c>
      <c r="G468" s="18">
        <v>155838.15</v>
      </c>
      <c r="H468" s="18">
        <f t="shared" si="51"/>
        <v>0</v>
      </c>
      <c r="I468" s="20">
        <v>46096</v>
      </c>
      <c r="J468" s="17" t="s">
        <v>21</v>
      </c>
      <c r="K468" s="17"/>
      <c r="L468" s="113"/>
    </row>
    <row r="469" customHeight="1" spans="1:12">
      <c r="A469" s="17" t="s">
        <v>18</v>
      </c>
      <c r="B469" s="24" t="s">
        <v>506</v>
      </c>
      <c r="C469" s="24" t="s">
        <v>509</v>
      </c>
      <c r="D469" s="28">
        <v>1.345</v>
      </c>
      <c r="E469" s="17">
        <v>5850</v>
      </c>
      <c r="F469" s="25">
        <f t="shared" si="52"/>
        <v>7868.25</v>
      </c>
      <c r="G469" s="18">
        <v>7868.25</v>
      </c>
      <c r="H469" s="18">
        <f t="shared" si="51"/>
        <v>0</v>
      </c>
      <c r="I469" s="20">
        <v>46111</v>
      </c>
      <c r="J469" s="17" t="s">
        <v>97</v>
      </c>
      <c r="K469" s="17"/>
      <c r="L469" s="113"/>
    </row>
    <row r="470" customHeight="1" spans="1:12">
      <c r="A470" s="17" t="s">
        <v>18</v>
      </c>
      <c r="B470" s="24" t="s">
        <v>506</v>
      </c>
      <c r="C470" s="24" t="s">
        <v>510</v>
      </c>
      <c r="D470" s="28">
        <v>15.671</v>
      </c>
      <c r="E470" s="17">
        <v>5650</v>
      </c>
      <c r="F470" s="25">
        <f t="shared" si="52"/>
        <v>88541.15</v>
      </c>
      <c r="G470" s="18">
        <v>88541.15</v>
      </c>
      <c r="H470" s="18">
        <f t="shared" si="51"/>
        <v>0</v>
      </c>
      <c r="I470" s="20">
        <v>46111</v>
      </c>
      <c r="J470" s="17" t="s">
        <v>97</v>
      </c>
      <c r="K470" s="17"/>
      <c r="L470" s="113"/>
    </row>
    <row r="471" customHeight="1" spans="1:12">
      <c r="A471" s="17" t="s">
        <v>18</v>
      </c>
      <c r="B471" s="24" t="s">
        <v>511</v>
      </c>
      <c r="C471" s="24" t="s">
        <v>510</v>
      </c>
      <c r="D471" s="28">
        <v>32.185</v>
      </c>
      <c r="E471" s="17">
        <v>5650</v>
      </c>
      <c r="F471" s="25">
        <f t="shared" si="52"/>
        <v>181845.25</v>
      </c>
      <c r="G471" s="18">
        <v>181845.25</v>
      </c>
      <c r="H471" s="18">
        <f t="shared" si="51"/>
        <v>0</v>
      </c>
      <c r="I471" s="20">
        <v>46038</v>
      </c>
      <c r="J471" s="17" t="s">
        <v>97</v>
      </c>
      <c r="K471" s="17"/>
      <c r="L471" s="113"/>
    </row>
    <row r="472" customHeight="1" spans="1:12">
      <c r="A472" s="17" t="s">
        <v>18</v>
      </c>
      <c r="B472" s="24" t="s">
        <v>503</v>
      </c>
      <c r="C472" s="24" t="s">
        <v>512</v>
      </c>
      <c r="D472" s="28">
        <v>107.273</v>
      </c>
      <c r="E472" s="17">
        <v>5640</v>
      </c>
      <c r="F472" s="25">
        <f t="shared" si="52"/>
        <v>605019.72</v>
      </c>
      <c r="G472" s="18">
        <f>60912+27305.04+155778.71+361023.97</f>
        <v>605019.72</v>
      </c>
      <c r="H472" s="177">
        <f t="shared" si="51"/>
        <v>0</v>
      </c>
      <c r="I472" s="20">
        <v>46038</v>
      </c>
      <c r="J472" s="17" t="s">
        <v>97</v>
      </c>
      <c r="K472" s="17"/>
      <c r="L472" s="113"/>
    </row>
    <row r="473" hidden="1" customHeight="1" spans="1:12">
      <c r="A473" s="17" t="s">
        <v>116</v>
      </c>
      <c r="B473" s="17" t="s">
        <v>513</v>
      </c>
      <c r="C473" s="24" t="s">
        <v>118</v>
      </c>
      <c r="D473" s="17">
        <v>1960400</v>
      </c>
      <c r="E473" s="17">
        <v>0.01818</v>
      </c>
      <c r="F473" s="178">
        <f t="shared" si="52"/>
        <v>35640.072</v>
      </c>
      <c r="G473" s="179">
        <f>7128.01+28512.062</f>
        <v>35640.072</v>
      </c>
      <c r="H473" s="179">
        <f t="shared" si="51"/>
        <v>0</v>
      </c>
      <c r="I473" s="20">
        <v>46013</v>
      </c>
      <c r="J473" s="17" t="s">
        <v>21</v>
      </c>
      <c r="K473" s="113"/>
      <c r="L473" s="113"/>
    </row>
    <row r="474" hidden="1" customHeight="1" spans="1:12">
      <c r="A474" s="17" t="s">
        <v>164</v>
      </c>
      <c r="B474" s="17" t="s">
        <v>514</v>
      </c>
      <c r="C474" s="17" t="s">
        <v>170</v>
      </c>
      <c r="D474" s="17">
        <v>1160000</v>
      </c>
      <c r="E474" s="17">
        <v>0.15244</v>
      </c>
      <c r="F474" s="25">
        <f t="shared" si="52"/>
        <v>176830.4</v>
      </c>
      <c r="G474" s="18">
        <v>176830.4</v>
      </c>
      <c r="H474" s="18">
        <f t="shared" si="51"/>
        <v>0</v>
      </c>
      <c r="I474" s="41">
        <v>46114</v>
      </c>
      <c r="J474" s="17"/>
      <c r="K474" s="113"/>
      <c r="L474" s="113"/>
    </row>
    <row r="475" hidden="1" customHeight="1" spans="1:12">
      <c r="A475" s="17" t="s">
        <v>164</v>
      </c>
      <c r="B475" s="17" t="s">
        <v>515</v>
      </c>
      <c r="C475" s="17" t="s">
        <v>170</v>
      </c>
      <c r="D475" s="17">
        <v>1160000</v>
      </c>
      <c r="E475" s="17">
        <v>0.15244</v>
      </c>
      <c r="F475" s="25">
        <f t="shared" si="52"/>
        <v>176830.4</v>
      </c>
      <c r="G475" s="18">
        <v>176830.4</v>
      </c>
      <c r="H475" s="18">
        <f t="shared" si="51"/>
        <v>0</v>
      </c>
      <c r="I475" s="41">
        <v>46155</v>
      </c>
      <c r="J475" s="17"/>
      <c r="K475" s="113"/>
      <c r="L475" s="113"/>
    </row>
    <row r="476" customHeight="1" spans="1:12">
      <c r="A476" s="17" t="s">
        <v>18</v>
      </c>
      <c r="B476" s="24" t="s">
        <v>516</v>
      </c>
      <c r="C476" s="24" t="s">
        <v>250</v>
      </c>
      <c r="D476" s="180">
        <v>44.07</v>
      </c>
      <c r="E476" s="17">
        <v>5890</v>
      </c>
      <c r="F476" s="25">
        <f t="shared" si="52"/>
        <v>259572.3</v>
      </c>
      <c r="G476" s="18">
        <f>88350+171222.3</f>
        <v>259572.3</v>
      </c>
      <c r="H476" s="177">
        <f t="shared" si="51"/>
        <v>0</v>
      </c>
      <c r="I476" s="20">
        <v>46043</v>
      </c>
      <c r="J476" s="17" t="s">
        <v>97</v>
      </c>
      <c r="K476" s="17"/>
      <c r="L476" s="113"/>
    </row>
    <row r="477" customHeight="1" spans="1:12">
      <c r="A477" s="17" t="s">
        <v>18</v>
      </c>
      <c r="B477" s="24" t="s">
        <v>516</v>
      </c>
      <c r="C477" s="24" t="s">
        <v>517</v>
      </c>
      <c r="D477" s="180">
        <v>62.984</v>
      </c>
      <c r="E477" s="17">
        <v>5970</v>
      </c>
      <c r="F477" s="25">
        <f t="shared" si="52"/>
        <v>376014.48</v>
      </c>
      <c r="G477" s="18">
        <f>59700+316314.48</f>
        <v>376014.48</v>
      </c>
      <c r="H477" s="177">
        <f t="shared" si="51"/>
        <v>0</v>
      </c>
      <c r="I477" s="20">
        <v>46043</v>
      </c>
      <c r="J477" s="17" t="s">
        <v>97</v>
      </c>
      <c r="K477" s="17"/>
      <c r="L477" s="113"/>
    </row>
    <row r="478" customHeight="1" spans="1:12">
      <c r="A478" s="17" t="s">
        <v>18</v>
      </c>
      <c r="B478" s="24" t="s">
        <v>518</v>
      </c>
      <c r="C478" s="24" t="s">
        <v>250</v>
      </c>
      <c r="D478" s="17">
        <v>96.04</v>
      </c>
      <c r="E478" s="17">
        <v>5890</v>
      </c>
      <c r="F478" s="25">
        <f t="shared" si="52"/>
        <v>565675.6</v>
      </c>
      <c r="G478" s="18">
        <v>565675.6</v>
      </c>
      <c r="H478" s="18">
        <f t="shared" si="51"/>
        <v>0</v>
      </c>
      <c r="I478" s="20">
        <v>46084</v>
      </c>
      <c r="J478" s="17" t="s">
        <v>97</v>
      </c>
      <c r="K478" s="17"/>
      <c r="L478" s="113"/>
    </row>
    <row r="479" customHeight="1" spans="1:12">
      <c r="A479" s="17" t="s">
        <v>18</v>
      </c>
      <c r="B479" s="24" t="s">
        <v>518</v>
      </c>
      <c r="C479" s="24" t="s">
        <v>517</v>
      </c>
      <c r="D479" s="17">
        <v>37.755</v>
      </c>
      <c r="E479" s="17">
        <v>5970</v>
      </c>
      <c r="F479" s="25">
        <f t="shared" si="52"/>
        <v>225397.35</v>
      </c>
      <c r="G479" s="18">
        <v>225397.35</v>
      </c>
      <c r="H479" s="18">
        <f t="shared" si="51"/>
        <v>0</v>
      </c>
      <c r="I479" s="20">
        <v>46084</v>
      </c>
      <c r="J479" s="17" t="s">
        <v>97</v>
      </c>
      <c r="K479" s="17"/>
      <c r="L479" s="113"/>
    </row>
    <row r="480" customHeight="1" spans="1:12">
      <c r="A480" s="17" t="s">
        <v>18</v>
      </c>
      <c r="B480" s="24" t="s">
        <v>519</v>
      </c>
      <c r="C480" s="17" t="s">
        <v>242</v>
      </c>
      <c r="D480" s="17">
        <v>104.492</v>
      </c>
      <c r="E480" s="17">
        <v>5890</v>
      </c>
      <c r="F480" s="25">
        <f>D480*E480*0.1</f>
        <v>61545.788</v>
      </c>
      <c r="G480" s="18">
        <f>63612-2066.212</f>
        <v>61545.788</v>
      </c>
      <c r="H480" s="18">
        <f t="shared" si="51"/>
        <v>0</v>
      </c>
      <c r="I480" s="20">
        <v>45996</v>
      </c>
      <c r="J480" s="17" t="s">
        <v>21</v>
      </c>
      <c r="K480" s="17" t="s">
        <v>520</v>
      </c>
      <c r="L480" s="113"/>
    </row>
    <row r="481" customHeight="1" spans="1:12">
      <c r="A481" s="17" t="s">
        <v>18</v>
      </c>
      <c r="B481" s="24" t="s">
        <v>519</v>
      </c>
      <c r="C481" s="17" t="s">
        <v>242</v>
      </c>
      <c r="D481" s="17">
        <v>104.492</v>
      </c>
      <c r="E481" s="17">
        <v>5890</v>
      </c>
      <c r="F481" s="25">
        <f>D481*E481*0.9</f>
        <v>553912.092</v>
      </c>
      <c r="G481" s="18">
        <f>155108.66+2066.212+396737.22</f>
        <v>553912.092</v>
      </c>
      <c r="H481" s="18">
        <f t="shared" si="51"/>
        <v>0</v>
      </c>
      <c r="I481" s="20">
        <v>46091</v>
      </c>
      <c r="J481" s="17" t="s">
        <v>21</v>
      </c>
      <c r="K481" s="17" t="s">
        <v>520</v>
      </c>
      <c r="L481" s="113"/>
    </row>
    <row r="482" customHeight="1" spans="1:12">
      <c r="A482" s="17" t="s">
        <v>18</v>
      </c>
      <c r="B482" s="24" t="s">
        <v>521</v>
      </c>
      <c r="C482" s="17" t="s">
        <v>241</v>
      </c>
      <c r="D482" s="17">
        <v>4.32</v>
      </c>
      <c r="E482" s="17">
        <v>5890</v>
      </c>
      <c r="F482" s="25">
        <f>D482*E482</f>
        <v>25444.8</v>
      </c>
      <c r="G482" s="18">
        <f>2544.47999999999+22900.3199999999</f>
        <v>25444.7999999999</v>
      </c>
      <c r="H482" s="18">
        <f t="shared" si="51"/>
        <v>1.12777343019843e-10</v>
      </c>
      <c r="I482" s="20">
        <v>46041</v>
      </c>
      <c r="J482" s="17" t="s">
        <v>97</v>
      </c>
      <c r="K482" s="17" t="s">
        <v>520</v>
      </c>
      <c r="L482" s="113"/>
    </row>
    <row r="483" customHeight="1" spans="1:12">
      <c r="A483" s="17" t="s">
        <v>18</v>
      </c>
      <c r="B483" s="24" t="s">
        <v>522</v>
      </c>
      <c r="C483" s="17" t="s">
        <v>241</v>
      </c>
      <c r="D483" s="17">
        <v>107.034</v>
      </c>
      <c r="E483" s="17">
        <v>5890</v>
      </c>
      <c r="F483" s="25">
        <f>D483*E483*0.1</f>
        <v>63043.026</v>
      </c>
      <c r="G483" s="18">
        <f>63612+1975.50599999999-2544.47999999999</f>
        <v>63043.026</v>
      </c>
      <c r="H483" s="18">
        <f t="shared" si="51"/>
        <v>0</v>
      </c>
      <c r="I483" s="20">
        <v>45996</v>
      </c>
      <c r="J483" s="17" t="s">
        <v>97</v>
      </c>
      <c r="K483" s="17" t="s">
        <v>520</v>
      </c>
      <c r="L483" s="113"/>
    </row>
    <row r="484" customHeight="1" spans="1:12">
      <c r="A484" s="17" t="s">
        <v>18</v>
      </c>
      <c r="B484" s="24" t="s">
        <v>522</v>
      </c>
      <c r="C484" s="17" t="s">
        <v>241</v>
      </c>
      <c r="D484" s="17">
        <v>107.034</v>
      </c>
      <c r="E484" s="17">
        <v>5890</v>
      </c>
      <c r="F484" s="181">
        <f>D484*E484*0.9</f>
        <v>567387.234</v>
      </c>
      <c r="G484" s="18">
        <f>590287.554-22900.3199999999</f>
        <v>567387.234</v>
      </c>
      <c r="H484" s="18">
        <f t="shared" si="51"/>
        <v>0</v>
      </c>
      <c r="I484" s="20">
        <v>46041</v>
      </c>
      <c r="J484" s="17" t="s">
        <v>97</v>
      </c>
      <c r="K484" s="17" t="s">
        <v>520</v>
      </c>
      <c r="L484" s="113"/>
    </row>
    <row r="485" hidden="1" customHeight="1" spans="1:12">
      <c r="A485" s="73" t="s">
        <v>302</v>
      </c>
      <c r="B485" s="70" t="s">
        <v>397</v>
      </c>
      <c r="C485" s="120" t="s">
        <v>398</v>
      </c>
      <c r="D485" s="117">
        <v>14.735</v>
      </c>
      <c r="E485" s="182">
        <v>2449</v>
      </c>
      <c r="F485" s="168">
        <f>D485*E485</f>
        <v>36086.015</v>
      </c>
      <c r="G485" s="52">
        <f>35150.23+935.784999999996</f>
        <v>36086.015</v>
      </c>
      <c r="H485" s="52">
        <f t="shared" si="51"/>
        <v>0</v>
      </c>
      <c r="I485" s="85">
        <v>46021</v>
      </c>
      <c r="J485" s="96" t="s">
        <v>21</v>
      </c>
      <c r="K485" s="109"/>
      <c r="L485" s="112"/>
    </row>
    <row r="486" hidden="1" customHeight="1" spans="1:12">
      <c r="A486" s="73" t="s">
        <v>302</v>
      </c>
      <c r="B486" s="183" t="s">
        <v>356</v>
      </c>
      <c r="C486" s="17" t="s">
        <v>523</v>
      </c>
      <c r="D486" s="17">
        <v>17.896</v>
      </c>
      <c r="E486" s="17">
        <v>1877.76</v>
      </c>
      <c r="F486" s="18">
        <v>33604.39296</v>
      </c>
      <c r="G486" s="52">
        <v>33604.39296</v>
      </c>
      <c r="H486" s="52">
        <f t="shared" si="51"/>
        <v>0</v>
      </c>
      <c r="I486" s="20">
        <v>46004</v>
      </c>
      <c r="J486" s="96" t="s">
        <v>21</v>
      </c>
      <c r="K486" s="150"/>
      <c r="L486" s="113"/>
    </row>
    <row r="487" hidden="1" customHeight="1" spans="1:12">
      <c r="A487" s="73" t="s">
        <v>302</v>
      </c>
      <c r="B487" s="183" t="s">
        <v>356</v>
      </c>
      <c r="C487" s="17" t="s">
        <v>524</v>
      </c>
      <c r="D487" s="17">
        <v>6.061</v>
      </c>
      <c r="E487" s="17">
        <v>2193.87755102041</v>
      </c>
      <c r="F487" s="18">
        <v>13297.0918367347</v>
      </c>
      <c r="G487" s="52">
        <v>13297.0918367347</v>
      </c>
      <c r="H487" s="52">
        <f t="shared" si="51"/>
        <v>0</v>
      </c>
      <c r="I487" s="20">
        <v>46004</v>
      </c>
      <c r="J487" s="96" t="s">
        <v>21</v>
      </c>
      <c r="K487" s="150"/>
      <c r="L487" s="113"/>
    </row>
    <row r="488" hidden="1" customHeight="1" spans="1:12">
      <c r="A488" s="73" t="s">
        <v>302</v>
      </c>
      <c r="B488" s="183" t="s">
        <v>356</v>
      </c>
      <c r="C488" s="17" t="s">
        <v>525</v>
      </c>
      <c r="D488" s="17">
        <v>19.749</v>
      </c>
      <c r="E488" s="17">
        <v>2346.9387755102</v>
      </c>
      <c r="F488" s="18">
        <v>46349.6938775509</v>
      </c>
      <c r="G488" s="52">
        <v>46349.6938775509</v>
      </c>
      <c r="H488" s="52">
        <f t="shared" si="51"/>
        <v>0</v>
      </c>
      <c r="I488" s="20">
        <v>46004</v>
      </c>
      <c r="J488" s="96" t="s">
        <v>21</v>
      </c>
      <c r="K488" s="150"/>
      <c r="L488" s="113"/>
    </row>
    <row r="489" hidden="1" customHeight="1" spans="1:12">
      <c r="A489" s="73" t="s">
        <v>302</v>
      </c>
      <c r="B489" s="183" t="s">
        <v>356</v>
      </c>
      <c r="C489" s="17" t="s">
        <v>526</v>
      </c>
      <c r="D489" s="17">
        <v>9.535</v>
      </c>
      <c r="E489" s="17">
        <v>2040.81632653061</v>
      </c>
      <c r="F489" s="18">
        <v>19459.1836734694</v>
      </c>
      <c r="G489" s="18">
        <v>19459.1836734694</v>
      </c>
      <c r="H489" s="18">
        <f t="shared" ref="H489:H552" si="55">F489-G489</f>
        <v>0</v>
      </c>
      <c r="I489" s="20">
        <v>46004</v>
      </c>
      <c r="J489" s="96" t="s">
        <v>21</v>
      </c>
      <c r="K489" s="150"/>
      <c r="L489" s="113"/>
    </row>
    <row r="490" customHeight="1" spans="1:12">
      <c r="A490" s="17" t="s">
        <v>18</v>
      </c>
      <c r="B490" s="24" t="s">
        <v>527</v>
      </c>
      <c r="C490" s="24" t="s">
        <v>528</v>
      </c>
      <c r="D490" s="17">
        <v>986000</v>
      </c>
      <c r="E490" s="166">
        <v>0.2329</v>
      </c>
      <c r="F490" s="25">
        <f>D490*E490</f>
        <v>229639.4</v>
      </c>
      <c r="G490" s="18">
        <f>270164-40524.6+40524.6-31697.45-8827.14999999999</f>
        <v>229639.4</v>
      </c>
      <c r="H490" s="18">
        <f t="shared" si="55"/>
        <v>0</v>
      </c>
      <c r="I490" s="20">
        <v>46033</v>
      </c>
      <c r="J490" s="17" t="s">
        <v>97</v>
      </c>
      <c r="K490" s="17" t="s">
        <v>223</v>
      </c>
      <c r="L490" s="113"/>
    </row>
    <row r="491" customHeight="1" spans="1:12">
      <c r="A491" s="17" t="s">
        <v>18</v>
      </c>
      <c r="B491" s="24" t="s">
        <v>529</v>
      </c>
      <c r="C491" s="24" t="s">
        <v>528</v>
      </c>
      <c r="D491" s="17">
        <v>1160000</v>
      </c>
      <c r="E491" s="166">
        <v>0.2329</v>
      </c>
      <c r="F491" s="25">
        <f>D491*E491</f>
        <v>270164</v>
      </c>
      <c r="G491" s="18">
        <f>531012-270164+9316</f>
        <v>270164</v>
      </c>
      <c r="H491" s="146">
        <f t="shared" si="55"/>
        <v>0</v>
      </c>
      <c r="I491" s="20">
        <v>46033</v>
      </c>
      <c r="J491" s="17" t="s">
        <v>97</v>
      </c>
      <c r="K491" s="17" t="s">
        <v>223</v>
      </c>
      <c r="L491" s="113"/>
    </row>
    <row r="492" customHeight="1" spans="1:12">
      <c r="A492" s="17" t="s">
        <v>18</v>
      </c>
      <c r="B492" s="24" t="s">
        <v>530</v>
      </c>
      <c r="C492" s="24" t="s">
        <v>531</v>
      </c>
      <c r="D492" s="17">
        <v>9.718</v>
      </c>
      <c r="E492" s="17">
        <v>5245</v>
      </c>
      <c r="F492" s="25">
        <f t="shared" ref="F492:F496" si="56">D492*E492*0.1</f>
        <v>5097.091</v>
      </c>
      <c r="G492" s="18">
        <f>5245-147.909</f>
        <v>5097.091</v>
      </c>
      <c r="H492" s="18">
        <f t="shared" si="55"/>
        <v>0</v>
      </c>
      <c r="I492" s="20">
        <v>46007</v>
      </c>
      <c r="J492" s="17" t="s">
        <v>97</v>
      </c>
      <c r="K492" s="17" t="s">
        <v>520</v>
      </c>
      <c r="L492" s="113"/>
    </row>
    <row r="493" customHeight="1" spans="1:12">
      <c r="A493" s="17" t="s">
        <v>18</v>
      </c>
      <c r="B493" s="24" t="s">
        <v>530</v>
      </c>
      <c r="C493" s="24" t="s">
        <v>531</v>
      </c>
      <c r="D493" s="17">
        <v>9.718</v>
      </c>
      <c r="E493" s="17">
        <v>5245</v>
      </c>
      <c r="F493" s="25">
        <f t="shared" ref="F493:F497" si="57">D493*E493*0.9</f>
        <v>45873.819</v>
      </c>
      <c r="G493" s="18">
        <f>147.909+41153.319+4572.59099999999</f>
        <v>45873.819</v>
      </c>
      <c r="H493" s="18">
        <f t="shared" si="55"/>
        <v>0</v>
      </c>
      <c r="I493" s="20">
        <v>46057</v>
      </c>
      <c r="J493" s="17" t="s">
        <v>97</v>
      </c>
      <c r="K493" s="17" t="s">
        <v>520</v>
      </c>
      <c r="L493" s="113"/>
    </row>
    <row r="494" customHeight="1" spans="1:12">
      <c r="A494" s="17" t="s">
        <v>18</v>
      </c>
      <c r="B494" s="24" t="s">
        <v>530</v>
      </c>
      <c r="C494" s="24" t="s">
        <v>532</v>
      </c>
      <c r="D494" s="17">
        <v>10.155</v>
      </c>
      <c r="E494" s="17">
        <v>5245</v>
      </c>
      <c r="F494" s="25">
        <f t="shared" si="56"/>
        <v>5326.2975</v>
      </c>
      <c r="G494" s="18">
        <f>5245+73.1677499999997+8.12975000000097</f>
        <v>5326.2975</v>
      </c>
      <c r="H494" s="18">
        <f t="shared" si="55"/>
        <v>0</v>
      </c>
      <c r="I494" s="20">
        <v>46007</v>
      </c>
      <c r="J494" s="17" t="s">
        <v>97</v>
      </c>
      <c r="K494" s="17" t="s">
        <v>520</v>
      </c>
      <c r="L494" s="113"/>
    </row>
    <row r="495" customHeight="1" spans="1:12">
      <c r="A495" s="17" t="s">
        <v>18</v>
      </c>
      <c r="B495" s="24" t="s">
        <v>530</v>
      </c>
      <c r="C495" s="24" t="s">
        <v>532</v>
      </c>
      <c r="D495" s="17">
        <v>10.155</v>
      </c>
      <c r="E495" s="17">
        <v>5245</v>
      </c>
      <c r="F495" s="25">
        <f t="shared" si="57"/>
        <v>47936.6775</v>
      </c>
      <c r="G495" s="18">
        <f>43143.0097+4793.667755</f>
        <v>47936.677455</v>
      </c>
      <c r="H495" s="18">
        <f t="shared" si="55"/>
        <v>4.49999934062362e-5</v>
      </c>
      <c r="I495" s="20">
        <v>46057</v>
      </c>
      <c r="J495" s="17" t="s">
        <v>97</v>
      </c>
      <c r="K495" s="17" t="s">
        <v>520</v>
      </c>
      <c r="L495" s="113"/>
    </row>
    <row r="496" customHeight="1" spans="1:12">
      <c r="A496" s="17" t="s">
        <v>18</v>
      </c>
      <c r="B496" s="24" t="s">
        <v>533</v>
      </c>
      <c r="C496" s="17" t="s">
        <v>534</v>
      </c>
      <c r="D496" s="17">
        <v>98.182</v>
      </c>
      <c r="E496" s="17">
        <v>5990</v>
      </c>
      <c r="F496" s="25">
        <f t="shared" si="56"/>
        <v>58811.018</v>
      </c>
      <c r="G496" s="18">
        <f>59900-1088.98199999999</f>
        <v>58811.018</v>
      </c>
      <c r="H496" s="18">
        <f t="shared" si="55"/>
        <v>0</v>
      </c>
      <c r="I496" s="20">
        <v>46010</v>
      </c>
      <c r="J496" s="17" t="s">
        <v>97</v>
      </c>
      <c r="K496" s="17" t="s">
        <v>520</v>
      </c>
      <c r="L496" s="113"/>
    </row>
    <row r="497" customHeight="1" spans="1:12">
      <c r="A497" s="17" t="s">
        <v>18</v>
      </c>
      <c r="B497" s="24" t="s">
        <v>533</v>
      </c>
      <c r="C497" s="17" t="s">
        <v>534</v>
      </c>
      <c r="D497" s="17">
        <v>98.182</v>
      </c>
      <c r="E497" s="17">
        <v>5990</v>
      </c>
      <c r="F497" s="25">
        <f t="shared" si="57"/>
        <v>529299.162</v>
      </c>
      <c r="G497" s="18">
        <f>1088.98199999999+528210.18</f>
        <v>529299.162</v>
      </c>
      <c r="H497" s="18">
        <f t="shared" si="55"/>
        <v>0</v>
      </c>
      <c r="I497" s="20">
        <v>46091</v>
      </c>
      <c r="J497" s="17" t="s">
        <v>97</v>
      </c>
      <c r="K497" s="17" t="s">
        <v>520</v>
      </c>
      <c r="L497" s="113"/>
    </row>
    <row r="498" customHeight="1" spans="1:12">
      <c r="A498" s="17" t="s">
        <v>18</v>
      </c>
      <c r="B498" s="24" t="s">
        <v>535</v>
      </c>
      <c r="C498" s="24" t="s">
        <v>536</v>
      </c>
      <c r="D498" s="17">
        <v>55.224</v>
      </c>
      <c r="E498" s="17">
        <v>5685</v>
      </c>
      <c r="F498" s="25">
        <f>D498*E498*0.1</f>
        <v>31394.844</v>
      </c>
      <c r="G498" s="18">
        <f>30699+695.844000000001</f>
        <v>31394.844</v>
      </c>
      <c r="H498" s="18">
        <f t="shared" si="55"/>
        <v>0</v>
      </c>
      <c r="I498" s="20">
        <v>46013</v>
      </c>
      <c r="J498" s="17" t="s">
        <v>97</v>
      </c>
      <c r="K498" s="17" t="s">
        <v>520</v>
      </c>
      <c r="L498" s="113"/>
    </row>
    <row r="499" customHeight="1" spans="1:12">
      <c r="A499" s="17" t="s">
        <v>18</v>
      </c>
      <c r="B499" s="24" t="s">
        <v>535</v>
      </c>
      <c r="C499" s="24" t="s">
        <v>536</v>
      </c>
      <c r="D499" s="28">
        <v>55.224</v>
      </c>
      <c r="E499" s="17">
        <v>5685</v>
      </c>
      <c r="F499" s="25">
        <f>D499*E499*0.9</f>
        <v>282553.596</v>
      </c>
      <c r="G499" s="18">
        <f>248661.9-695.844000000001+34587.54</f>
        <v>282553.596</v>
      </c>
      <c r="H499" s="18">
        <f t="shared" si="55"/>
        <v>0</v>
      </c>
      <c r="I499" s="20">
        <v>46119</v>
      </c>
      <c r="J499" s="17" t="s">
        <v>97</v>
      </c>
      <c r="K499" s="17" t="s">
        <v>520</v>
      </c>
      <c r="L499" s="113"/>
    </row>
    <row r="500" customHeight="1" spans="1:12">
      <c r="A500" s="17" t="s">
        <v>18</v>
      </c>
      <c r="B500" s="24" t="s">
        <v>537</v>
      </c>
      <c r="C500" s="24" t="s">
        <v>536</v>
      </c>
      <c r="D500" s="28">
        <v>4.896</v>
      </c>
      <c r="E500" s="17">
        <v>5685</v>
      </c>
      <c r="F500" s="25">
        <f t="shared" ref="F500:F518" si="58">D500*E500</f>
        <v>27833.76</v>
      </c>
      <c r="G500" s="18">
        <v>27833.76</v>
      </c>
      <c r="H500" s="18">
        <f t="shared" si="55"/>
        <v>0</v>
      </c>
      <c r="I500" s="20">
        <v>46181</v>
      </c>
      <c r="J500" s="17" t="s">
        <v>97</v>
      </c>
      <c r="K500" s="17" t="s">
        <v>520</v>
      </c>
      <c r="L500" s="113"/>
    </row>
    <row r="501" customHeight="1" spans="1:12">
      <c r="A501" s="17" t="s">
        <v>18</v>
      </c>
      <c r="B501" s="24" t="s">
        <v>538</v>
      </c>
      <c r="C501" s="24" t="s">
        <v>539</v>
      </c>
      <c r="D501" s="28">
        <v>50.868</v>
      </c>
      <c r="E501" s="17">
        <v>6100</v>
      </c>
      <c r="F501" s="25">
        <f t="shared" si="58"/>
        <v>310294.8</v>
      </c>
      <c r="G501" s="18">
        <f>296460+13834.8</f>
        <v>310294.8</v>
      </c>
      <c r="H501" s="18">
        <f t="shared" si="55"/>
        <v>0</v>
      </c>
      <c r="I501" s="20">
        <v>46119</v>
      </c>
      <c r="J501" s="17" t="s">
        <v>97</v>
      </c>
      <c r="K501" s="17" t="s">
        <v>223</v>
      </c>
      <c r="L501" s="113"/>
    </row>
    <row r="502" customHeight="1" spans="1:12">
      <c r="A502" s="17" t="s">
        <v>18</v>
      </c>
      <c r="B502" s="24" t="s">
        <v>538</v>
      </c>
      <c r="C502" s="24" t="s">
        <v>540</v>
      </c>
      <c r="D502" s="28">
        <v>27.442</v>
      </c>
      <c r="E502" s="17">
        <v>5750</v>
      </c>
      <c r="F502" s="25">
        <f t="shared" si="58"/>
        <v>157791.5</v>
      </c>
      <c r="G502" s="18">
        <f>139725+18066.5</f>
        <v>157791.5</v>
      </c>
      <c r="H502" s="18">
        <f t="shared" si="55"/>
        <v>0</v>
      </c>
      <c r="I502" s="20">
        <v>46119</v>
      </c>
      <c r="J502" s="17" t="s">
        <v>97</v>
      </c>
      <c r="K502" s="17" t="s">
        <v>223</v>
      </c>
      <c r="L502" s="113"/>
    </row>
    <row r="503" customHeight="1" spans="1:12">
      <c r="A503" s="17" t="s">
        <v>18</v>
      </c>
      <c r="B503" s="24" t="s">
        <v>541</v>
      </c>
      <c r="C503" s="24" t="s">
        <v>292</v>
      </c>
      <c r="D503" s="35">
        <v>2097600</v>
      </c>
      <c r="E503" s="28">
        <v>0.23</v>
      </c>
      <c r="F503" s="25">
        <f t="shared" si="58"/>
        <v>482448</v>
      </c>
      <c r="G503" s="18">
        <v>482448</v>
      </c>
      <c r="H503" s="18">
        <f t="shared" si="55"/>
        <v>0</v>
      </c>
      <c r="I503" s="184">
        <v>46047</v>
      </c>
      <c r="J503" s="17" t="s">
        <v>97</v>
      </c>
      <c r="K503" s="17" t="s">
        <v>542</v>
      </c>
      <c r="L503" s="17"/>
    </row>
    <row r="504" customHeight="1" spans="1:12">
      <c r="A504" s="17" t="s">
        <v>18</v>
      </c>
      <c r="B504" s="24" t="s">
        <v>543</v>
      </c>
      <c r="C504" s="24" t="s">
        <v>528</v>
      </c>
      <c r="D504" s="24">
        <v>2320000</v>
      </c>
      <c r="E504" s="166">
        <v>0.2329</v>
      </c>
      <c r="F504" s="25">
        <f t="shared" si="58"/>
        <v>540328</v>
      </c>
      <c r="G504" s="18">
        <v>540328</v>
      </c>
      <c r="H504" s="18">
        <f t="shared" si="55"/>
        <v>0</v>
      </c>
      <c r="I504" s="20">
        <v>46053</v>
      </c>
      <c r="J504" s="17" t="s">
        <v>21</v>
      </c>
      <c r="K504" s="17" t="s">
        <v>223</v>
      </c>
      <c r="L504" s="17"/>
    </row>
    <row r="505" customHeight="1" spans="1:12">
      <c r="A505" s="17" t="s">
        <v>18</v>
      </c>
      <c r="B505" s="24" t="s">
        <v>544</v>
      </c>
      <c r="C505" s="24" t="s">
        <v>545</v>
      </c>
      <c r="D505" s="24">
        <v>173130</v>
      </c>
      <c r="E505" s="166">
        <v>0.2675</v>
      </c>
      <c r="F505" s="25">
        <f t="shared" si="58"/>
        <v>46312.275</v>
      </c>
      <c r="G505" s="18">
        <f>43891.2+2421.075</f>
        <v>46312.275</v>
      </c>
      <c r="H505" s="18">
        <f t="shared" si="55"/>
        <v>0</v>
      </c>
      <c r="I505" s="20">
        <v>46053</v>
      </c>
      <c r="J505" s="17" t="s">
        <v>21</v>
      </c>
      <c r="K505" s="17" t="s">
        <v>223</v>
      </c>
      <c r="L505" s="17"/>
    </row>
    <row r="506" customHeight="1" spans="1:12">
      <c r="A506" s="17" t="s">
        <v>18</v>
      </c>
      <c r="B506" s="24" t="s">
        <v>546</v>
      </c>
      <c r="C506" s="24" t="s">
        <v>341</v>
      </c>
      <c r="D506" s="35">
        <v>696000</v>
      </c>
      <c r="E506" s="157">
        <v>0.224</v>
      </c>
      <c r="F506" s="25">
        <f t="shared" si="58"/>
        <v>155904</v>
      </c>
      <c r="G506" s="18">
        <f>140313.6+15590.4</f>
        <v>155904</v>
      </c>
      <c r="H506" s="18">
        <f t="shared" si="55"/>
        <v>0</v>
      </c>
      <c r="I506" s="20">
        <v>46112</v>
      </c>
      <c r="J506" s="17" t="s">
        <v>21</v>
      </c>
      <c r="K506" s="17" t="s">
        <v>223</v>
      </c>
      <c r="L506" s="17"/>
    </row>
    <row r="507" customHeight="1" spans="1:12">
      <c r="A507" s="17" t="s">
        <v>18</v>
      </c>
      <c r="B507" s="24" t="s">
        <v>546</v>
      </c>
      <c r="C507" s="24" t="s">
        <v>342</v>
      </c>
      <c r="D507" s="35">
        <v>601920</v>
      </c>
      <c r="E507" s="157">
        <v>0.1695</v>
      </c>
      <c r="F507" s="25">
        <f t="shared" si="58"/>
        <v>102025.44</v>
      </c>
      <c r="G507" s="18">
        <f>91822.9+10202.54</f>
        <v>102025.44</v>
      </c>
      <c r="H507" s="18">
        <f t="shared" si="55"/>
        <v>0</v>
      </c>
      <c r="I507" s="20">
        <v>46112</v>
      </c>
      <c r="J507" s="17" t="s">
        <v>21</v>
      </c>
      <c r="K507" s="17" t="s">
        <v>223</v>
      </c>
      <c r="L507" s="17"/>
    </row>
    <row r="508" hidden="1" customHeight="1" spans="1:12">
      <c r="A508" s="17" t="s">
        <v>139</v>
      </c>
      <c r="B508" s="24" t="s">
        <v>547</v>
      </c>
      <c r="C508" s="17" t="s">
        <v>424</v>
      </c>
      <c r="D508" s="28">
        <v>0.236</v>
      </c>
      <c r="E508" s="17">
        <v>5830</v>
      </c>
      <c r="F508" s="25">
        <f t="shared" si="58"/>
        <v>1375.88</v>
      </c>
      <c r="G508" s="18">
        <v>1375.88</v>
      </c>
      <c r="H508" s="18">
        <f t="shared" si="55"/>
        <v>0</v>
      </c>
      <c r="I508" s="20">
        <v>46132</v>
      </c>
      <c r="J508" s="17" t="s">
        <v>21</v>
      </c>
      <c r="K508" s="17"/>
      <c r="L508" s="17"/>
    </row>
    <row r="509" hidden="1" customHeight="1" spans="1:12">
      <c r="A509" s="17" t="s">
        <v>139</v>
      </c>
      <c r="B509" s="17" t="s">
        <v>548</v>
      </c>
      <c r="C509" s="17" t="s">
        <v>400</v>
      </c>
      <c r="D509" s="17">
        <v>12.906</v>
      </c>
      <c r="E509" s="17">
        <v>6722</v>
      </c>
      <c r="F509" s="25">
        <f t="shared" si="58"/>
        <v>86754.132</v>
      </c>
      <c r="G509" s="18">
        <v>86754.132</v>
      </c>
      <c r="H509" s="18">
        <f t="shared" si="55"/>
        <v>0</v>
      </c>
      <c r="I509" s="20">
        <v>46132</v>
      </c>
      <c r="J509" s="17" t="s">
        <v>21</v>
      </c>
      <c r="K509" s="17"/>
      <c r="L509" s="17"/>
    </row>
    <row r="510" hidden="1" customHeight="1" spans="1:12">
      <c r="A510" s="17" t="s">
        <v>139</v>
      </c>
      <c r="B510" s="17" t="s">
        <v>549</v>
      </c>
      <c r="C510" s="17" t="s">
        <v>418</v>
      </c>
      <c r="D510" s="17">
        <v>14.483</v>
      </c>
      <c r="E510" s="17">
        <v>5880</v>
      </c>
      <c r="F510" s="25">
        <f t="shared" si="58"/>
        <v>85160.04</v>
      </c>
      <c r="G510" s="18">
        <v>85160.04</v>
      </c>
      <c r="H510" s="18">
        <f t="shared" si="55"/>
        <v>0</v>
      </c>
      <c r="I510" s="20">
        <v>46132</v>
      </c>
      <c r="J510" s="17" t="s">
        <v>21</v>
      </c>
      <c r="K510" s="17"/>
      <c r="L510" s="17"/>
    </row>
    <row r="511" hidden="1" customHeight="1" spans="1:12">
      <c r="A511" s="17" t="s">
        <v>139</v>
      </c>
      <c r="B511" s="17" t="s">
        <v>548</v>
      </c>
      <c r="C511" s="17" t="s">
        <v>402</v>
      </c>
      <c r="D511" s="17">
        <v>23.407</v>
      </c>
      <c r="E511" s="17">
        <v>6722</v>
      </c>
      <c r="F511" s="25">
        <f t="shared" si="58"/>
        <v>157341.854</v>
      </c>
      <c r="G511" s="18">
        <v>157341.854</v>
      </c>
      <c r="H511" s="18">
        <f t="shared" si="55"/>
        <v>0</v>
      </c>
      <c r="I511" s="20">
        <v>46132</v>
      </c>
      <c r="J511" s="17" t="s">
        <v>21</v>
      </c>
      <c r="K511" s="17"/>
      <c r="L511" s="17"/>
    </row>
    <row r="512" hidden="1" customHeight="1" spans="1:12">
      <c r="A512" s="17" t="s">
        <v>139</v>
      </c>
      <c r="B512" s="17" t="s">
        <v>549</v>
      </c>
      <c r="C512" s="17" t="s">
        <v>421</v>
      </c>
      <c r="D512" s="17">
        <v>6.024</v>
      </c>
      <c r="E512" s="17">
        <v>5880</v>
      </c>
      <c r="F512" s="25">
        <f t="shared" si="58"/>
        <v>35421.12</v>
      </c>
      <c r="G512" s="18">
        <v>35421.12</v>
      </c>
      <c r="H512" s="18">
        <f t="shared" si="55"/>
        <v>0</v>
      </c>
      <c r="I512" s="20">
        <v>46132</v>
      </c>
      <c r="J512" s="17" t="s">
        <v>21</v>
      </c>
      <c r="K512" s="17"/>
      <c r="L512" s="17"/>
    </row>
    <row r="513" hidden="1" customHeight="1" spans="1:13">
      <c r="A513" s="17" t="s">
        <v>139</v>
      </c>
      <c r="B513" s="17" t="s">
        <v>550</v>
      </c>
      <c r="C513" s="17" t="s">
        <v>421</v>
      </c>
      <c r="D513" s="17">
        <v>25.687</v>
      </c>
      <c r="E513" s="17">
        <v>5880</v>
      </c>
      <c r="F513" s="25">
        <f t="shared" si="58"/>
        <v>151039.56</v>
      </c>
      <c r="G513" s="18">
        <v>151039.56</v>
      </c>
      <c r="H513" s="18">
        <f t="shared" si="55"/>
        <v>0</v>
      </c>
      <c r="I513" s="20">
        <v>46132</v>
      </c>
      <c r="J513" s="17" t="s">
        <v>21</v>
      </c>
      <c r="K513" s="17"/>
      <c r="L513" s="17"/>
    </row>
    <row r="514" hidden="1" customHeight="1" spans="1:13">
      <c r="A514" s="17" t="s">
        <v>139</v>
      </c>
      <c r="B514" s="17" t="s">
        <v>549</v>
      </c>
      <c r="C514" s="17" t="s">
        <v>406</v>
      </c>
      <c r="D514" s="17">
        <v>38.225</v>
      </c>
      <c r="E514" s="17">
        <v>6635</v>
      </c>
      <c r="F514" s="25">
        <f t="shared" si="58"/>
        <v>253622.875</v>
      </c>
      <c r="G514" s="18">
        <v>253622.875</v>
      </c>
      <c r="H514" s="18">
        <f t="shared" si="55"/>
        <v>0</v>
      </c>
      <c r="I514" s="20">
        <v>46132</v>
      </c>
      <c r="J514" s="17" t="s">
        <v>21</v>
      </c>
      <c r="K514" s="17"/>
      <c r="L514" s="17"/>
    </row>
    <row r="515" hidden="1" customHeight="1" spans="1:13">
      <c r="A515" s="17" t="s">
        <v>139</v>
      </c>
      <c r="B515" s="17" t="s">
        <v>551</v>
      </c>
      <c r="C515" s="17" t="s">
        <v>426</v>
      </c>
      <c r="D515" s="17">
        <f>21.195-D516</f>
        <v>4.587</v>
      </c>
      <c r="E515" s="17">
        <v>5831</v>
      </c>
      <c r="F515" s="25">
        <f t="shared" si="58"/>
        <v>26746.797</v>
      </c>
      <c r="G515" s="18">
        <v>0</v>
      </c>
      <c r="H515" s="18">
        <f t="shared" si="55"/>
        <v>26746.797</v>
      </c>
      <c r="I515" s="20">
        <v>46177</v>
      </c>
      <c r="J515" s="17" t="s">
        <v>21</v>
      </c>
      <c r="K515" s="17" t="s">
        <v>223</v>
      </c>
      <c r="L515" s="185" t="s">
        <v>552</v>
      </c>
      <c r="M515" s="186">
        <v>46361</v>
      </c>
    </row>
    <row r="516" hidden="1" customHeight="1" spans="1:13">
      <c r="A516" s="17" t="s">
        <v>139</v>
      </c>
      <c r="B516" s="17" t="s">
        <v>553</v>
      </c>
      <c r="C516" s="17" t="s">
        <v>426</v>
      </c>
      <c r="D516" s="17">
        <v>16.608</v>
      </c>
      <c r="E516" s="17">
        <v>5831</v>
      </c>
      <c r="F516" s="25">
        <f t="shared" si="58"/>
        <v>96841.248</v>
      </c>
      <c r="G516" s="18">
        <v>96841.248</v>
      </c>
      <c r="H516" s="18">
        <f t="shared" si="55"/>
        <v>0</v>
      </c>
      <c r="I516" s="20">
        <v>46177</v>
      </c>
      <c r="J516" s="17" t="s">
        <v>21</v>
      </c>
      <c r="K516" s="17"/>
      <c r="L516" s="17"/>
    </row>
    <row r="517" hidden="1" customHeight="1" spans="1:13">
      <c r="A517" s="17" t="s">
        <v>139</v>
      </c>
      <c r="B517" s="17" t="s">
        <v>554</v>
      </c>
      <c r="C517" s="17" t="s">
        <v>429</v>
      </c>
      <c r="D517" s="17">
        <v>2.378</v>
      </c>
      <c r="E517" s="17">
        <v>5831</v>
      </c>
      <c r="F517" s="25">
        <f t="shared" si="58"/>
        <v>13866.118</v>
      </c>
      <c r="G517" s="18">
        <v>13866.118</v>
      </c>
      <c r="H517" s="18">
        <f t="shared" si="55"/>
        <v>0</v>
      </c>
      <c r="I517" s="20">
        <v>46132</v>
      </c>
      <c r="J517" s="17" t="s">
        <v>21</v>
      </c>
      <c r="K517" s="17"/>
      <c r="L517" s="17"/>
    </row>
    <row r="518" hidden="1" customHeight="1" spans="1:13">
      <c r="A518" s="17" t="s">
        <v>139</v>
      </c>
      <c r="B518" s="17" t="s">
        <v>550</v>
      </c>
      <c r="C518" s="17" t="s">
        <v>429</v>
      </c>
      <c r="D518" s="17">
        <v>25.772</v>
      </c>
      <c r="E518" s="17">
        <v>5831</v>
      </c>
      <c r="F518" s="25">
        <f t="shared" si="58"/>
        <v>150276.532</v>
      </c>
      <c r="G518" s="18">
        <v>150276.532</v>
      </c>
      <c r="H518" s="18">
        <f t="shared" si="55"/>
        <v>0</v>
      </c>
      <c r="I518" s="20">
        <v>46132</v>
      </c>
      <c r="J518" s="17" t="s">
        <v>21</v>
      </c>
      <c r="K518" s="17"/>
      <c r="L518" s="17"/>
    </row>
    <row r="519" hidden="1" customHeight="1" spans="1:13">
      <c r="A519" s="17" t="s">
        <v>555</v>
      </c>
      <c r="B519" s="24" t="s">
        <v>556</v>
      </c>
      <c r="C519" s="17" t="s">
        <v>557</v>
      </c>
      <c r="D519" s="17">
        <v>48.566</v>
      </c>
      <c r="E519" s="17">
        <v>8128</v>
      </c>
      <c r="F519" s="25">
        <f>D519*E519*0.1</f>
        <v>39474.4448</v>
      </c>
      <c r="G519" s="18">
        <v>39474.4448</v>
      </c>
      <c r="H519" s="152">
        <f t="shared" si="55"/>
        <v>0</v>
      </c>
      <c r="I519" s="20">
        <v>46044</v>
      </c>
      <c r="J519" s="17" t="s">
        <v>21</v>
      </c>
      <c r="K519" s="17" t="s">
        <v>520</v>
      </c>
      <c r="L519" s="17"/>
    </row>
    <row r="520" hidden="1" customHeight="1" spans="1:13">
      <c r="A520" s="17" t="s">
        <v>555</v>
      </c>
      <c r="B520" s="24" t="s">
        <v>556</v>
      </c>
      <c r="C520" s="17" t="s">
        <v>557</v>
      </c>
      <c r="D520" s="17">
        <v>48.566</v>
      </c>
      <c r="E520" s="17">
        <v>8128</v>
      </c>
      <c r="F520" s="25">
        <f>D520*E520*0.9</f>
        <v>355270.0032</v>
      </c>
      <c r="G520" s="18">
        <v>355270.0032</v>
      </c>
      <c r="H520" s="18">
        <f t="shared" si="55"/>
        <v>0</v>
      </c>
      <c r="I520" s="20">
        <v>46091</v>
      </c>
      <c r="J520" s="17" t="s">
        <v>21</v>
      </c>
      <c r="K520" s="17" t="s">
        <v>520</v>
      </c>
      <c r="L520" s="17"/>
    </row>
    <row r="521" customHeight="1" spans="1:13">
      <c r="A521" s="17" t="s">
        <v>18</v>
      </c>
      <c r="B521" s="24" t="s">
        <v>558</v>
      </c>
      <c r="C521" s="17" t="s">
        <v>559</v>
      </c>
      <c r="D521" s="17">
        <v>27.615</v>
      </c>
      <c r="E521" s="17">
        <v>5440</v>
      </c>
      <c r="F521" s="25">
        <f t="shared" ref="F521:F584" si="59">D521*E521</f>
        <v>150225.6</v>
      </c>
      <c r="G521" s="18">
        <v>150225.6</v>
      </c>
      <c r="H521" s="18">
        <f t="shared" si="55"/>
        <v>0</v>
      </c>
      <c r="I521" s="20">
        <v>46142</v>
      </c>
      <c r="J521" s="17" t="s">
        <v>21</v>
      </c>
      <c r="K521" s="17" t="s">
        <v>520</v>
      </c>
      <c r="L521" s="17"/>
    </row>
    <row r="522" customHeight="1" spans="1:13">
      <c r="A522" s="17" t="s">
        <v>18</v>
      </c>
      <c r="B522" s="24" t="s">
        <v>558</v>
      </c>
      <c r="C522" s="17" t="s">
        <v>559</v>
      </c>
      <c r="D522" s="17">
        <v>3.082</v>
      </c>
      <c r="E522" s="17">
        <v>5440</v>
      </c>
      <c r="F522" s="25">
        <f t="shared" si="59"/>
        <v>16766.08</v>
      </c>
      <c r="G522" s="18">
        <v>16766.08</v>
      </c>
      <c r="H522" s="18">
        <f t="shared" si="55"/>
        <v>0</v>
      </c>
      <c r="I522" s="20">
        <v>46142</v>
      </c>
      <c r="J522" s="17" t="s">
        <v>560</v>
      </c>
      <c r="K522" s="17" t="s">
        <v>520</v>
      </c>
      <c r="L522" s="17"/>
    </row>
    <row r="523" hidden="1" customHeight="1" spans="1:13">
      <c r="A523" s="17" t="s">
        <v>164</v>
      </c>
      <c r="B523" s="24" t="s">
        <v>561</v>
      </c>
      <c r="C523" s="24" t="s">
        <v>166</v>
      </c>
      <c r="D523" s="17">
        <v>1960400</v>
      </c>
      <c r="E523" s="17">
        <v>0.123</v>
      </c>
      <c r="F523" s="25">
        <f t="shared" si="59"/>
        <v>241129.2</v>
      </c>
      <c r="G523" s="18">
        <v>241129.2</v>
      </c>
      <c r="H523" s="18">
        <f t="shared" si="55"/>
        <v>0</v>
      </c>
      <c r="I523" s="20">
        <v>46049</v>
      </c>
      <c r="J523" s="17" t="s">
        <v>21</v>
      </c>
      <c r="K523" s="17"/>
      <c r="L523" s="17"/>
    </row>
    <row r="524" customHeight="1" spans="1:13">
      <c r="A524" s="17" t="s">
        <v>18</v>
      </c>
      <c r="B524" s="24" t="s">
        <v>562</v>
      </c>
      <c r="C524" s="24" t="s">
        <v>563</v>
      </c>
      <c r="D524" s="28">
        <v>7.595</v>
      </c>
      <c r="E524" s="17">
        <v>5740</v>
      </c>
      <c r="F524" s="25">
        <f t="shared" si="59"/>
        <v>43595.3</v>
      </c>
      <c r="G524" s="18">
        <v>43595.3</v>
      </c>
      <c r="H524" s="18">
        <f t="shared" si="55"/>
        <v>0</v>
      </c>
      <c r="I524" s="20">
        <v>46132</v>
      </c>
      <c r="J524" s="17" t="s">
        <v>21</v>
      </c>
      <c r="K524" s="17" t="s">
        <v>223</v>
      </c>
      <c r="L524" s="17"/>
    </row>
    <row r="525" customHeight="1" spans="1:13">
      <c r="A525" s="17" t="s">
        <v>18</v>
      </c>
      <c r="B525" s="24" t="s">
        <v>562</v>
      </c>
      <c r="C525" s="24" t="s">
        <v>564</v>
      </c>
      <c r="D525" s="28">
        <v>13.928</v>
      </c>
      <c r="E525" s="17">
        <v>5920</v>
      </c>
      <c r="F525" s="25">
        <f t="shared" si="59"/>
        <v>82453.76</v>
      </c>
      <c r="G525" s="18">
        <f>81400+1053.75999999999</f>
        <v>82453.76</v>
      </c>
      <c r="H525" s="18">
        <f t="shared" si="55"/>
        <v>0</v>
      </c>
      <c r="I525" s="20">
        <v>46132</v>
      </c>
      <c r="J525" s="17" t="s">
        <v>21</v>
      </c>
      <c r="K525" s="17" t="s">
        <v>223</v>
      </c>
      <c r="L525" s="17"/>
    </row>
    <row r="526" customHeight="1" spans="1:13">
      <c r="A526" s="17" t="s">
        <v>18</v>
      </c>
      <c r="B526" s="24" t="s">
        <v>565</v>
      </c>
      <c r="C526" s="24" t="s">
        <v>566</v>
      </c>
      <c r="D526" s="28">
        <v>55.008</v>
      </c>
      <c r="E526" s="17">
        <v>5740</v>
      </c>
      <c r="F526" s="25">
        <f t="shared" si="59"/>
        <v>315745.92</v>
      </c>
      <c r="G526" s="18">
        <f>315700+45.9199999999837</f>
        <v>315745.92</v>
      </c>
      <c r="H526" s="18">
        <f t="shared" si="55"/>
        <v>0</v>
      </c>
      <c r="I526" s="20">
        <v>46132</v>
      </c>
      <c r="J526" s="17" t="s">
        <v>21</v>
      </c>
      <c r="K526" s="17" t="s">
        <v>223</v>
      </c>
      <c r="L526" s="17"/>
    </row>
    <row r="527" customHeight="1" spans="1:13">
      <c r="A527" s="17" t="s">
        <v>18</v>
      </c>
      <c r="B527" s="24" t="s">
        <v>562</v>
      </c>
      <c r="C527" s="24" t="s">
        <v>567</v>
      </c>
      <c r="D527" s="28">
        <v>10.626</v>
      </c>
      <c r="E527" s="17">
        <v>5670</v>
      </c>
      <c r="F527" s="25">
        <f t="shared" si="59"/>
        <v>60249.42</v>
      </c>
      <c r="G527" s="18">
        <f>77962.5-17713.08</f>
        <v>60249.42</v>
      </c>
      <c r="H527" s="18">
        <f t="shared" si="55"/>
        <v>0</v>
      </c>
      <c r="I527" s="20">
        <v>46132</v>
      </c>
      <c r="J527" s="17" t="s">
        <v>21</v>
      </c>
      <c r="K527" s="17" t="s">
        <v>223</v>
      </c>
      <c r="L527" s="17"/>
    </row>
    <row r="528" customHeight="1" spans="1:13">
      <c r="A528" s="17" t="s">
        <v>18</v>
      </c>
      <c r="B528" s="24" t="s">
        <v>562</v>
      </c>
      <c r="C528" s="24" t="s">
        <v>568</v>
      </c>
      <c r="D528" s="28">
        <v>14.481</v>
      </c>
      <c r="E528" s="17">
        <v>5670</v>
      </c>
      <c r="F528" s="25">
        <f t="shared" si="59"/>
        <v>82107.27</v>
      </c>
      <c r="G528" s="18">
        <f>77962.5+4144.77</f>
        <v>82107.27</v>
      </c>
      <c r="H528" s="18">
        <f t="shared" si="55"/>
        <v>0</v>
      </c>
      <c r="I528" s="20">
        <v>46132</v>
      </c>
      <c r="J528" s="17" t="s">
        <v>21</v>
      </c>
      <c r="K528" s="17" t="s">
        <v>223</v>
      </c>
      <c r="L528" s="17"/>
    </row>
    <row r="529" customHeight="1" spans="1:12">
      <c r="A529" s="17" t="s">
        <v>18</v>
      </c>
      <c r="B529" s="24" t="s">
        <v>569</v>
      </c>
      <c r="C529" s="24" t="s">
        <v>563</v>
      </c>
      <c r="D529" s="28">
        <v>27.5</v>
      </c>
      <c r="E529" s="17">
        <v>5740</v>
      </c>
      <c r="F529" s="25">
        <f t="shared" si="59"/>
        <v>157850</v>
      </c>
      <c r="G529" s="18">
        <v>0</v>
      </c>
      <c r="H529" s="18">
        <f t="shared" si="55"/>
        <v>157850</v>
      </c>
      <c r="I529" s="20">
        <v>46157</v>
      </c>
      <c r="J529" s="17"/>
      <c r="K529" s="17" t="s">
        <v>223</v>
      </c>
      <c r="L529" s="17"/>
    </row>
    <row r="530" customHeight="1" spans="1:12">
      <c r="A530" s="17" t="s">
        <v>18</v>
      </c>
      <c r="B530" s="24" t="s">
        <v>569</v>
      </c>
      <c r="C530" s="24" t="s">
        <v>564</v>
      </c>
      <c r="D530" s="28">
        <v>13.75</v>
      </c>
      <c r="E530" s="17">
        <v>5920</v>
      </c>
      <c r="F530" s="25">
        <f t="shared" si="59"/>
        <v>81400</v>
      </c>
      <c r="G530" s="18">
        <v>0</v>
      </c>
      <c r="H530" s="18">
        <f t="shared" si="55"/>
        <v>81400</v>
      </c>
      <c r="I530" s="20">
        <v>46157</v>
      </c>
      <c r="J530" s="17"/>
      <c r="K530" s="17" t="s">
        <v>223</v>
      </c>
      <c r="L530" s="17"/>
    </row>
    <row r="531" customHeight="1" spans="1:12">
      <c r="A531" s="17" t="s">
        <v>18</v>
      </c>
      <c r="B531" s="24" t="s">
        <v>570</v>
      </c>
      <c r="C531" s="24" t="s">
        <v>566</v>
      </c>
      <c r="D531" s="28">
        <v>41.256</v>
      </c>
      <c r="E531" s="17">
        <v>5740</v>
      </c>
      <c r="F531" s="25">
        <f t="shared" si="59"/>
        <v>236809.44</v>
      </c>
      <c r="G531" s="18">
        <v>236809.44</v>
      </c>
      <c r="H531" s="18">
        <f t="shared" si="55"/>
        <v>0</v>
      </c>
      <c r="I531" s="20">
        <v>46157</v>
      </c>
      <c r="J531" s="17" t="s">
        <v>21</v>
      </c>
      <c r="K531" s="17" t="s">
        <v>223</v>
      </c>
      <c r="L531" s="17"/>
    </row>
    <row r="532" customHeight="1" spans="1:12">
      <c r="A532" s="17" t="s">
        <v>18</v>
      </c>
      <c r="B532" s="24" t="s">
        <v>570</v>
      </c>
      <c r="C532" s="24" t="s">
        <v>563</v>
      </c>
      <c r="D532" s="28">
        <v>19.747</v>
      </c>
      <c r="E532" s="17">
        <v>5740</v>
      </c>
      <c r="F532" s="25">
        <f t="shared" si="59"/>
        <v>113347.78</v>
      </c>
      <c r="G532" s="18">
        <v>113347.78</v>
      </c>
      <c r="H532" s="18">
        <f t="shared" si="55"/>
        <v>0</v>
      </c>
      <c r="I532" s="20">
        <v>46188</v>
      </c>
      <c r="J532" s="17" t="s">
        <v>21</v>
      </c>
      <c r="K532" s="17" t="s">
        <v>223</v>
      </c>
      <c r="L532" s="17"/>
    </row>
    <row r="533" customHeight="1" spans="1:12">
      <c r="A533" s="17" t="s">
        <v>18</v>
      </c>
      <c r="B533" s="24" t="s">
        <v>569</v>
      </c>
      <c r="C533" s="24" t="s">
        <v>564</v>
      </c>
      <c r="D533" s="28">
        <v>13.75</v>
      </c>
      <c r="E533" s="17">
        <v>5920</v>
      </c>
      <c r="F533" s="25">
        <f t="shared" si="59"/>
        <v>81400</v>
      </c>
      <c r="G533" s="18">
        <v>0</v>
      </c>
      <c r="H533" s="18">
        <f t="shared" si="55"/>
        <v>81400</v>
      </c>
      <c r="I533" s="20">
        <v>46188</v>
      </c>
      <c r="J533" s="17"/>
      <c r="K533" s="17" t="s">
        <v>223</v>
      </c>
      <c r="L533" s="17"/>
    </row>
    <row r="534" customHeight="1" spans="1:12">
      <c r="A534" s="17" t="s">
        <v>18</v>
      </c>
      <c r="B534" s="24" t="s">
        <v>571</v>
      </c>
      <c r="C534" s="24" t="s">
        <v>566</v>
      </c>
      <c r="D534" s="28">
        <v>24.448</v>
      </c>
      <c r="E534" s="17">
        <v>5740</v>
      </c>
      <c r="F534" s="25">
        <f t="shared" si="59"/>
        <v>140331.52</v>
      </c>
      <c r="G534" s="18">
        <f>118162.18+22169.34</f>
        <v>140331.52</v>
      </c>
      <c r="H534" s="18">
        <f t="shared" si="55"/>
        <v>0</v>
      </c>
      <c r="I534" s="20">
        <v>46188</v>
      </c>
      <c r="J534" s="17" t="s">
        <v>21</v>
      </c>
      <c r="K534" s="17" t="s">
        <v>223</v>
      </c>
      <c r="L534" s="17"/>
    </row>
    <row r="535" customHeight="1" spans="1:12">
      <c r="A535" s="17" t="s">
        <v>18</v>
      </c>
      <c r="B535" s="24" t="s">
        <v>571</v>
      </c>
      <c r="C535" s="24" t="s">
        <v>567</v>
      </c>
      <c r="D535" s="28">
        <v>13.617</v>
      </c>
      <c r="E535" s="17">
        <v>5670</v>
      </c>
      <c r="F535" s="25">
        <f t="shared" si="59"/>
        <v>77208.39</v>
      </c>
      <c r="G535" s="18">
        <v>77208.39</v>
      </c>
      <c r="H535" s="18">
        <f t="shared" si="55"/>
        <v>0</v>
      </c>
      <c r="I535" s="20">
        <v>46188</v>
      </c>
      <c r="J535" s="17" t="s">
        <v>21</v>
      </c>
      <c r="K535" s="17" t="s">
        <v>223</v>
      </c>
      <c r="L535" s="17"/>
    </row>
    <row r="536" customHeight="1" spans="1:12">
      <c r="A536" s="17" t="s">
        <v>18</v>
      </c>
      <c r="B536" s="24" t="s">
        <v>570</v>
      </c>
      <c r="C536" s="24" t="s">
        <v>567</v>
      </c>
      <c r="D536" s="28">
        <v>7.59</v>
      </c>
      <c r="E536" s="17">
        <v>5670</v>
      </c>
      <c r="F536" s="25">
        <f t="shared" si="59"/>
        <v>43035.3</v>
      </c>
      <c r="G536" s="18">
        <v>43035.3</v>
      </c>
      <c r="H536" s="18">
        <f t="shared" si="55"/>
        <v>0</v>
      </c>
      <c r="I536" s="20">
        <v>46188</v>
      </c>
      <c r="J536" s="17" t="s">
        <v>21</v>
      </c>
      <c r="K536" s="17" t="s">
        <v>223</v>
      </c>
      <c r="L536" s="17"/>
    </row>
    <row r="537" customHeight="1" spans="1:12">
      <c r="A537" s="17" t="s">
        <v>18</v>
      </c>
      <c r="B537" s="24" t="s">
        <v>569</v>
      </c>
      <c r="C537" s="24" t="s">
        <v>563</v>
      </c>
      <c r="D537" s="28">
        <v>13.75</v>
      </c>
      <c r="E537" s="17">
        <v>5740</v>
      </c>
      <c r="F537" s="25">
        <f t="shared" si="59"/>
        <v>78925</v>
      </c>
      <c r="G537" s="18">
        <v>0</v>
      </c>
      <c r="H537" s="18">
        <f t="shared" si="55"/>
        <v>78925</v>
      </c>
      <c r="I537" s="20">
        <v>46218</v>
      </c>
      <c r="J537" s="17"/>
      <c r="K537" s="17" t="s">
        <v>223</v>
      </c>
      <c r="L537" s="17"/>
    </row>
    <row r="538" customHeight="1" spans="1:12">
      <c r="A538" s="17" t="s">
        <v>18</v>
      </c>
      <c r="B538" s="24" t="s">
        <v>569</v>
      </c>
      <c r="C538" s="24" t="s">
        <v>564</v>
      </c>
      <c r="D538" s="28">
        <v>27.5</v>
      </c>
      <c r="E538" s="17">
        <v>5920</v>
      </c>
      <c r="F538" s="25">
        <f t="shared" si="59"/>
        <v>162800</v>
      </c>
      <c r="G538" s="18">
        <v>0</v>
      </c>
      <c r="H538" s="18">
        <f t="shared" si="55"/>
        <v>162800</v>
      </c>
      <c r="I538" s="20">
        <v>46218</v>
      </c>
      <c r="J538" s="17"/>
      <c r="K538" s="17" t="s">
        <v>223</v>
      </c>
      <c r="L538" s="17"/>
    </row>
    <row r="539" customHeight="1" spans="1:12">
      <c r="A539" s="17" t="s">
        <v>18</v>
      </c>
      <c r="B539" s="24" t="s">
        <v>569</v>
      </c>
      <c r="C539" s="24" t="s">
        <v>566</v>
      </c>
      <c r="D539" s="28">
        <v>27.5</v>
      </c>
      <c r="E539" s="17">
        <v>5740</v>
      </c>
      <c r="F539" s="25">
        <f t="shared" si="59"/>
        <v>157850</v>
      </c>
      <c r="G539" s="18">
        <v>0</v>
      </c>
      <c r="H539" s="18">
        <f t="shared" si="55"/>
        <v>157850</v>
      </c>
      <c r="I539" s="20">
        <v>46218</v>
      </c>
      <c r="J539" s="17"/>
      <c r="K539" s="17" t="s">
        <v>223</v>
      </c>
      <c r="L539" s="17"/>
    </row>
    <row r="540" customHeight="1" spans="1:12">
      <c r="A540" s="17" t="s">
        <v>18</v>
      </c>
      <c r="B540" s="24" t="s">
        <v>571</v>
      </c>
      <c r="C540" s="24" t="s">
        <v>568</v>
      </c>
      <c r="D540" s="28">
        <v>43.962</v>
      </c>
      <c r="E540" s="17">
        <v>5670</v>
      </c>
      <c r="F540" s="25">
        <f t="shared" si="59"/>
        <v>249264.54</v>
      </c>
      <c r="G540" s="18">
        <v>249264.54</v>
      </c>
      <c r="H540" s="18">
        <f t="shared" si="55"/>
        <v>0</v>
      </c>
      <c r="I540" s="20">
        <v>46218</v>
      </c>
      <c r="J540" s="17" t="s">
        <v>21</v>
      </c>
      <c r="K540" s="17" t="s">
        <v>223</v>
      </c>
      <c r="L540" s="17"/>
    </row>
    <row r="541" customHeight="1" spans="1:12">
      <c r="A541" s="17" t="s">
        <v>18</v>
      </c>
      <c r="B541" s="24" t="s">
        <v>569</v>
      </c>
      <c r="C541" s="24" t="s">
        <v>566</v>
      </c>
      <c r="D541" s="28">
        <v>27.5</v>
      </c>
      <c r="E541" s="17">
        <v>5740</v>
      </c>
      <c r="F541" s="25">
        <f t="shared" si="59"/>
        <v>157850</v>
      </c>
      <c r="G541" s="18">
        <v>0</v>
      </c>
      <c r="H541" s="18">
        <f t="shared" si="55"/>
        <v>157850</v>
      </c>
      <c r="I541" s="20">
        <v>46249</v>
      </c>
      <c r="J541" s="17"/>
      <c r="K541" s="17" t="s">
        <v>223</v>
      </c>
      <c r="L541" s="17"/>
    </row>
    <row r="542" customHeight="1" spans="1:12">
      <c r="A542" s="17" t="s">
        <v>18</v>
      </c>
      <c r="B542" s="24" t="s">
        <v>569</v>
      </c>
      <c r="C542" s="24" t="s">
        <v>566</v>
      </c>
      <c r="D542" s="28">
        <v>27.5</v>
      </c>
      <c r="E542" s="17">
        <v>5740</v>
      </c>
      <c r="F542" s="25">
        <f t="shared" si="59"/>
        <v>157850</v>
      </c>
      <c r="G542" s="18">
        <v>0</v>
      </c>
      <c r="H542" s="18">
        <f t="shared" si="55"/>
        <v>157850</v>
      </c>
      <c r="I542" s="20">
        <v>46280</v>
      </c>
      <c r="J542" s="17"/>
      <c r="K542" s="17" t="s">
        <v>223</v>
      </c>
      <c r="L542" s="17"/>
    </row>
    <row r="543" customHeight="1" spans="1:12">
      <c r="A543" s="17" t="s">
        <v>18</v>
      </c>
      <c r="B543" s="24" t="s">
        <v>572</v>
      </c>
      <c r="C543" s="24" t="s">
        <v>313</v>
      </c>
      <c r="D543" s="17">
        <f>29.186-D544</f>
        <v>27.198</v>
      </c>
      <c r="E543" s="17">
        <v>5440</v>
      </c>
      <c r="F543" s="25">
        <f t="shared" si="59"/>
        <v>147957.12</v>
      </c>
      <c r="G543" s="18">
        <f>13600+134357.12</f>
        <v>147957.12</v>
      </c>
      <c r="H543" s="18">
        <f t="shared" si="55"/>
        <v>0</v>
      </c>
      <c r="I543" s="20">
        <v>46142</v>
      </c>
      <c r="J543" s="17" t="s">
        <v>21</v>
      </c>
      <c r="K543" s="17" t="s">
        <v>520</v>
      </c>
      <c r="L543" s="17"/>
    </row>
    <row r="544" customHeight="1" spans="1:12">
      <c r="A544" s="17" t="s">
        <v>18</v>
      </c>
      <c r="B544" s="24" t="s">
        <v>573</v>
      </c>
      <c r="C544" s="24" t="s">
        <v>313</v>
      </c>
      <c r="D544" s="17">
        <v>1.988</v>
      </c>
      <c r="E544" s="17">
        <v>5440</v>
      </c>
      <c r="F544" s="25">
        <f t="shared" si="59"/>
        <v>10814.72</v>
      </c>
      <c r="G544" s="18">
        <v>0</v>
      </c>
      <c r="H544" s="18">
        <f t="shared" si="55"/>
        <v>10814.72</v>
      </c>
      <c r="I544" s="20">
        <v>46204</v>
      </c>
      <c r="J544" s="17" t="s">
        <v>560</v>
      </c>
      <c r="K544" s="17" t="s">
        <v>520</v>
      </c>
      <c r="L544" s="17"/>
    </row>
    <row r="545" customHeight="1" spans="1:12">
      <c r="A545" s="17" t="s">
        <v>18</v>
      </c>
      <c r="B545" s="24" t="s">
        <v>574</v>
      </c>
      <c r="C545" s="24" t="s">
        <v>250</v>
      </c>
      <c r="D545" s="17">
        <v>211.536</v>
      </c>
      <c r="E545" s="17">
        <v>6250</v>
      </c>
      <c r="F545" s="25">
        <f t="shared" si="59"/>
        <v>1322100</v>
      </c>
      <c r="G545" s="18">
        <f>874979.22+337518.702+21506.25+13+88082.83</f>
        <v>1322100.002</v>
      </c>
      <c r="H545" s="18">
        <f t="shared" si="55"/>
        <v>-0.0020000000949949</v>
      </c>
      <c r="I545" s="20">
        <v>46174</v>
      </c>
      <c r="J545" s="17" t="s">
        <v>21</v>
      </c>
      <c r="K545" s="17" t="s">
        <v>520</v>
      </c>
      <c r="L545" s="17"/>
    </row>
    <row r="546" customHeight="1" spans="1:12">
      <c r="A546" s="17" t="s">
        <v>18</v>
      </c>
      <c r="B546" s="24" t="s">
        <v>575</v>
      </c>
      <c r="C546" s="24" t="s">
        <v>250</v>
      </c>
      <c r="D546" s="17">
        <v>9.01</v>
      </c>
      <c r="E546" s="17">
        <v>6250</v>
      </c>
      <c r="F546" s="25">
        <f t="shared" si="59"/>
        <v>56312.5</v>
      </c>
      <c r="G546" s="18">
        <v>0</v>
      </c>
      <c r="H546" s="18">
        <f t="shared" si="55"/>
        <v>56312.5</v>
      </c>
      <c r="I546" s="20">
        <v>46174</v>
      </c>
      <c r="J546" s="17" t="s">
        <v>560</v>
      </c>
      <c r="K546" s="17" t="s">
        <v>520</v>
      </c>
      <c r="L546" s="17"/>
    </row>
    <row r="547" customHeight="1" spans="1:12">
      <c r="A547" s="17" t="s">
        <v>18</v>
      </c>
      <c r="B547" s="24" t="s">
        <v>575</v>
      </c>
      <c r="C547" s="24" t="s">
        <v>251</v>
      </c>
      <c r="D547" s="17">
        <f>84.225-D548</f>
        <v>3.44099999999999</v>
      </c>
      <c r="E547" s="17">
        <v>6250</v>
      </c>
      <c r="F547" s="25">
        <f t="shared" si="59"/>
        <v>21506.2499999999</v>
      </c>
      <c r="G547" s="18">
        <v>0</v>
      </c>
      <c r="H547" s="18">
        <f t="shared" si="55"/>
        <v>21506.2499999999</v>
      </c>
      <c r="I547" s="20">
        <v>46133</v>
      </c>
      <c r="J547" s="17" t="s">
        <v>560</v>
      </c>
      <c r="K547" s="17" t="s">
        <v>520</v>
      </c>
      <c r="L547" s="17"/>
    </row>
    <row r="548" customHeight="1" spans="1:12">
      <c r="A548" s="17" t="s">
        <v>18</v>
      </c>
      <c r="B548" s="24" t="s">
        <v>576</v>
      </c>
      <c r="C548" s="24" t="s">
        <v>251</v>
      </c>
      <c r="D548" s="17">
        <v>80.784</v>
      </c>
      <c r="E548" s="17">
        <v>6250</v>
      </c>
      <c r="F548" s="25">
        <f t="shared" si="59"/>
        <v>504900</v>
      </c>
      <c r="G548" s="18">
        <f>504900</f>
        <v>504900</v>
      </c>
      <c r="H548" s="18">
        <f t="shared" si="55"/>
        <v>0</v>
      </c>
      <c r="I548" s="20">
        <v>46133</v>
      </c>
      <c r="J548" s="17" t="s">
        <v>21</v>
      </c>
      <c r="K548" s="17" t="s">
        <v>520</v>
      </c>
      <c r="L548" s="17"/>
    </row>
    <row r="549" customHeight="1" spans="1:12">
      <c r="A549" s="70" t="s">
        <v>18</v>
      </c>
      <c r="B549" s="70" t="s">
        <v>577</v>
      </c>
      <c r="C549" s="120" t="s">
        <v>528</v>
      </c>
      <c r="D549" s="120">
        <v>2320000</v>
      </c>
      <c r="E549" s="17">
        <v>0.2329</v>
      </c>
      <c r="F549" s="25">
        <f t="shared" si="59"/>
        <v>540328</v>
      </c>
      <c r="G549" s="18">
        <v>540328</v>
      </c>
      <c r="H549" s="18">
        <f t="shared" si="55"/>
        <v>0</v>
      </c>
      <c r="I549" s="20">
        <v>46112</v>
      </c>
      <c r="J549" s="17"/>
      <c r="K549" s="17" t="s">
        <v>223</v>
      </c>
      <c r="L549" s="17"/>
    </row>
    <row r="550" customHeight="1" spans="1:12">
      <c r="A550" s="17" t="s">
        <v>18</v>
      </c>
      <c r="B550" s="17" t="s">
        <v>578</v>
      </c>
      <c r="C550" s="17" t="s">
        <v>579</v>
      </c>
      <c r="D550" s="17">
        <v>6.16</v>
      </c>
      <c r="E550" s="17">
        <v>6150</v>
      </c>
      <c r="F550" s="25">
        <f t="shared" si="59"/>
        <v>37884</v>
      </c>
      <c r="G550" s="18">
        <v>37884</v>
      </c>
      <c r="H550" s="18">
        <f t="shared" si="55"/>
        <v>0</v>
      </c>
      <c r="I550" s="20">
        <v>46142</v>
      </c>
      <c r="J550" s="17" t="s">
        <v>21</v>
      </c>
      <c r="K550" s="17" t="s">
        <v>223</v>
      </c>
      <c r="L550" s="17"/>
    </row>
    <row r="551" customHeight="1" spans="1:12">
      <c r="A551" s="17" t="s">
        <v>18</v>
      </c>
      <c r="B551" s="17" t="s">
        <v>578</v>
      </c>
      <c r="C551" s="17" t="s">
        <v>580</v>
      </c>
      <c r="D551" s="17">
        <v>7.75</v>
      </c>
      <c r="E551" s="17">
        <v>6150</v>
      </c>
      <c r="F551" s="25">
        <f t="shared" si="59"/>
        <v>47662.5</v>
      </c>
      <c r="G551" s="18">
        <v>47662.5</v>
      </c>
      <c r="H551" s="18">
        <f t="shared" si="55"/>
        <v>0</v>
      </c>
      <c r="I551" s="20">
        <v>46142</v>
      </c>
      <c r="J551" s="17" t="s">
        <v>21</v>
      </c>
      <c r="K551" s="17" t="s">
        <v>223</v>
      </c>
      <c r="L551" s="17"/>
    </row>
    <row r="552" customHeight="1" spans="1:12">
      <c r="A552" s="17" t="s">
        <v>18</v>
      </c>
      <c r="B552" s="17" t="s">
        <v>578</v>
      </c>
      <c r="C552" s="17" t="s">
        <v>581</v>
      </c>
      <c r="D552" s="17">
        <v>3.03</v>
      </c>
      <c r="E552" s="17">
        <v>5950</v>
      </c>
      <c r="F552" s="25">
        <f t="shared" si="59"/>
        <v>18028.5</v>
      </c>
      <c r="G552" s="18">
        <v>18028.5</v>
      </c>
      <c r="H552" s="18">
        <f t="shared" si="55"/>
        <v>0</v>
      </c>
      <c r="I552" s="20">
        <v>46142</v>
      </c>
      <c r="J552" s="17" t="s">
        <v>21</v>
      </c>
      <c r="K552" s="17" t="s">
        <v>223</v>
      </c>
      <c r="L552" s="17"/>
    </row>
    <row r="553" customHeight="1" spans="1:12">
      <c r="A553" s="17" t="s">
        <v>18</v>
      </c>
      <c r="B553" s="17" t="s">
        <v>578</v>
      </c>
      <c r="C553" s="17" t="s">
        <v>582</v>
      </c>
      <c r="D553" s="17">
        <v>7.521</v>
      </c>
      <c r="E553" s="17">
        <v>5950</v>
      </c>
      <c r="F553" s="25">
        <f t="shared" si="59"/>
        <v>44749.95</v>
      </c>
      <c r="G553" s="18">
        <v>44749.95</v>
      </c>
      <c r="H553" s="18">
        <f t="shared" ref="H553:H616" si="60">F553-G553</f>
        <v>0</v>
      </c>
      <c r="I553" s="20">
        <v>46142</v>
      </c>
      <c r="J553" s="17" t="s">
        <v>21</v>
      </c>
      <c r="K553" s="17" t="s">
        <v>223</v>
      </c>
      <c r="L553" s="17"/>
    </row>
    <row r="554" customHeight="1" spans="1:12">
      <c r="A554" s="17" t="s">
        <v>18</v>
      </c>
      <c r="B554" s="17" t="s">
        <v>578</v>
      </c>
      <c r="C554" s="17" t="s">
        <v>583</v>
      </c>
      <c r="D554" s="17">
        <v>9.324</v>
      </c>
      <c r="E554" s="17">
        <v>5950</v>
      </c>
      <c r="F554" s="25">
        <f t="shared" si="59"/>
        <v>55477.8</v>
      </c>
      <c r="G554" s="18">
        <v>55477.8</v>
      </c>
      <c r="H554" s="18">
        <f t="shared" si="60"/>
        <v>0</v>
      </c>
      <c r="I554" s="20">
        <v>46142</v>
      </c>
      <c r="J554" s="17" t="s">
        <v>21</v>
      </c>
      <c r="K554" s="17" t="s">
        <v>223</v>
      </c>
      <c r="L554" s="17"/>
    </row>
    <row r="555" customHeight="1" spans="1:12">
      <c r="A555" s="17" t="s">
        <v>18</v>
      </c>
      <c r="B555" s="17" t="s">
        <v>578</v>
      </c>
      <c r="C555" s="17" t="s">
        <v>584</v>
      </c>
      <c r="D555" s="17">
        <v>7.295</v>
      </c>
      <c r="E555" s="17">
        <v>5900</v>
      </c>
      <c r="F555" s="25">
        <f t="shared" si="59"/>
        <v>43040.5</v>
      </c>
      <c r="G555" s="18">
        <f>13447.25+29593.25</f>
        <v>43040.5</v>
      </c>
      <c r="H555" s="18">
        <f t="shared" si="60"/>
        <v>0</v>
      </c>
      <c r="I555" s="20">
        <v>46142</v>
      </c>
      <c r="J555" s="17" t="s">
        <v>21</v>
      </c>
      <c r="K555" s="17" t="s">
        <v>223</v>
      </c>
      <c r="L555" s="17"/>
    </row>
    <row r="556" customHeight="1" spans="1:12">
      <c r="A556" s="17" t="s">
        <v>18</v>
      </c>
      <c r="B556" s="17" t="s">
        <v>578</v>
      </c>
      <c r="C556" s="17" t="s">
        <v>585</v>
      </c>
      <c r="D556" s="17">
        <v>3.074</v>
      </c>
      <c r="E556" s="17">
        <v>5850</v>
      </c>
      <c r="F556" s="25">
        <f t="shared" si="59"/>
        <v>17982.9</v>
      </c>
      <c r="G556" s="18">
        <v>17982.9</v>
      </c>
      <c r="H556" s="18">
        <f t="shared" si="60"/>
        <v>0</v>
      </c>
      <c r="I556" s="20">
        <v>46142</v>
      </c>
      <c r="J556" s="17" t="s">
        <v>21</v>
      </c>
      <c r="K556" s="17" t="s">
        <v>223</v>
      </c>
      <c r="L556" s="17"/>
    </row>
    <row r="557" customHeight="1" spans="1:12">
      <c r="A557" s="17" t="s">
        <v>18</v>
      </c>
      <c r="B557" s="17" t="s">
        <v>578</v>
      </c>
      <c r="C557" s="17" t="s">
        <v>586</v>
      </c>
      <c r="D557" s="17">
        <v>4.935</v>
      </c>
      <c r="E557" s="17">
        <v>5880</v>
      </c>
      <c r="F557" s="25">
        <f t="shared" si="59"/>
        <v>29017.8</v>
      </c>
      <c r="G557" s="18">
        <v>29017.8</v>
      </c>
      <c r="H557" s="18">
        <f t="shared" si="60"/>
        <v>0</v>
      </c>
      <c r="I557" s="20">
        <v>46142</v>
      </c>
      <c r="J557" s="17" t="s">
        <v>21</v>
      </c>
      <c r="K557" s="17" t="s">
        <v>223</v>
      </c>
      <c r="L557" s="17"/>
    </row>
    <row r="558" customHeight="1" spans="1:12">
      <c r="A558" s="17" t="s">
        <v>18</v>
      </c>
      <c r="B558" s="17" t="s">
        <v>578</v>
      </c>
      <c r="C558" s="17" t="s">
        <v>587</v>
      </c>
      <c r="D558" s="17">
        <v>5.26</v>
      </c>
      <c r="E558" s="17">
        <v>5880</v>
      </c>
      <c r="F558" s="25">
        <f t="shared" si="59"/>
        <v>30928.8</v>
      </c>
      <c r="G558" s="18">
        <v>30928.8</v>
      </c>
      <c r="H558" s="18">
        <f t="shared" si="60"/>
        <v>0</v>
      </c>
      <c r="I558" s="20">
        <v>46142</v>
      </c>
      <c r="J558" s="17" t="s">
        <v>21</v>
      </c>
      <c r="K558" s="17" t="s">
        <v>223</v>
      </c>
      <c r="L558" s="17"/>
    </row>
    <row r="559" customHeight="1" spans="1:12">
      <c r="A559" s="17" t="s">
        <v>18</v>
      </c>
      <c r="B559" s="17" t="s">
        <v>588</v>
      </c>
      <c r="C559" s="17" t="s">
        <v>579</v>
      </c>
      <c r="D559" s="17">
        <v>4.62</v>
      </c>
      <c r="E559" s="17">
        <v>6150</v>
      </c>
      <c r="F559" s="25">
        <f t="shared" si="59"/>
        <v>28413</v>
      </c>
      <c r="G559" s="18">
        <f>18450+897.899999999998+9065.1</f>
        <v>28413</v>
      </c>
      <c r="H559" s="18">
        <f t="shared" si="60"/>
        <v>0</v>
      </c>
      <c r="I559" s="20">
        <v>46172</v>
      </c>
      <c r="J559" s="17" t="s">
        <v>21</v>
      </c>
      <c r="K559" s="17" t="s">
        <v>223</v>
      </c>
      <c r="L559" s="17"/>
    </row>
    <row r="560" customHeight="1" spans="1:12">
      <c r="A560" s="17" t="s">
        <v>18</v>
      </c>
      <c r="B560" s="17" t="s">
        <v>588</v>
      </c>
      <c r="C560" s="17" t="s">
        <v>580</v>
      </c>
      <c r="D560" s="17">
        <v>3.854</v>
      </c>
      <c r="E560" s="17">
        <v>6150</v>
      </c>
      <c r="F560" s="25">
        <f t="shared" si="59"/>
        <v>23702.1</v>
      </c>
      <c r="G560" s="18">
        <f>24600-897.899999999998</f>
        <v>23702.1</v>
      </c>
      <c r="H560" s="18">
        <f t="shared" si="60"/>
        <v>0</v>
      </c>
      <c r="I560" s="20">
        <v>46172</v>
      </c>
      <c r="J560" s="17" t="s">
        <v>21</v>
      </c>
      <c r="K560" s="17" t="s">
        <v>223</v>
      </c>
      <c r="L560" s="17"/>
    </row>
    <row r="561" customHeight="1" spans="1:12">
      <c r="A561" s="17" t="s">
        <v>18</v>
      </c>
      <c r="B561" s="17" t="s">
        <v>588</v>
      </c>
      <c r="C561" s="17" t="s">
        <v>581</v>
      </c>
      <c r="D561" s="17">
        <v>3.06</v>
      </c>
      <c r="E561" s="17">
        <v>5950</v>
      </c>
      <c r="F561" s="25">
        <f t="shared" si="59"/>
        <v>18207</v>
      </c>
      <c r="G561" s="18">
        <f>17850+357</f>
        <v>18207</v>
      </c>
      <c r="H561" s="18">
        <f t="shared" si="60"/>
        <v>0</v>
      </c>
      <c r="I561" s="20">
        <v>46172</v>
      </c>
      <c r="J561" s="17" t="s">
        <v>21</v>
      </c>
      <c r="K561" s="17" t="s">
        <v>223</v>
      </c>
      <c r="L561" s="17"/>
    </row>
    <row r="562" customHeight="1" spans="1:12">
      <c r="A562" s="17" t="s">
        <v>18</v>
      </c>
      <c r="B562" s="17" t="s">
        <v>589</v>
      </c>
      <c r="C562" s="17" t="s">
        <v>582</v>
      </c>
      <c r="D562" s="17">
        <v>5</v>
      </c>
      <c r="E562" s="17">
        <v>5950</v>
      </c>
      <c r="F562" s="25">
        <f t="shared" si="59"/>
        <v>29750</v>
      </c>
      <c r="G562" s="18">
        <v>0</v>
      </c>
      <c r="H562" s="18">
        <f t="shared" si="60"/>
        <v>29750</v>
      </c>
      <c r="I562" s="20">
        <v>46172</v>
      </c>
      <c r="J562" s="17"/>
      <c r="K562" s="17" t="s">
        <v>223</v>
      </c>
      <c r="L562" s="17"/>
    </row>
    <row r="563" customHeight="1" spans="1:12">
      <c r="A563" s="17" t="s">
        <v>18</v>
      </c>
      <c r="B563" s="17" t="s">
        <v>588</v>
      </c>
      <c r="C563" s="17" t="s">
        <v>583</v>
      </c>
      <c r="D563" s="17">
        <v>4.441</v>
      </c>
      <c r="E563" s="17">
        <v>5950</v>
      </c>
      <c r="F563" s="25">
        <f t="shared" si="59"/>
        <v>26423.95</v>
      </c>
      <c r="G563" s="18">
        <f>35700-9276.05</f>
        <v>26423.95</v>
      </c>
      <c r="H563" s="18">
        <f t="shared" si="60"/>
        <v>0</v>
      </c>
      <c r="I563" s="20">
        <v>46172</v>
      </c>
      <c r="J563" s="17" t="s">
        <v>21</v>
      </c>
      <c r="K563" s="17" t="s">
        <v>223</v>
      </c>
      <c r="L563" s="17"/>
    </row>
    <row r="564" customHeight="1" spans="1:12">
      <c r="A564" s="17" t="s">
        <v>18</v>
      </c>
      <c r="B564" s="17" t="s">
        <v>588</v>
      </c>
      <c r="C564" s="17" t="s">
        <v>584</v>
      </c>
      <c r="D564" s="17">
        <v>4.377</v>
      </c>
      <c r="E564" s="17">
        <v>5900</v>
      </c>
      <c r="F564" s="25">
        <f t="shared" si="59"/>
        <v>25824.3</v>
      </c>
      <c r="G564" s="18">
        <f>35400-9575.7</f>
        <v>25824.3</v>
      </c>
      <c r="H564" s="18">
        <f t="shared" si="60"/>
        <v>0</v>
      </c>
      <c r="I564" s="20">
        <v>46172</v>
      </c>
      <c r="J564" s="17" t="s">
        <v>21</v>
      </c>
      <c r="K564" s="17" t="s">
        <v>223</v>
      </c>
      <c r="L564" s="17"/>
    </row>
    <row r="565" customHeight="1" spans="1:12">
      <c r="A565" s="17" t="s">
        <v>18</v>
      </c>
      <c r="B565" s="17" t="s">
        <v>588</v>
      </c>
      <c r="C565" s="17" t="s">
        <v>585</v>
      </c>
      <c r="D565" s="17">
        <v>7.685</v>
      </c>
      <c r="E565" s="17">
        <v>5850</v>
      </c>
      <c r="F565" s="25">
        <f t="shared" si="59"/>
        <v>44957.25</v>
      </c>
      <c r="G565" s="18">
        <f>165191.4-161750+8258.60000000001+9276.05+9575.7+188.9+14216.6</f>
        <v>44957.25</v>
      </c>
      <c r="H565" s="18">
        <f t="shared" si="60"/>
        <v>0</v>
      </c>
      <c r="I565" s="20">
        <v>46172</v>
      </c>
      <c r="J565" s="17" t="s">
        <v>21</v>
      </c>
      <c r="K565" s="17" t="s">
        <v>223</v>
      </c>
      <c r="L565" s="17"/>
    </row>
    <row r="566" customHeight="1" spans="1:12">
      <c r="A566" s="17" t="s">
        <v>18</v>
      </c>
      <c r="B566" s="17" t="s">
        <v>588</v>
      </c>
      <c r="C566" s="17" t="s">
        <v>586</v>
      </c>
      <c r="D566" s="17">
        <v>5.11</v>
      </c>
      <c r="E566" s="17">
        <v>5880</v>
      </c>
      <c r="F566" s="25">
        <f t="shared" si="59"/>
        <v>30046.8</v>
      </c>
      <c r="G566" s="18">
        <f>17640+12406.8</f>
        <v>30046.8</v>
      </c>
      <c r="H566" s="18">
        <f t="shared" si="60"/>
        <v>0</v>
      </c>
      <c r="I566" s="20">
        <v>46172</v>
      </c>
      <c r="J566" s="17" t="s">
        <v>21</v>
      </c>
      <c r="K566" s="17" t="s">
        <v>223</v>
      </c>
      <c r="L566" s="17"/>
    </row>
    <row r="567" customHeight="1" spans="1:12">
      <c r="A567" s="17" t="s">
        <v>18</v>
      </c>
      <c r="B567" s="17" t="s">
        <v>588</v>
      </c>
      <c r="C567" s="17" t="s">
        <v>587</v>
      </c>
      <c r="D567" s="17">
        <v>5.315</v>
      </c>
      <c r="E567" s="17">
        <v>5880</v>
      </c>
      <c r="F567" s="25">
        <f t="shared" si="59"/>
        <v>31252.2</v>
      </c>
      <c r="G567" s="18">
        <f>23520+7732.2</f>
        <v>31252.2</v>
      </c>
      <c r="H567" s="18">
        <f t="shared" si="60"/>
        <v>0</v>
      </c>
      <c r="I567" s="20">
        <v>46172</v>
      </c>
      <c r="J567" s="17" t="s">
        <v>21</v>
      </c>
      <c r="K567" s="17" t="s">
        <v>223</v>
      </c>
      <c r="L567" s="17"/>
    </row>
    <row r="568" customHeight="1" spans="1:12">
      <c r="A568" s="17" t="s">
        <v>18</v>
      </c>
      <c r="B568" s="17" t="s">
        <v>589</v>
      </c>
      <c r="C568" s="17" t="s">
        <v>579</v>
      </c>
      <c r="D568" s="17">
        <v>1.54</v>
      </c>
      <c r="E568" s="17">
        <v>6150</v>
      </c>
      <c r="F568" s="25">
        <f t="shared" si="59"/>
        <v>9471</v>
      </c>
      <c r="G568" s="18">
        <v>0</v>
      </c>
      <c r="H568" s="18">
        <f t="shared" si="60"/>
        <v>9471</v>
      </c>
      <c r="I568" s="20">
        <v>46203</v>
      </c>
      <c r="J568" s="17" t="s">
        <v>560</v>
      </c>
      <c r="K568" s="17" t="s">
        <v>223</v>
      </c>
      <c r="L568" s="17"/>
    </row>
    <row r="569" customHeight="1" spans="1:12">
      <c r="A569" s="17" t="s">
        <v>18</v>
      </c>
      <c r="B569" s="17" t="s">
        <v>590</v>
      </c>
      <c r="C569" s="17" t="s">
        <v>579</v>
      </c>
      <c r="D569" s="17">
        <v>1.54</v>
      </c>
      <c r="E569" s="17">
        <v>6150</v>
      </c>
      <c r="F569" s="25">
        <f t="shared" si="59"/>
        <v>9471</v>
      </c>
      <c r="G569" s="18">
        <v>9471</v>
      </c>
      <c r="H569" s="18">
        <f t="shared" si="60"/>
        <v>0</v>
      </c>
      <c r="I569" s="20">
        <v>46203</v>
      </c>
      <c r="J569" s="17" t="s">
        <v>21</v>
      </c>
      <c r="K569" s="17" t="s">
        <v>223</v>
      </c>
      <c r="L569" s="17"/>
    </row>
    <row r="570" customHeight="1" spans="1:12">
      <c r="A570" s="17" t="s">
        <v>18</v>
      </c>
      <c r="B570" s="17" t="s">
        <v>589</v>
      </c>
      <c r="C570" s="17" t="s">
        <v>580</v>
      </c>
      <c r="D570" s="17">
        <v>3.1</v>
      </c>
      <c r="E570" s="17">
        <v>6150</v>
      </c>
      <c r="F570" s="25">
        <f t="shared" si="59"/>
        <v>19065</v>
      </c>
      <c r="G570" s="18">
        <v>0</v>
      </c>
      <c r="H570" s="18">
        <f t="shared" si="60"/>
        <v>19065</v>
      </c>
      <c r="I570" s="20">
        <v>46203</v>
      </c>
      <c r="J570" s="17" t="s">
        <v>560</v>
      </c>
      <c r="K570" s="17" t="s">
        <v>223</v>
      </c>
      <c r="L570" s="17"/>
    </row>
    <row r="571" customHeight="1" spans="1:12">
      <c r="A571" s="17" t="s">
        <v>18</v>
      </c>
      <c r="B571" s="17" t="s">
        <v>589</v>
      </c>
      <c r="C571" s="17" t="s">
        <v>581</v>
      </c>
      <c r="D571" s="17">
        <v>1</v>
      </c>
      <c r="E571" s="17">
        <v>5950</v>
      </c>
      <c r="F571" s="25">
        <f t="shared" si="59"/>
        <v>5950</v>
      </c>
      <c r="G571" s="18">
        <v>0</v>
      </c>
      <c r="H571" s="18">
        <f t="shared" si="60"/>
        <v>5950</v>
      </c>
      <c r="I571" s="20">
        <v>46203</v>
      </c>
      <c r="J571" s="17"/>
      <c r="K571" s="17" t="s">
        <v>223</v>
      </c>
      <c r="L571" s="17"/>
    </row>
    <row r="572" customHeight="1" spans="1:12">
      <c r="A572" s="17" t="s">
        <v>18</v>
      </c>
      <c r="B572" s="17" t="s">
        <v>589</v>
      </c>
      <c r="C572" s="17" t="s">
        <v>582</v>
      </c>
      <c r="D572" s="17">
        <v>7</v>
      </c>
      <c r="E572" s="17">
        <v>5950</v>
      </c>
      <c r="F572" s="25">
        <f t="shared" si="59"/>
        <v>41650</v>
      </c>
      <c r="G572" s="18">
        <v>0</v>
      </c>
      <c r="H572" s="18">
        <f t="shared" si="60"/>
        <v>41650</v>
      </c>
      <c r="I572" s="20">
        <v>46203</v>
      </c>
      <c r="J572" s="17"/>
      <c r="K572" s="17" t="s">
        <v>223</v>
      </c>
      <c r="L572" s="17"/>
    </row>
    <row r="573" customHeight="1" spans="1:12">
      <c r="A573" s="17" t="s">
        <v>18</v>
      </c>
      <c r="B573" s="17" t="s">
        <v>589</v>
      </c>
      <c r="C573" s="17" t="s">
        <v>583</v>
      </c>
      <c r="D573" s="17">
        <v>1.554</v>
      </c>
      <c r="E573" s="17">
        <v>5950</v>
      </c>
      <c r="F573" s="25">
        <f t="shared" si="59"/>
        <v>9246.3</v>
      </c>
      <c r="G573" s="18">
        <v>0</v>
      </c>
      <c r="H573" s="18">
        <f t="shared" si="60"/>
        <v>9246.3</v>
      </c>
      <c r="I573" s="20">
        <v>46203</v>
      </c>
      <c r="J573" s="17" t="s">
        <v>560</v>
      </c>
      <c r="K573" s="17" t="s">
        <v>223</v>
      </c>
      <c r="L573" s="17"/>
    </row>
    <row r="574" customHeight="1" spans="1:12">
      <c r="A574" s="17" t="s">
        <v>18</v>
      </c>
      <c r="B574" s="17" t="s">
        <v>590</v>
      </c>
      <c r="C574" s="17" t="s">
        <v>584</v>
      </c>
      <c r="D574" s="17">
        <v>4.614</v>
      </c>
      <c r="E574" s="17">
        <v>5900</v>
      </c>
      <c r="F574" s="25">
        <f t="shared" si="59"/>
        <v>27222.6</v>
      </c>
      <c r="G574" s="18">
        <v>27222.6</v>
      </c>
      <c r="H574" s="18">
        <f t="shared" si="60"/>
        <v>0</v>
      </c>
      <c r="I574" s="20">
        <v>46203</v>
      </c>
      <c r="J574" s="17" t="s">
        <v>21</v>
      </c>
      <c r="K574" s="17" t="s">
        <v>223</v>
      </c>
      <c r="L574" s="17"/>
    </row>
    <row r="575" customHeight="1" spans="1:12">
      <c r="A575" s="17" t="s">
        <v>18</v>
      </c>
      <c r="B575" s="17" t="s">
        <v>590</v>
      </c>
      <c r="C575" s="17" t="s">
        <v>585</v>
      </c>
      <c r="D575" s="17">
        <v>4.221</v>
      </c>
      <c r="E575" s="17">
        <v>5850</v>
      </c>
      <c r="F575" s="25">
        <f t="shared" si="59"/>
        <v>24692.85</v>
      </c>
      <c r="G575" s="18">
        <v>24692.85</v>
      </c>
      <c r="H575" s="18">
        <f t="shared" si="60"/>
        <v>0</v>
      </c>
      <c r="I575" s="20">
        <v>46203</v>
      </c>
      <c r="J575" s="17" t="s">
        <v>21</v>
      </c>
      <c r="K575" s="17" t="s">
        <v>223</v>
      </c>
      <c r="L575" s="17"/>
    </row>
    <row r="576" customHeight="1" spans="1:12">
      <c r="A576" s="17" t="s">
        <v>18</v>
      </c>
      <c r="B576" s="17" t="s">
        <v>590</v>
      </c>
      <c r="C576" s="17" t="s">
        <v>586</v>
      </c>
      <c r="D576" s="17">
        <v>5.14</v>
      </c>
      <c r="E576" s="17">
        <v>5880</v>
      </c>
      <c r="F576" s="25">
        <f t="shared" si="59"/>
        <v>30223.2</v>
      </c>
      <c r="G576" s="18">
        <v>30223.2</v>
      </c>
      <c r="H576" s="18">
        <f t="shared" si="60"/>
        <v>0</v>
      </c>
      <c r="I576" s="20">
        <v>46203</v>
      </c>
      <c r="J576" s="17" t="s">
        <v>21</v>
      </c>
      <c r="K576" s="17" t="s">
        <v>223</v>
      </c>
      <c r="L576" s="17"/>
    </row>
    <row r="577" customHeight="1" spans="1:12">
      <c r="A577" s="17" t="s">
        <v>18</v>
      </c>
      <c r="B577" s="17" t="s">
        <v>590</v>
      </c>
      <c r="C577" s="17" t="s">
        <v>587</v>
      </c>
      <c r="D577" s="17">
        <v>5.405</v>
      </c>
      <c r="E577" s="17">
        <v>5880</v>
      </c>
      <c r="F577" s="25">
        <f t="shared" si="59"/>
        <v>31781.4</v>
      </c>
      <c r="G577" s="18">
        <v>31781.4</v>
      </c>
      <c r="H577" s="18">
        <f t="shared" si="60"/>
        <v>0</v>
      </c>
      <c r="I577" s="20">
        <v>46203</v>
      </c>
      <c r="J577" s="17" t="s">
        <v>21</v>
      </c>
      <c r="K577" s="17" t="s">
        <v>223</v>
      </c>
      <c r="L577" s="17"/>
    </row>
    <row r="578" customHeight="1" spans="1:12">
      <c r="A578" s="17" t="s">
        <v>18</v>
      </c>
      <c r="B578" s="24" t="s">
        <v>591</v>
      </c>
      <c r="C578" s="24" t="s">
        <v>90</v>
      </c>
      <c r="D578" s="17">
        <f>110-40.125</f>
        <v>69.875</v>
      </c>
      <c r="E578" s="17">
        <v>6100</v>
      </c>
      <c r="F578" s="25">
        <f t="shared" si="59"/>
        <v>426237.5</v>
      </c>
      <c r="G578" s="18">
        <v>0</v>
      </c>
      <c r="H578" s="18">
        <f t="shared" si="60"/>
        <v>426237.5</v>
      </c>
      <c r="I578" s="20">
        <v>46203</v>
      </c>
      <c r="J578" s="17"/>
      <c r="K578" s="17" t="s">
        <v>223</v>
      </c>
      <c r="L578" s="17"/>
    </row>
    <row r="579" customHeight="1" spans="1:12">
      <c r="A579" s="17" t="s">
        <v>18</v>
      </c>
      <c r="B579" s="24" t="s">
        <v>592</v>
      </c>
      <c r="C579" s="24" t="s">
        <v>90</v>
      </c>
      <c r="D579" s="17">
        <v>40.125</v>
      </c>
      <c r="E579" s="17">
        <v>6100</v>
      </c>
      <c r="F579" s="25">
        <f t="shared" si="59"/>
        <v>244762.5</v>
      </c>
      <c r="G579" s="18">
        <f>22896.9+221865.6</f>
        <v>244762.5</v>
      </c>
      <c r="H579" s="18">
        <f t="shared" si="60"/>
        <v>0</v>
      </c>
      <c r="I579" s="20">
        <v>46203</v>
      </c>
      <c r="J579" s="17" t="s">
        <v>21</v>
      </c>
      <c r="K579" s="17" t="s">
        <v>223</v>
      </c>
      <c r="L579" s="17"/>
    </row>
    <row r="580" customHeight="1" spans="1:12">
      <c r="A580" s="17" t="s">
        <v>18</v>
      </c>
      <c r="B580" s="24" t="s">
        <v>593</v>
      </c>
      <c r="C580" s="24" t="s">
        <v>96</v>
      </c>
      <c r="D580" s="17">
        <v>7.646</v>
      </c>
      <c r="E580" s="17">
        <v>6100</v>
      </c>
      <c r="F580" s="25">
        <f t="shared" si="59"/>
        <v>46640.6</v>
      </c>
      <c r="G580" s="18">
        <v>46640.6</v>
      </c>
      <c r="H580" s="18">
        <f t="shared" si="60"/>
        <v>0</v>
      </c>
      <c r="I580" s="20">
        <v>46203</v>
      </c>
      <c r="J580" s="76" t="s">
        <v>21</v>
      </c>
      <c r="K580" s="17" t="s">
        <v>223</v>
      </c>
      <c r="L580" s="17"/>
    </row>
    <row r="581" customHeight="1" spans="1:12">
      <c r="A581" s="17" t="s">
        <v>18</v>
      </c>
      <c r="B581" s="24" t="s">
        <v>594</v>
      </c>
      <c r="C581" s="24" t="s">
        <v>96</v>
      </c>
      <c r="D581" s="17">
        <v>49.896</v>
      </c>
      <c r="E581" s="17">
        <v>6100</v>
      </c>
      <c r="F581" s="25">
        <f t="shared" si="59"/>
        <v>304365.6</v>
      </c>
      <c r="G581" s="18">
        <f>305000-634.400000000023</f>
        <v>304365.6</v>
      </c>
      <c r="H581" s="18">
        <f t="shared" si="60"/>
        <v>0</v>
      </c>
      <c r="I581" s="20">
        <v>46112</v>
      </c>
      <c r="J581" s="76" t="s">
        <v>21</v>
      </c>
      <c r="K581" s="17" t="s">
        <v>223</v>
      </c>
      <c r="L581" s="17"/>
    </row>
    <row r="582" customHeight="1" spans="1:12">
      <c r="A582" s="77" t="s">
        <v>18</v>
      </c>
      <c r="B582" s="24" t="s">
        <v>595</v>
      </c>
      <c r="C582" s="24" t="s">
        <v>220</v>
      </c>
      <c r="D582" s="28">
        <v>37.777</v>
      </c>
      <c r="E582" s="17">
        <v>6580</v>
      </c>
      <c r="F582" s="18">
        <f t="shared" si="59"/>
        <v>248572.66</v>
      </c>
      <c r="G582" s="18">
        <v>248572.66</v>
      </c>
      <c r="H582" s="18">
        <f t="shared" si="60"/>
        <v>0</v>
      </c>
      <c r="I582" s="141">
        <v>46174</v>
      </c>
      <c r="J582" s="187" t="s">
        <v>21</v>
      </c>
      <c r="K582" s="17" t="s">
        <v>223</v>
      </c>
      <c r="L582" s="17"/>
    </row>
    <row r="583" customHeight="1" spans="1:12">
      <c r="A583" s="17" t="s">
        <v>18</v>
      </c>
      <c r="B583" s="24" t="s">
        <v>592</v>
      </c>
      <c r="C583" s="24" t="s">
        <v>98</v>
      </c>
      <c r="D583" s="28">
        <v>1.461</v>
      </c>
      <c r="E583" s="17">
        <v>6250</v>
      </c>
      <c r="F583" s="25">
        <f t="shared" si="59"/>
        <v>9131.25</v>
      </c>
      <c r="G583" s="18">
        <v>9131.25</v>
      </c>
      <c r="H583" s="18">
        <f t="shared" si="60"/>
        <v>0</v>
      </c>
      <c r="I583" s="20">
        <v>46203</v>
      </c>
      <c r="J583" s="17" t="s">
        <v>21</v>
      </c>
      <c r="K583" s="17" t="s">
        <v>223</v>
      </c>
      <c r="L583" s="17"/>
    </row>
    <row r="584" customHeight="1" spans="1:12">
      <c r="A584" s="17" t="s">
        <v>18</v>
      </c>
      <c r="B584" s="24" t="s">
        <v>596</v>
      </c>
      <c r="C584" s="24" t="s">
        <v>98</v>
      </c>
      <c r="D584" s="17">
        <v>8.666</v>
      </c>
      <c r="E584" s="17">
        <v>6250</v>
      </c>
      <c r="F584" s="25">
        <f t="shared" si="59"/>
        <v>54162.5</v>
      </c>
      <c r="G584" s="18">
        <v>54162.5</v>
      </c>
      <c r="H584" s="18">
        <f t="shared" si="60"/>
        <v>0</v>
      </c>
      <c r="I584" s="20">
        <v>46188</v>
      </c>
      <c r="J584" s="17" t="s">
        <v>97</v>
      </c>
      <c r="K584" s="17" t="s">
        <v>223</v>
      </c>
      <c r="L584" s="17"/>
    </row>
    <row r="585" customHeight="1" spans="1:12">
      <c r="A585" s="17" t="s">
        <v>18</v>
      </c>
      <c r="B585" s="24" t="s">
        <v>593</v>
      </c>
      <c r="C585" s="24" t="s">
        <v>98</v>
      </c>
      <c r="D585" s="17">
        <v>1.461</v>
      </c>
      <c r="E585" s="17">
        <v>6250</v>
      </c>
      <c r="F585" s="25">
        <f t="shared" ref="F585:F648" si="61">D585*E585</f>
        <v>9131.25</v>
      </c>
      <c r="G585" s="18">
        <v>9131.25000000001</v>
      </c>
      <c r="H585" s="18">
        <f t="shared" si="60"/>
        <v>0</v>
      </c>
      <c r="I585" s="20">
        <v>46188</v>
      </c>
      <c r="J585" s="96" t="s">
        <v>21</v>
      </c>
      <c r="K585" s="17" t="s">
        <v>223</v>
      </c>
      <c r="L585" s="17"/>
    </row>
    <row r="586" customHeight="1" spans="1:12">
      <c r="A586" s="17" t="s">
        <v>18</v>
      </c>
      <c r="B586" s="24" t="s">
        <v>597</v>
      </c>
      <c r="C586" s="24" t="s">
        <v>98</v>
      </c>
      <c r="D586" s="17">
        <v>4.383</v>
      </c>
      <c r="E586" s="17">
        <v>6250</v>
      </c>
      <c r="F586" s="25">
        <f t="shared" si="61"/>
        <v>27393.75</v>
      </c>
      <c r="G586" s="18">
        <v>27393.75</v>
      </c>
      <c r="H586" s="18">
        <f t="shared" si="60"/>
        <v>0</v>
      </c>
      <c r="I586" s="20">
        <v>46188</v>
      </c>
      <c r="J586" s="96" t="s">
        <v>21</v>
      </c>
      <c r="K586" s="17" t="s">
        <v>223</v>
      </c>
      <c r="L586" s="17"/>
    </row>
    <row r="587" customHeight="1" spans="1:12">
      <c r="A587" s="17" t="s">
        <v>18</v>
      </c>
      <c r="B587" s="24" t="s">
        <v>591</v>
      </c>
      <c r="C587" s="24" t="s">
        <v>100</v>
      </c>
      <c r="D587" s="17">
        <v>85</v>
      </c>
      <c r="E587" s="17">
        <v>6100</v>
      </c>
      <c r="F587" s="25">
        <f t="shared" si="61"/>
        <v>518500</v>
      </c>
      <c r="G587" s="18">
        <v>0</v>
      </c>
      <c r="H587" s="18">
        <f t="shared" si="60"/>
        <v>518500</v>
      </c>
      <c r="I587" s="20">
        <v>46295</v>
      </c>
      <c r="J587" s="17"/>
      <c r="K587" s="17" t="s">
        <v>223</v>
      </c>
      <c r="L587" s="17"/>
    </row>
    <row r="588" customHeight="1" spans="1:12">
      <c r="A588" s="17" t="s">
        <v>18</v>
      </c>
      <c r="B588" s="24" t="s">
        <v>591</v>
      </c>
      <c r="C588" s="24" t="s">
        <v>598</v>
      </c>
      <c r="D588" s="17">
        <v>18</v>
      </c>
      <c r="E588" s="17">
        <v>6100</v>
      </c>
      <c r="F588" s="25">
        <f t="shared" si="61"/>
        <v>109800</v>
      </c>
      <c r="G588" s="18">
        <v>0</v>
      </c>
      <c r="H588" s="18">
        <f t="shared" si="60"/>
        <v>109800</v>
      </c>
      <c r="I588" s="20">
        <v>46295</v>
      </c>
      <c r="J588" s="17"/>
      <c r="K588" s="17" t="s">
        <v>223</v>
      </c>
      <c r="L588" s="17"/>
    </row>
    <row r="589" hidden="1" customHeight="1" spans="1:12">
      <c r="A589" s="73" t="s">
        <v>302</v>
      </c>
      <c r="B589" s="24" t="s">
        <v>594</v>
      </c>
      <c r="C589" s="24" t="s">
        <v>96</v>
      </c>
      <c r="D589" s="17">
        <v>49.896</v>
      </c>
      <c r="E589" s="17">
        <v>2449</v>
      </c>
      <c r="F589" s="25">
        <f t="shared" si="61"/>
        <v>122195.304</v>
      </c>
      <c r="G589" s="18">
        <v>122195.304</v>
      </c>
      <c r="H589" s="18">
        <f t="shared" si="60"/>
        <v>0</v>
      </c>
      <c r="I589" s="20">
        <v>46112</v>
      </c>
      <c r="J589" s="96" t="s">
        <v>21</v>
      </c>
      <c r="K589" s="22"/>
      <c r="L589" s="17"/>
    </row>
    <row r="590" hidden="1" customHeight="1" spans="1:12">
      <c r="A590" s="17" t="s">
        <v>164</v>
      </c>
      <c r="B590" s="24" t="s">
        <v>599</v>
      </c>
      <c r="C590" s="24" t="s">
        <v>166</v>
      </c>
      <c r="D590" s="17">
        <v>1960400</v>
      </c>
      <c r="E590" s="17">
        <v>0.123</v>
      </c>
      <c r="F590" s="25">
        <f t="shared" si="61"/>
        <v>241129.2</v>
      </c>
      <c r="G590" s="18">
        <v>241129.2</v>
      </c>
      <c r="H590" s="18">
        <f t="shared" si="60"/>
        <v>0</v>
      </c>
      <c r="I590" s="20">
        <v>46091</v>
      </c>
      <c r="J590" s="17" t="s">
        <v>21</v>
      </c>
      <c r="K590" s="17"/>
      <c r="L590" s="17"/>
    </row>
    <row r="591" hidden="1" customHeight="1" spans="1:12">
      <c r="A591" s="17" t="s">
        <v>164</v>
      </c>
      <c r="B591" s="24" t="s">
        <v>600</v>
      </c>
      <c r="C591" s="24" t="s">
        <v>166</v>
      </c>
      <c r="D591" s="17">
        <v>1960400</v>
      </c>
      <c r="E591" s="17">
        <v>0.12351</v>
      </c>
      <c r="F591" s="25">
        <f t="shared" si="61"/>
        <v>242129.004</v>
      </c>
      <c r="G591" s="18">
        <v>242129</v>
      </c>
      <c r="H591" s="18">
        <f t="shared" si="60"/>
        <v>0.00399999998626299</v>
      </c>
      <c r="I591" s="20">
        <v>46119</v>
      </c>
      <c r="J591" s="17"/>
      <c r="K591" s="17"/>
      <c r="L591" s="17"/>
    </row>
    <row r="592" hidden="1" customHeight="1" spans="1:12">
      <c r="A592" s="17" t="s">
        <v>139</v>
      </c>
      <c r="B592" s="24" t="s">
        <v>601</v>
      </c>
      <c r="C592" s="24" t="s">
        <v>602</v>
      </c>
      <c r="D592" s="17">
        <v>16000</v>
      </c>
      <c r="E592" s="17">
        <v>1.5</v>
      </c>
      <c r="F592" s="25">
        <f t="shared" si="61"/>
        <v>24000</v>
      </c>
      <c r="G592" s="18">
        <v>0</v>
      </c>
      <c r="H592" s="18">
        <f t="shared" si="60"/>
        <v>24000</v>
      </c>
      <c r="I592" s="20"/>
      <c r="J592" s="17" t="s">
        <v>21</v>
      </c>
      <c r="K592" s="17" t="s">
        <v>223</v>
      </c>
      <c r="L592" s="17"/>
    </row>
    <row r="593" hidden="1" customHeight="1" spans="1:12">
      <c r="A593" s="17" t="s">
        <v>139</v>
      </c>
      <c r="B593" s="24" t="s">
        <v>601</v>
      </c>
      <c r="C593" s="24" t="s">
        <v>603</v>
      </c>
      <c r="D593" s="17">
        <v>15070</v>
      </c>
      <c r="E593" s="17">
        <v>1.68</v>
      </c>
      <c r="F593" s="25">
        <f t="shared" si="61"/>
        <v>25317.6</v>
      </c>
      <c r="G593" s="18">
        <v>0</v>
      </c>
      <c r="H593" s="18">
        <f t="shared" si="60"/>
        <v>25317.6</v>
      </c>
      <c r="I593" s="20"/>
      <c r="J593" s="17" t="s">
        <v>21</v>
      </c>
      <c r="K593" s="17" t="s">
        <v>223</v>
      </c>
      <c r="L593" s="17"/>
    </row>
    <row r="594" hidden="1" customHeight="1" spans="1:12">
      <c r="A594" s="17" t="s">
        <v>139</v>
      </c>
      <c r="B594" s="24" t="s">
        <v>601</v>
      </c>
      <c r="C594" s="24" t="s">
        <v>604</v>
      </c>
      <c r="D594" s="17">
        <v>7200</v>
      </c>
      <c r="E594" s="17">
        <v>2.8</v>
      </c>
      <c r="F594" s="25">
        <f t="shared" si="61"/>
        <v>20160</v>
      </c>
      <c r="G594" s="18">
        <v>0</v>
      </c>
      <c r="H594" s="18">
        <f t="shared" si="60"/>
        <v>20160</v>
      </c>
      <c r="I594" s="20"/>
      <c r="J594" s="17" t="s">
        <v>21</v>
      </c>
      <c r="K594" s="17" t="s">
        <v>223</v>
      </c>
      <c r="L594" s="17"/>
    </row>
    <row r="595" hidden="1" customHeight="1" spans="1:12">
      <c r="A595" s="17" t="s">
        <v>139</v>
      </c>
      <c r="B595" s="24" t="s">
        <v>601</v>
      </c>
      <c r="C595" s="24" t="s">
        <v>605</v>
      </c>
      <c r="D595" s="17">
        <v>7200</v>
      </c>
      <c r="E595" s="17">
        <v>2.85</v>
      </c>
      <c r="F595" s="25">
        <f t="shared" si="61"/>
        <v>20520</v>
      </c>
      <c r="G595" s="18">
        <v>0</v>
      </c>
      <c r="H595" s="18">
        <f t="shared" si="60"/>
        <v>20520</v>
      </c>
      <c r="I595" s="20"/>
      <c r="J595" s="17" t="s">
        <v>21</v>
      </c>
      <c r="K595" s="17" t="s">
        <v>223</v>
      </c>
      <c r="L595" s="17"/>
    </row>
    <row r="596" hidden="1" customHeight="1" spans="1:12">
      <c r="A596" s="17" t="s">
        <v>139</v>
      </c>
      <c r="B596" s="24" t="s">
        <v>601</v>
      </c>
      <c r="C596" s="24" t="s">
        <v>606</v>
      </c>
      <c r="D596" s="17">
        <v>8800</v>
      </c>
      <c r="E596" s="53">
        <v>1.95</v>
      </c>
      <c r="F596" s="25">
        <f t="shared" si="61"/>
        <v>17160</v>
      </c>
      <c r="G596" s="18">
        <v>0</v>
      </c>
      <c r="H596" s="18">
        <f t="shared" si="60"/>
        <v>17160</v>
      </c>
      <c r="I596" s="20"/>
      <c r="J596" s="17" t="s">
        <v>21</v>
      </c>
      <c r="K596" s="17" t="s">
        <v>223</v>
      </c>
      <c r="L596" s="17"/>
    </row>
    <row r="597" hidden="1" customHeight="1" spans="1:12">
      <c r="A597" s="17" t="s">
        <v>152</v>
      </c>
      <c r="B597" s="24" t="s">
        <v>607</v>
      </c>
      <c r="C597" s="24" t="s">
        <v>608</v>
      </c>
      <c r="D597" s="28">
        <v>73.054</v>
      </c>
      <c r="E597" s="28">
        <v>8160</v>
      </c>
      <c r="F597" s="25">
        <f t="shared" si="61"/>
        <v>596120.64</v>
      </c>
      <c r="G597" s="18">
        <f>F597*0.25+447090.48</f>
        <v>596120.64</v>
      </c>
      <c r="H597" s="18">
        <f t="shared" si="60"/>
        <v>0</v>
      </c>
      <c r="I597" s="20">
        <v>46137</v>
      </c>
      <c r="J597" s="17" t="s">
        <v>97</v>
      </c>
      <c r="K597" s="17" t="s">
        <v>520</v>
      </c>
      <c r="L597" s="17"/>
    </row>
    <row r="598" hidden="1" customHeight="1" spans="1:12">
      <c r="A598" s="17" t="s">
        <v>152</v>
      </c>
      <c r="B598" s="24" t="s">
        <v>607</v>
      </c>
      <c r="C598" s="24" t="s">
        <v>609</v>
      </c>
      <c r="D598" s="28">
        <v>36.365</v>
      </c>
      <c r="E598" s="28">
        <v>8030</v>
      </c>
      <c r="F598" s="25">
        <f t="shared" si="61"/>
        <v>292010.95</v>
      </c>
      <c r="G598" s="18">
        <f>F598*0.25+219008.2125</f>
        <v>292010.95</v>
      </c>
      <c r="H598" s="18">
        <f t="shared" si="60"/>
        <v>0</v>
      </c>
      <c r="I598" s="20">
        <v>46137</v>
      </c>
      <c r="J598" s="17" t="s">
        <v>97</v>
      </c>
      <c r="K598" s="17" t="s">
        <v>520</v>
      </c>
      <c r="L598" s="17"/>
    </row>
    <row r="599" hidden="1" customHeight="1" spans="1:12">
      <c r="A599" s="17" t="s">
        <v>152</v>
      </c>
      <c r="B599" s="24" t="s">
        <v>610</v>
      </c>
      <c r="C599" s="24" t="s">
        <v>609</v>
      </c>
      <c r="D599" s="28">
        <v>5.908</v>
      </c>
      <c r="E599" s="28">
        <v>7020</v>
      </c>
      <c r="F599" s="25">
        <f t="shared" si="61"/>
        <v>41474.16</v>
      </c>
      <c r="G599" s="18">
        <v>0</v>
      </c>
      <c r="H599" s="18">
        <f t="shared" si="60"/>
        <v>41474.16</v>
      </c>
      <c r="I599" s="20">
        <v>46137</v>
      </c>
      <c r="J599" s="17" t="s">
        <v>560</v>
      </c>
      <c r="K599" s="17" t="s">
        <v>520</v>
      </c>
      <c r="L599" s="17"/>
    </row>
    <row r="600" customHeight="1" spans="1:12">
      <c r="A600" s="17" t="s">
        <v>18</v>
      </c>
      <c r="B600" s="24" t="s">
        <v>611</v>
      </c>
      <c r="C600" s="24" t="s">
        <v>612</v>
      </c>
      <c r="D600" s="28">
        <v>6.695</v>
      </c>
      <c r="E600" s="17">
        <v>6255</v>
      </c>
      <c r="F600" s="25">
        <f t="shared" si="61"/>
        <v>41877.225</v>
      </c>
      <c r="G600" s="18">
        <v>0</v>
      </c>
      <c r="H600" s="18">
        <f t="shared" si="60"/>
        <v>41877.225</v>
      </c>
      <c r="I600" s="20">
        <v>46199</v>
      </c>
      <c r="J600" s="17" t="s">
        <v>560</v>
      </c>
      <c r="K600" s="17" t="s">
        <v>520</v>
      </c>
      <c r="L600" s="17"/>
    </row>
    <row r="601" customHeight="1" spans="1:12">
      <c r="A601" s="17" t="s">
        <v>18</v>
      </c>
      <c r="B601" s="24" t="s">
        <v>613</v>
      </c>
      <c r="C601" s="24" t="s">
        <v>612</v>
      </c>
      <c r="D601" s="28">
        <v>78.055</v>
      </c>
      <c r="E601" s="17">
        <v>6255</v>
      </c>
      <c r="F601" s="25">
        <f t="shared" si="61"/>
        <v>488234.025</v>
      </c>
      <c r="G601" s="18">
        <f>442080.3455+46153.69</f>
        <v>488234.0355</v>
      </c>
      <c r="H601" s="18">
        <f t="shared" si="60"/>
        <v>-0.0104999999748543</v>
      </c>
      <c r="I601" s="20">
        <v>46199</v>
      </c>
      <c r="J601" s="17" t="s">
        <v>21</v>
      </c>
      <c r="K601" s="17" t="s">
        <v>520</v>
      </c>
      <c r="L601" s="17"/>
    </row>
    <row r="602" customHeight="1" spans="1:12">
      <c r="A602" s="17" t="s">
        <v>18</v>
      </c>
      <c r="B602" s="24" t="s">
        <v>614</v>
      </c>
      <c r="C602" s="24" t="s">
        <v>612</v>
      </c>
      <c r="D602" s="28">
        <v>27.695</v>
      </c>
      <c r="E602" s="17">
        <v>6255</v>
      </c>
      <c r="F602" s="25">
        <f t="shared" si="61"/>
        <v>173232.225</v>
      </c>
      <c r="G602" s="18">
        <v>173232.225</v>
      </c>
      <c r="H602" s="18">
        <f t="shared" si="60"/>
        <v>0</v>
      </c>
      <c r="I602" s="20">
        <v>46196</v>
      </c>
      <c r="J602" s="17" t="s">
        <v>21</v>
      </c>
      <c r="K602" s="17" t="s">
        <v>520</v>
      </c>
      <c r="L602" s="17"/>
    </row>
    <row r="603" customHeight="1" spans="1:12">
      <c r="A603" s="17" t="s">
        <v>18</v>
      </c>
      <c r="B603" s="24" t="s">
        <v>615</v>
      </c>
      <c r="C603" s="24" t="s">
        <v>616</v>
      </c>
      <c r="D603" s="28">
        <v>51.389</v>
      </c>
      <c r="E603" s="17">
        <v>6155</v>
      </c>
      <c r="F603" s="25">
        <f t="shared" si="61"/>
        <v>316299.295</v>
      </c>
      <c r="G603" s="18">
        <f>F603</f>
        <v>316299.295</v>
      </c>
      <c r="H603" s="18">
        <f t="shared" si="60"/>
        <v>0</v>
      </c>
      <c r="I603" s="20">
        <v>46137</v>
      </c>
      <c r="J603" s="17" t="s">
        <v>21</v>
      </c>
      <c r="K603" s="17" t="s">
        <v>520</v>
      </c>
      <c r="L603" s="17"/>
    </row>
    <row r="604" customHeight="1" spans="1:12">
      <c r="A604" s="17" t="s">
        <v>18</v>
      </c>
      <c r="B604" s="24" t="s">
        <v>617</v>
      </c>
      <c r="C604" s="24" t="s">
        <v>618</v>
      </c>
      <c r="D604" s="28">
        <v>9.168</v>
      </c>
      <c r="E604" s="17">
        <v>6250</v>
      </c>
      <c r="F604" s="25">
        <f t="shared" si="61"/>
        <v>57300</v>
      </c>
      <c r="G604" s="18">
        <f>61875-4575</f>
        <v>57300</v>
      </c>
      <c r="H604" s="18">
        <f t="shared" si="60"/>
        <v>0</v>
      </c>
      <c r="I604" s="20">
        <v>46174</v>
      </c>
      <c r="J604" s="17" t="s">
        <v>21</v>
      </c>
      <c r="K604" s="24" t="s">
        <v>223</v>
      </c>
      <c r="L604" s="17"/>
    </row>
    <row r="605" customHeight="1" spans="1:12">
      <c r="A605" s="17" t="s">
        <v>18</v>
      </c>
      <c r="B605" s="24" t="s">
        <v>617</v>
      </c>
      <c r="C605" s="24" t="s">
        <v>619</v>
      </c>
      <c r="D605" s="28">
        <v>18.034</v>
      </c>
      <c r="E605" s="17">
        <v>5850</v>
      </c>
      <c r="F605" s="25">
        <f t="shared" si="61"/>
        <v>105498.9</v>
      </c>
      <c r="G605" s="18">
        <f>89505+4575+11418.9</f>
        <v>105498.9</v>
      </c>
      <c r="H605" s="18">
        <f t="shared" si="60"/>
        <v>0</v>
      </c>
      <c r="I605" s="20">
        <v>46174</v>
      </c>
      <c r="J605" s="17" t="s">
        <v>21</v>
      </c>
      <c r="K605" s="24" t="s">
        <v>223</v>
      </c>
      <c r="L605" s="17"/>
    </row>
    <row r="606" customHeight="1" spans="1:12">
      <c r="A606" s="17" t="s">
        <v>18</v>
      </c>
      <c r="B606" s="24" t="s">
        <v>620</v>
      </c>
      <c r="C606" s="24" t="s">
        <v>621</v>
      </c>
      <c r="D606" s="81">
        <v>45.13</v>
      </c>
      <c r="E606" s="17">
        <v>6550</v>
      </c>
      <c r="F606" s="25">
        <f t="shared" si="61"/>
        <v>295601.5</v>
      </c>
      <c r="G606" s="18">
        <f>221540+132160-58098.5</f>
        <v>295601.5</v>
      </c>
      <c r="H606" s="18">
        <f t="shared" si="60"/>
        <v>0</v>
      </c>
      <c r="I606" s="20">
        <v>46178</v>
      </c>
      <c r="J606" s="17" t="s">
        <v>21</v>
      </c>
      <c r="K606" s="24" t="s">
        <v>223</v>
      </c>
      <c r="L606" s="17"/>
    </row>
    <row r="607" customHeight="1" spans="1:12">
      <c r="A607" s="17" t="s">
        <v>18</v>
      </c>
      <c r="B607" s="24" t="s">
        <v>622</v>
      </c>
      <c r="C607" s="24" t="s">
        <v>623</v>
      </c>
      <c r="D607" s="81">
        <v>54.18</v>
      </c>
      <c r="E607" s="17">
        <v>6400</v>
      </c>
      <c r="F607" s="25">
        <f t="shared" si="61"/>
        <v>346752</v>
      </c>
      <c r="G607" s="18">
        <f>715435.8825-G606-G608+281184.12</f>
        <v>346752.0025</v>
      </c>
      <c r="H607" s="18">
        <f t="shared" si="60"/>
        <v>-0.00249999994412065</v>
      </c>
      <c r="I607" s="20">
        <v>46178</v>
      </c>
      <c r="J607" s="17" t="s">
        <v>21</v>
      </c>
      <c r="K607" s="24" t="s">
        <v>223</v>
      </c>
      <c r="L607" s="17"/>
    </row>
    <row r="608" customHeight="1" spans="1:12">
      <c r="A608" s="17" t="s">
        <v>18</v>
      </c>
      <c r="B608" s="24" t="s">
        <v>620</v>
      </c>
      <c r="C608" s="24" t="s">
        <v>624</v>
      </c>
      <c r="D608" s="81">
        <v>55.79</v>
      </c>
      <c r="E608" s="17">
        <v>6350</v>
      </c>
      <c r="F608" s="25">
        <f t="shared" si="61"/>
        <v>354266.5</v>
      </c>
      <c r="G608" s="18">
        <v>354266.5</v>
      </c>
      <c r="H608" s="18">
        <f t="shared" si="60"/>
        <v>0</v>
      </c>
      <c r="I608" s="20">
        <v>46178</v>
      </c>
      <c r="J608" s="17" t="s">
        <v>21</v>
      </c>
      <c r="K608" s="24" t="s">
        <v>223</v>
      </c>
      <c r="L608" s="17"/>
    </row>
    <row r="609" customHeight="1" spans="1:12">
      <c r="A609" s="17" t="s">
        <v>18</v>
      </c>
      <c r="B609" s="24" t="s">
        <v>625</v>
      </c>
      <c r="C609" s="24" t="s">
        <v>623</v>
      </c>
      <c r="D609" s="17">
        <v>5.196</v>
      </c>
      <c r="E609" s="17">
        <v>6400</v>
      </c>
      <c r="F609" s="25">
        <f t="shared" si="61"/>
        <v>33254.4</v>
      </c>
      <c r="G609" s="18">
        <v>33254.4</v>
      </c>
      <c r="H609" s="18">
        <f t="shared" si="60"/>
        <v>0</v>
      </c>
      <c r="I609" s="20">
        <v>46178</v>
      </c>
      <c r="J609" s="17" t="s">
        <v>21</v>
      </c>
      <c r="K609" s="24" t="s">
        <v>223</v>
      </c>
      <c r="L609" s="17"/>
    </row>
    <row r="610" hidden="1" customHeight="1" spans="1:12">
      <c r="A610" s="73" t="s">
        <v>302</v>
      </c>
      <c r="B610" s="24" t="s">
        <v>198</v>
      </c>
      <c r="C610" s="27" t="s">
        <v>305</v>
      </c>
      <c r="D610" s="17">
        <v>7.249</v>
      </c>
      <c r="E610" s="17">
        <v>2551</v>
      </c>
      <c r="F610" s="25">
        <f t="shared" si="61"/>
        <v>18492.199</v>
      </c>
      <c r="G610" s="18">
        <v>18492.199</v>
      </c>
      <c r="H610" s="18">
        <f t="shared" si="60"/>
        <v>0</v>
      </c>
      <c r="I610" s="20">
        <v>46059</v>
      </c>
      <c r="J610" s="96" t="s">
        <v>21</v>
      </c>
      <c r="K610" s="22"/>
      <c r="L610" s="17"/>
    </row>
    <row r="611" hidden="1" customHeight="1" spans="1:12">
      <c r="A611" s="73" t="s">
        <v>302</v>
      </c>
      <c r="B611" s="24" t="s">
        <v>198</v>
      </c>
      <c r="C611" s="24" t="s">
        <v>284</v>
      </c>
      <c r="D611" s="17">
        <v>1.103</v>
      </c>
      <c r="E611" s="17">
        <v>2551</v>
      </c>
      <c r="F611" s="25">
        <f t="shared" si="61"/>
        <v>2813.753</v>
      </c>
      <c r="G611" s="18">
        <v>2813.753</v>
      </c>
      <c r="H611" s="18">
        <f t="shared" si="60"/>
        <v>0</v>
      </c>
      <c r="I611" s="20">
        <v>46059</v>
      </c>
      <c r="J611" s="96" t="s">
        <v>21</v>
      </c>
      <c r="K611" s="22"/>
      <c r="L611" s="17"/>
    </row>
    <row r="612" hidden="1" customHeight="1" spans="1:12">
      <c r="A612" s="73" t="s">
        <v>302</v>
      </c>
      <c r="B612" s="24" t="s">
        <v>215</v>
      </c>
      <c r="C612" s="24" t="s">
        <v>284</v>
      </c>
      <c r="D612" s="17">
        <v>1.515</v>
      </c>
      <c r="E612" s="17">
        <v>2551</v>
      </c>
      <c r="F612" s="25">
        <f t="shared" si="61"/>
        <v>3864.765</v>
      </c>
      <c r="G612" s="18">
        <v>3864.765</v>
      </c>
      <c r="H612" s="18">
        <f t="shared" si="60"/>
        <v>0</v>
      </c>
      <c r="I612" s="20">
        <v>46059</v>
      </c>
      <c r="J612" s="96" t="s">
        <v>21</v>
      </c>
      <c r="K612" s="22"/>
      <c r="L612" s="17"/>
    </row>
    <row r="613" hidden="1" customHeight="1" spans="1:12">
      <c r="A613" s="72" t="s">
        <v>302</v>
      </c>
      <c r="B613" s="120" t="s">
        <v>215</v>
      </c>
      <c r="C613" s="120" t="s">
        <v>90</v>
      </c>
      <c r="D613" s="70">
        <v>4.815</v>
      </c>
      <c r="E613" s="70">
        <v>2449</v>
      </c>
      <c r="F613" s="168">
        <f t="shared" si="61"/>
        <v>11791.935</v>
      </c>
      <c r="G613" s="52">
        <v>11791.935</v>
      </c>
      <c r="H613" s="52">
        <f t="shared" si="60"/>
        <v>0</v>
      </c>
      <c r="I613" s="85">
        <v>46059</v>
      </c>
      <c r="J613" s="76" t="s">
        <v>21</v>
      </c>
      <c r="K613" s="79"/>
      <c r="L613" s="70"/>
    </row>
    <row r="614" hidden="1" customHeight="1" spans="1:12">
      <c r="A614" s="17" t="s">
        <v>164</v>
      </c>
      <c r="B614" s="24" t="s">
        <v>626</v>
      </c>
      <c r="C614" s="24" t="s">
        <v>166</v>
      </c>
      <c r="D614" s="17">
        <v>1960400</v>
      </c>
      <c r="E614" s="17">
        <v>0.12351</v>
      </c>
      <c r="F614" s="25">
        <f t="shared" si="61"/>
        <v>242129.004</v>
      </c>
      <c r="G614" s="18">
        <v>242129</v>
      </c>
      <c r="H614" s="18">
        <f t="shared" si="60"/>
        <v>0.00399999998626299</v>
      </c>
      <c r="I614" s="20">
        <v>46127</v>
      </c>
      <c r="J614" s="96" t="s">
        <v>21</v>
      </c>
      <c r="K614" s="22"/>
      <c r="L614" s="17"/>
    </row>
    <row r="615" ht="45" spans="1:12">
      <c r="A615" s="17" t="s">
        <v>18</v>
      </c>
      <c r="B615" s="24" t="s">
        <v>627</v>
      </c>
      <c r="C615" s="27" t="s">
        <v>628</v>
      </c>
      <c r="D615" s="17">
        <v>6600</v>
      </c>
      <c r="E615" s="17">
        <v>1.489</v>
      </c>
      <c r="F615" s="25">
        <f t="shared" si="61"/>
        <v>9827.4</v>
      </c>
      <c r="G615" s="18">
        <v>9827.4</v>
      </c>
      <c r="H615" s="18">
        <f t="shared" si="60"/>
        <v>0</v>
      </c>
      <c r="I615" s="20">
        <v>46162</v>
      </c>
      <c r="J615" s="17" t="s">
        <v>21</v>
      </c>
      <c r="K615" s="24" t="s">
        <v>223</v>
      </c>
      <c r="L615" s="17"/>
    </row>
    <row r="616" ht="45" spans="1:12">
      <c r="A616" s="17" t="s">
        <v>18</v>
      </c>
      <c r="B616" s="24" t="s">
        <v>627</v>
      </c>
      <c r="C616" s="27" t="s">
        <v>629</v>
      </c>
      <c r="D616" s="17">
        <v>13200</v>
      </c>
      <c r="E616" s="17">
        <v>1.534</v>
      </c>
      <c r="F616" s="25">
        <f t="shared" si="61"/>
        <v>20248.8</v>
      </c>
      <c r="G616" s="18">
        <v>20248.8</v>
      </c>
      <c r="H616" s="18">
        <f t="shared" si="60"/>
        <v>0</v>
      </c>
      <c r="I616" s="20">
        <v>46162</v>
      </c>
      <c r="J616" s="17" t="s">
        <v>21</v>
      </c>
      <c r="K616" s="24" t="s">
        <v>223</v>
      </c>
      <c r="L616" s="17"/>
    </row>
    <row r="617" ht="45" spans="1:12">
      <c r="A617" s="17" t="s">
        <v>18</v>
      </c>
      <c r="B617" s="24" t="s">
        <v>627</v>
      </c>
      <c r="C617" s="27" t="s">
        <v>630</v>
      </c>
      <c r="D617" s="17">
        <v>6600</v>
      </c>
      <c r="E617" s="17">
        <v>1.6507</v>
      </c>
      <c r="F617" s="25">
        <f t="shared" si="61"/>
        <v>10894.62</v>
      </c>
      <c r="G617" s="18">
        <v>10894.62</v>
      </c>
      <c r="H617" s="18">
        <f t="shared" ref="H617:H680" si="62">F617-G617</f>
        <v>0</v>
      </c>
      <c r="I617" s="20">
        <v>46162</v>
      </c>
      <c r="J617" s="17" t="s">
        <v>21</v>
      </c>
      <c r="K617" s="24" t="s">
        <v>223</v>
      </c>
      <c r="L617" s="17"/>
    </row>
    <row r="618" ht="30" spans="1:12">
      <c r="A618" s="17" t="s">
        <v>18</v>
      </c>
      <c r="B618" s="24" t="s">
        <v>627</v>
      </c>
      <c r="C618" s="27" t="s">
        <v>631</v>
      </c>
      <c r="D618" s="17">
        <v>13200</v>
      </c>
      <c r="E618" s="17">
        <v>1.6956</v>
      </c>
      <c r="F618" s="25">
        <f t="shared" si="61"/>
        <v>22381.92</v>
      </c>
      <c r="G618" s="18">
        <v>22381.92</v>
      </c>
      <c r="H618" s="18">
        <f t="shared" si="62"/>
        <v>0</v>
      </c>
      <c r="I618" s="20">
        <v>46162</v>
      </c>
      <c r="J618" s="17" t="s">
        <v>21</v>
      </c>
      <c r="K618" s="24" t="s">
        <v>223</v>
      </c>
      <c r="L618" s="17"/>
    </row>
    <row r="619" ht="30" spans="1:12">
      <c r="A619" s="17" t="s">
        <v>18</v>
      </c>
      <c r="B619" s="24" t="s">
        <v>627</v>
      </c>
      <c r="C619" s="27" t="s">
        <v>632</v>
      </c>
      <c r="D619" s="17">
        <v>2200</v>
      </c>
      <c r="E619" s="17">
        <v>2.6568</v>
      </c>
      <c r="F619" s="25">
        <f t="shared" si="61"/>
        <v>5844.96</v>
      </c>
      <c r="G619" s="18">
        <v>5844.96</v>
      </c>
      <c r="H619" s="18">
        <f t="shared" si="62"/>
        <v>0</v>
      </c>
      <c r="I619" s="20">
        <v>46162</v>
      </c>
      <c r="J619" s="17" t="s">
        <v>21</v>
      </c>
      <c r="K619" s="24" t="s">
        <v>223</v>
      </c>
      <c r="L619" s="17"/>
    </row>
    <row r="620" ht="45" spans="1:12">
      <c r="A620" s="17" t="s">
        <v>18</v>
      </c>
      <c r="B620" s="24" t="s">
        <v>627</v>
      </c>
      <c r="C620" s="27" t="s">
        <v>633</v>
      </c>
      <c r="D620" s="17">
        <v>2200</v>
      </c>
      <c r="E620" s="17">
        <v>2.7016</v>
      </c>
      <c r="F620" s="25">
        <f t="shared" si="61"/>
        <v>5943.52</v>
      </c>
      <c r="G620" s="18">
        <v>5943.52</v>
      </c>
      <c r="H620" s="18">
        <f t="shared" si="62"/>
        <v>0</v>
      </c>
      <c r="I620" s="20">
        <v>46162</v>
      </c>
      <c r="J620" s="17" t="s">
        <v>21</v>
      </c>
      <c r="K620" s="24" t="s">
        <v>223</v>
      </c>
      <c r="L620" s="17"/>
    </row>
    <row r="621" ht="45" spans="1:12">
      <c r="A621" s="17" t="s">
        <v>18</v>
      </c>
      <c r="B621" s="24" t="s">
        <v>627</v>
      </c>
      <c r="C621" s="27" t="s">
        <v>634</v>
      </c>
      <c r="D621" s="17">
        <v>2200</v>
      </c>
      <c r="E621" s="17">
        <v>2.6568</v>
      </c>
      <c r="F621" s="25">
        <f t="shared" si="61"/>
        <v>5844.96</v>
      </c>
      <c r="G621" s="18">
        <v>5844.96</v>
      </c>
      <c r="H621" s="18">
        <f t="shared" si="62"/>
        <v>0</v>
      </c>
      <c r="I621" s="20">
        <v>46162</v>
      </c>
      <c r="J621" s="17" t="s">
        <v>21</v>
      </c>
      <c r="K621" s="24" t="s">
        <v>223</v>
      </c>
      <c r="L621" s="17"/>
    </row>
    <row r="622" ht="45" spans="1:12">
      <c r="A622" s="17" t="s">
        <v>18</v>
      </c>
      <c r="B622" s="24" t="s">
        <v>627</v>
      </c>
      <c r="C622" s="27" t="s">
        <v>635</v>
      </c>
      <c r="D622" s="17">
        <v>2200</v>
      </c>
      <c r="E622" s="17">
        <v>2.7016</v>
      </c>
      <c r="F622" s="25">
        <f t="shared" si="61"/>
        <v>5943.52</v>
      </c>
      <c r="G622" s="18">
        <v>5943.52</v>
      </c>
      <c r="H622" s="18">
        <f t="shared" si="62"/>
        <v>0</v>
      </c>
      <c r="I622" s="20">
        <v>46162</v>
      </c>
      <c r="J622" s="17" t="s">
        <v>21</v>
      </c>
      <c r="K622" s="24" t="s">
        <v>223</v>
      </c>
      <c r="L622" s="17"/>
    </row>
    <row r="623" hidden="1" customHeight="1" spans="1:12">
      <c r="A623" s="17" t="s">
        <v>302</v>
      </c>
      <c r="B623" s="24" t="s">
        <v>216</v>
      </c>
      <c r="C623" s="24" t="s">
        <v>284</v>
      </c>
      <c r="D623" s="17">
        <v>49.995</v>
      </c>
      <c r="E623" s="17">
        <v>2551</v>
      </c>
      <c r="F623" s="25">
        <f t="shared" si="61"/>
        <v>127537.245</v>
      </c>
      <c r="G623" s="18">
        <v>127537.245</v>
      </c>
      <c r="H623" s="18">
        <f t="shared" si="62"/>
        <v>0</v>
      </c>
      <c r="I623" s="20">
        <v>46107</v>
      </c>
      <c r="J623" s="96" t="s">
        <v>21</v>
      </c>
      <c r="K623" s="22"/>
      <c r="L623" s="17"/>
    </row>
    <row r="624" hidden="1" customHeight="1" spans="1:12">
      <c r="A624" s="17" t="s">
        <v>302</v>
      </c>
      <c r="B624" s="24" t="s">
        <v>216</v>
      </c>
      <c r="C624" s="27" t="s">
        <v>305</v>
      </c>
      <c r="D624" s="17">
        <v>86.355</v>
      </c>
      <c r="E624" s="17">
        <v>2551</v>
      </c>
      <c r="F624" s="25">
        <f t="shared" si="61"/>
        <v>220291.605</v>
      </c>
      <c r="G624" s="18">
        <v>220291.605</v>
      </c>
      <c r="H624" s="18">
        <f t="shared" si="62"/>
        <v>0</v>
      </c>
      <c r="I624" s="20">
        <v>46107</v>
      </c>
      <c r="J624" s="96" t="s">
        <v>21</v>
      </c>
      <c r="K624" s="22"/>
      <c r="L624" s="17"/>
    </row>
    <row r="625" hidden="1" customHeight="1" spans="1:12">
      <c r="A625" s="70" t="s">
        <v>302</v>
      </c>
      <c r="B625" s="120" t="s">
        <v>217</v>
      </c>
      <c r="C625" s="120" t="s">
        <v>284</v>
      </c>
      <c r="D625" s="70">
        <v>3.621</v>
      </c>
      <c r="E625" s="70">
        <v>2551</v>
      </c>
      <c r="F625" s="168">
        <f t="shared" si="61"/>
        <v>9237.171</v>
      </c>
      <c r="G625" s="52">
        <v>9237.171</v>
      </c>
      <c r="H625" s="52">
        <f t="shared" si="62"/>
        <v>0</v>
      </c>
      <c r="I625" s="20">
        <v>46107</v>
      </c>
      <c r="J625" s="76" t="s">
        <v>21</v>
      </c>
      <c r="K625" s="79"/>
      <c r="L625" s="70"/>
    </row>
    <row r="626" hidden="1" customHeight="1" spans="1:12">
      <c r="A626" s="17" t="s">
        <v>164</v>
      </c>
      <c r="B626" s="24" t="s">
        <v>636</v>
      </c>
      <c r="C626" s="24" t="s">
        <v>166</v>
      </c>
      <c r="D626" s="17">
        <f>1960400*2</f>
        <v>3920800</v>
      </c>
      <c r="E626" s="17">
        <v>0.123</v>
      </c>
      <c r="F626" s="25">
        <f t="shared" si="61"/>
        <v>482258.4</v>
      </c>
      <c r="G626" s="18">
        <v>482258.4</v>
      </c>
      <c r="H626" s="18">
        <f t="shared" si="62"/>
        <v>0</v>
      </c>
      <c r="I626" s="20">
        <v>46140</v>
      </c>
      <c r="J626" s="17"/>
      <c r="K626" s="17"/>
      <c r="L626" s="17"/>
    </row>
    <row r="627" customHeight="1" spans="1:12">
      <c r="A627" s="17" t="s">
        <v>18</v>
      </c>
      <c r="B627" s="24" t="s">
        <v>637</v>
      </c>
      <c r="C627" s="24" t="s">
        <v>638</v>
      </c>
      <c r="D627" s="17">
        <v>27.27</v>
      </c>
      <c r="E627" s="17">
        <v>6550</v>
      </c>
      <c r="F627" s="25">
        <f t="shared" si="61"/>
        <v>178618.5</v>
      </c>
      <c r="G627" s="18">
        <v>178618.5</v>
      </c>
      <c r="H627" s="18">
        <f t="shared" si="62"/>
        <v>0</v>
      </c>
      <c r="I627" s="20">
        <v>46280</v>
      </c>
      <c r="J627" s="17" t="s">
        <v>21</v>
      </c>
      <c r="K627" s="24" t="s">
        <v>223</v>
      </c>
      <c r="L627" s="17"/>
    </row>
    <row r="628" customHeight="1" spans="1:12">
      <c r="A628" s="17" t="s">
        <v>18</v>
      </c>
      <c r="B628" s="24" t="s">
        <v>639</v>
      </c>
      <c r="C628" s="24" t="s">
        <v>98</v>
      </c>
      <c r="D628" s="17">
        <v>33.03</v>
      </c>
      <c r="E628" s="17">
        <v>6250</v>
      </c>
      <c r="F628" s="25">
        <f t="shared" si="61"/>
        <v>206437.5</v>
      </c>
      <c r="G628" s="18">
        <f>634.400000000023+205803.1</f>
        <v>206437.5</v>
      </c>
      <c r="H628" s="18">
        <f t="shared" si="62"/>
        <v>0</v>
      </c>
      <c r="I628" s="89">
        <v>46174</v>
      </c>
      <c r="J628" s="86" t="s">
        <v>21</v>
      </c>
      <c r="K628" s="24" t="s">
        <v>223</v>
      </c>
      <c r="L628" s="17"/>
    </row>
    <row r="629" customHeight="1" spans="1:12">
      <c r="A629" s="17" t="s">
        <v>18</v>
      </c>
      <c r="B629" s="24" t="s">
        <v>640</v>
      </c>
      <c r="C629" s="24" t="s">
        <v>641</v>
      </c>
      <c r="D629" s="17">
        <v>20.147</v>
      </c>
      <c r="E629" s="17">
        <v>6350</v>
      </c>
      <c r="F629" s="25">
        <f t="shared" si="61"/>
        <v>127933.45</v>
      </c>
      <c r="G629" s="18">
        <v>127933.45</v>
      </c>
      <c r="H629" s="18">
        <f t="shared" si="62"/>
        <v>0</v>
      </c>
      <c r="I629" s="20">
        <v>46188</v>
      </c>
      <c r="J629" s="17" t="s">
        <v>21</v>
      </c>
      <c r="K629" s="24" t="s">
        <v>223</v>
      </c>
      <c r="L629" s="17"/>
    </row>
    <row r="630" customHeight="1" spans="1:12">
      <c r="A630" s="17" t="s">
        <v>18</v>
      </c>
      <c r="B630" s="24" t="s">
        <v>642</v>
      </c>
      <c r="C630" s="24" t="s">
        <v>641</v>
      </c>
      <c r="D630" s="17">
        <v>21.168</v>
      </c>
      <c r="E630" s="17">
        <v>6350</v>
      </c>
      <c r="F630" s="25">
        <f t="shared" si="61"/>
        <v>134416.8</v>
      </c>
      <c r="G630" s="18">
        <v>134416.8</v>
      </c>
      <c r="H630" s="18">
        <f t="shared" si="62"/>
        <v>0</v>
      </c>
      <c r="I630" s="20">
        <v>46188</v>
      </c>
      <c r="J630" s="17"/>
      <c r="K630" s="24" t="s">
        <v>223</v>
      </c>
      <c r="L630" s="17"/>
    </row>
    <row r="631" customHeight="1" spans="1:12">
      <c r="A631" s="17" t="s">
        <v>18</v>
      </c>
      <c r="B631" s="24" t="s">
        <v>642</v>
      </c>
      <c r="C631" s="24" t="s">
        <v>643</v>
      </c>
      <c r="D631" s="17">
        <v>115.14</v>
      </c>
      <c r="E631" s="17">
        <v>6550</v>
      </c>
      <c r="F631" s="25">
        <f t="shared" si="61"/>
        <v>754167</v>
      </c>
      <c r="G631" s="18">
        <f>537649.75+47585.26+168931.99</f>
        <v>754167</v>
      </c>
      <c r="H631" s="18">
        <f t="shared" si="62"/>
        <v>0</v>
      </c>
      <c r="I631" s="20">
        <v>46188</v>
      </c>
      <c r="J631" s="17" t="s">
        <v>21</v>
      </c>
      <c r="K631" s="24" t="s">
        <v>223</v>
      </c>
      <c r="L631" s="17"/>
    </row>
    <row r="632" customHeight="1" spans="1:12">
      <c r="A632" s="17" t="s">
        <v>18</v>
      </c>
      <c r="B632" s="24" t="s">
        <v>644</v>
      </c>
      <c r="C632" s="24" t="s">
        <v>643</v>
      </c>
      <c r="D632" s="17">
        <v>60.373</v>
      </c>
      <c r="E632" s="17">
        <v>6550</v>
      </c>
      <c r="F632" s="25">
        <f t="shared" si="61"/>
        <v>395443.15</v>
      </c>
      <c r="G632" s="18">
        <v>395443.15</v>
      </c>
      <c r="H632" s="18">
        <f t="shared" si="62"/>
        <v>0</v>
      </c>
      <c r="I632" s="20">
        <v>46202</v>
      </c>
      <c r="J632" s="17" t="s">
        <v>21</v>
      </c>
      <c r="K632" s="24" t="s">
        <v>223</v>
      </c>
      <c r="L632" s="17"/>
    </row>
    <row r="633" customHeight="1" spans="1:12">
      <c r="A633" s="17" t="s">
        <v>18</v>
      </c>
      <c r="B633" s="24" t="s">
        <v>645</v>
      </c>
      <c r="C633" s="24" t="s">
        <v>643</v>
      </c>
      <c r="D633" s="17">
        <v>0.828</v>
      </c>
      <c r="E633" s="17">
        <v>6550</v>
      </c>
      <c r="F633" s="25">
        <f t="shared" si="61"/>
        <v>5423.4</v>
      </c>
      <c r="G633" s="18">
        <v>5423.4</v>
      </c>
      <c r="H633" s="18">
        <f t="shared" si="62"/>
        <v>0</v>
      </c>
      <c r="I633" s="20">
        <v>46202</v>
      </c>
      <c r="J633" s="17" t="s">
        <v>21</v>
      </c>
      <c r="K633" s="24" t="s">
        <v>223</v>
      </c>
      <c r="L633" s="17"/>
    </row>
    <row r="634" customHeight="1" spans="1:12">
      <c r="A634" s="17" t="s">
        <v>18</v>
      </c>
      <c r="B634" s="24" t="s">
        <v>646</v>
      </c>
      <c r="C634" s="24" t="s">
        <v>647</v>
      </c>
      <c r="D634" s="17">
        <v>80</v>
      </c>
      <c r="E634" s="17">
        <v>6350</v>
      </c>
      <c r="F634" s="25">
        <f t="shared" si="61"/>
        <v>508000</v>
      </c>
      <c r="G634" s="18">
        <v>0</v>
      </c>
      <c r="H634" s="18">
        <f t="shared" si="62"/>
        <v>508000</v>
      </c>
      <c r="I634" s="20">
        <v>46280</v>
      </c>
      <c r="J634" s="17"/>
      <c r="K634" s="24" t="s">
        <v>223</v>
      </c>
      <c r="L634" s="17"/>
    </row>
    <row r="635" hidden="1" customHeight="1" spans="1:12">
      <c r="A635" s="70" t="s">
        <v>302</v>
      </c>
      <c r="B635" s="24" t="s">
        <v>218</v>
      </c>
      <c r="C635" s="90" t="s">
        <v>200</v>
      </c>
      <c r="D635" s="70">
        <v>16.665</v>
      </c>
      <c r="E635" s="70">
        <v>2551</v>
      </c>
      <c r="F635" s="168">
        <f t="shared" si="61"/>
        <v>42512.415</v>
      </c>
      <c r="G635" s="52">
        <v>42512.415</v>
      </c>
      <c r="H635" s="52">
        <f t="shared" si="62"/>
        <v>0</v>
      </c>
      <c r="I635" s="20">
        <v>46111</v>
      </c>
      <c r="J635" s="76" t="s">
        <v>21</v>
      </c>
      <c r="K635" s="79"/>
      <c r="L635" s="70"/>
    </row>
    <row r="636" hidden="1" customHeight="1" spans="1:12">
      <c r="A636" s="17" t="s">
        <v>302</v>
      </c>
      <c r="B636" s="24" t="s">
        <v>218</v>
      </c>
      <c r="C636" s="188" t="s">
        <v>202</v>
      </c>
      <c r="D636" s="17">
        <v>69.661</v>
      </c>
      <c r="E636" s="17">
        <v>2449</v>
      </c>
      <c r="F636" s="25">
        <f t="shared" si="61"/>
        <v>170599.789</v>
      </c>
      <c r="G636" s="18">
        <f>170528.768+71.0209999999788</f>
        <v>170599.789</v>
      </c>
      <c r="H636" s="18">
        <f t="shared" si="62"/>
        <v>0</v>
      </c>
      <c r="I636" s="20">
        <v>46111</v>
      </c>
      <c r="J636" s="17" t="s">
        <v>21</v>
      </c>
      <c r="K636" s="17"/>
      <c r="L636" s="17"/>
    </row>
    <row r="637" customHeight="1" spans="1:12">
      <c r="A637" s="17" t="s">
        <v>18</v>
      </c>
      <c r="B637" s="24" t="s">
        <v>648</v>
      </c>
      <c r="C637" s="24" t="s">
        <v>649</v>
      </c>
      <c r="D637" s="24">
        <v>1026000</v>
      </c>
      <c r="E637" s="29">
        <v>0.2803</v>
      </c>
      <c r="F637" s="25">
        <f t="shared" si="61"/>
        <v>287587.8</v>
      </c>
      <c r="G637" s="18">
        <v>287587.8</v>
      </c>
      <c r="H637" s="18">
        <f t="shared" si="62"/>
        <v>0</v>
      </c>
      <c r="I637" s="20">
        <v>46198</v>
      </c>
      <c r="J637" s="17"/>
      <c r="K637" s="17" t="s">
        <v>650</v>
      </c>
      <c r="L637" s="17"/>
    </row>
    <row r="638" customHeight="1" spans="1:12">
      <c r="A638" s="17" t="s">
        <v>18</v>
      </c>
      <c r="B638" s="24" t="s">
        <v>648</v>
      </c>
      <c r="C638" s="24" t="s">
        <v>651</v>
      </c>
      <c r="D638" s="24">
        <v>1026000</v>
      </c>
      <c r="E638" s="29">
        <v>0.144</v>
      </c>
      <c r="F638" s="25">
        <f t="shared" si="61"/>
        <v>147744</v>
      </c>
      <c r="G638" s="18">
        <v>147744</v>
      </c>
      <c r="H638" s="18">
        <f t="shared" si="62"/>
        <v>0</v>
      </c>
      <c r="I638" s="20">
        <v>46198</v>
      </c>
      <c r="J638" s="17"/>
      <c r="K638" s="17" t="s">
        <v>650</v>
      </c>
      <c r="L638" s="17"/>
    </row>
    <row r="639" hidden="1" customHeight="1" spans="1:12">
      <c r="A639" s="17" t="s">
        <v>139</v>
      </c>
      <c r="B639" s="24" t="s">
        <v>652</v>
      </c>
      <c r="C639" s="27" t="s">
        <v>653</v>
      </c>
      <c r="D639" s="17">
        <v>16.44</v>
      </c>
      <c r="E639" s="17">
        <v>6175</v>
      </c>
      <c r="F639" s="25">
        <f t="shared" si="61"/>
        <v>101517</v>
      </c>
      <c r="G639" s="18">
        <v>101517</v>
      </c>
      <c r="H639" s="18">
        <f t="shared" si="62"/>
        <v>0</v>
      </c>
      <c r="I639" s="20">
        <v>46142</v>
      </c>
      <c r="J639" s="17" t="s">
        <v>21</v>
      </c>
      <c r="K639" s="17"/>
      <c r="L639" s="17"/>
    </row>
    <row r="640" hidden="1" customHeight="1" spans="1:12">
      <c r="A640" s="17" t="s">
        <v>139</v>
      </c>
      <c r="B640" s="24" t="s">
        <v>654</v>
      </c>
      <c r="C640" s="17" t="s">
        <v>655</v>
      </c>
      <c r="D640" s="17">
        <v>21.406</v>
      </c>
      <c r="E640" s="17">
        <v>6760</v>
      </c>
      <c r="F640" s="25">
        <f t="shared" si="61"/>
        <v>144704.56</v>
      </c>
      <c r="G640" s="18">
        <v>144704.56</v>
      </c>
      <c r="H640" s="18">
        <f t="shared" si="62"/>
        <v>0</v>
      </c>
      <c r="I640" s="20">
        <v>46171</v>
      </c>
      <c r="J640" s="17" t="s">
        <v>21</v>
      </c>
      <c r="K640" s="17"/>
      <c r="L640" s="17"/>
    </row>
    <row r="641" hidden="1" customHeight="1" spans="1:12">
      <c r="A641" s="17" t="s">
        <v>139</v>
      </c>
      <c r="B641" s="24" t="s">
        <v>656</v>
      </c>
      <c r="C641" s="17" t="s">
        <v>655</v>
      </c>
      <c r="D641" s="17">
        <v>34.503</v>
      </c>
      <c r="E641" s="17">
        <v>6760</v>
      </c>
      <c r="F641" s="25">
        <f t="shared" si="61"/>
        <v>233240.28</v>
      </c>
      <c r="G641" s="18">
        <v>233240.28</v>
      </c>
      <c r="H641" s="18">
        <f t="shared" si="62"/>
        <v>0</v>
      </c>
      <c r="I641" s="20">
        <v>46171</v>
      </c>
      <c r="J641" s="17" t="s">
        <v>21</v>
      </c>
      <c r="K641" s="17"/>
      <c r="L641" s="17"/>
    </row>
    <row r="642" hidden="1" customHeight="1" spans="1:12">
      <c r="A642" s="17" t="s">
        <v>139</v>
      </c>
      <c r="B642" s="24" t="s">
        <v>657</v>
      </c>
      <c r="C642" s="17" t="s">
        <v>406</v>
      </c>
      <c r="D642" s="28">
        <v>1.022</v>
      </c>
      <c r="E642" s="17">
        <v>6712</v>
      </c>
      <c r="F642" s="25">
        <f t="shared" si="61"/>
        <v>6859.664</v>
      </c>
      <c r="G642" s="18">
        <v>6859.664</v>
      </c>
      <c r="H642" s="18">
        <f t="shared" si="62"/>
        <v>0</v>
      </c>
      <c r="I642" s="20">
        <v>46171</v>
      </c>
      <c r="J642" s="17" t="s">
        <v>21</v>
      </c>
      <c r="K642" s="17"/>
      <c r="L642" s="17"/>
    </row>
    <row r="643" hidden="1" customHeight="1" spans="1:12">
      <c r="A643" s="17" t="s">
        <v>139</v>
      </c>
      <c r="B643" s="24" t="s">
        <v>657</v>
      </c>
      <c r="C643" s="24" t="s">
        <v>658</v>
      </c>
      <c r="D643" s="28">
        <v>1.026</v>
      </c>
      <c r="E643" s="17">
        <v>6760</v>
      </c>
      <c r="F643" s="25">
        <f t="shared" si="61"/>
        <v>6935.76</v>
      </c>
      <c r="G643" s="18">
        <v>6935.76</v>
      </c>
      <c r="H643" s="18">
        <f t="shared" si="62"/>
        <v>0</v>
      </c>
      <c r="I643" s="20">
        <v>46171</v>
      </c>
      <c r="J643" s="17" t="s">
        <v>21</v>
      </c>
      <c r="K643" s="17"/>
      <c r="L643" s="17"/>
    </row>
    <row r="644" customHeight="1" spans="1:12">
      <c r="A644" s="17" t="s">
        <v>18</v>
      </c>
      <c r="B644" s="24" t="s">
        <v>659</v>
      </c>
      <c r="C644" s="24" t="s">
        <v>612</v>
      </c>
      <c r="D644" s="28">
        <v>10.719</v>
      </c>
      <c r="E644" s="17">
        <v>6225</v>
      </c>
      <c r="F644" s="25">
        <f t="shared" si="61"/>
        <v>66725.775</v>
      </c>
      <c r="G644" s="18">
        <v>0</v>
      </c>
      <c r="H644" s="18">
        <f t="shared" si="62"/>
        <v>66725.775</v>
      </c>
      <c r="I644" s="20">
        <v>46208</v>
      </c>
      <c r="J644" s="17" t="s">
        <v>560</v>
      </c>
      <c r="K644" s="17" t="s">
        <v>520</v>
      </c>
      <c r="L644" s="17"/>
    </row>
    <row r="645" customHeight="1" spans="1:12">
      <c r="A645" s="17" t="s">
        <v>18</v>
      </c>
      <c r="B645" s="24" t="s">
        <v>660</v>
      </c>
      <c r="C645" s="24" t="s">
        <v>612</v>
      </c>
      <c r="D645" s="28">
        <v>27.272</v>
      </c>
      <c r="E645" s="17">
        <v>6225</v>
      </c>
      <c r="F645" s="25">
        <f t="shared" si="61"/>
        <v>169768.2</v>
      </c>
      <c r="G645" s="18">
        <v>169768.2</v>
      </c>
      <c r="H645" s="18">
        <f t="shared" si="62"/>
        <v>0</v>
      </c>
      <c r="I645" s="20">
        <v>46208</v>
      </c>
      <c r="J645" s="17" t="s">
        <v>21</v>
      </c>
      <c r="K645" s="17" t="s">
        <v>520</v>
      </c>
      <c r="L645" s="17"/>
    </row>
    <row r="646" customHeight="1" spans="1:12">
      <c r="A646" s="17" t="s">
        <v>18</v>
      </c>
      <c r="B646" s="24" t="s">
        <v>661</v>
      </c>
      <c r="C646" s="24" t="s">
        <v>612</v>
      </c>
      <c r="D646" s="28">
        <v>76.029</v>
      </c>
      <c r="E646" s="17">
        <v>6225</v>
      </c>
      <c r="F646" s="25">
        <f t="shared" si="61"/>
        <v>473280.525</v>
      </c>
      <c r="G646" s="18">
        <f>323156.8+150123.725</f>
        <v>473280.525</v>
      </c>
      <c r="H646" s="18">
        <f t="shared" si="62"/>
        <v>0</v>
      </c>
      <c r="I646" s="20">
        <v>46208</v>
      </c>
      <c r="J646" s="17" t="s">
        <v>21</v>
      </c>
      <c r="K646" s="17" t="s">
        <v>520</v>
      </c>
      <c r="L646" s="17"/>
    </row>
    <row r="647" customHeight="1" spans="1:12">
      <c r="A647" s="17" t="s">
        <v>18</v>
      </c>
      <c r="B647" s="24" t="s">
        <v>661</v>
      </c>
      <c r="C647" s="24" t="s">
        <v>616</v>
      </c>
      <c r="D647" s="28">
        <v>60.214</v>
      </c>
      <c r="E647" s="17">
        <v>6135</v>
      </c>
      <c r="F647" s="25">
        <f t="shared" si="61"/>
        <v>369412.89</v>
      </c>
      <c r="G647" s="18">
        <v>369412.89</v>
      </c>
      <c r="H647" s="18">
        <f t="shared" si="62"/>
        <v>0</v>
      </c>
      <c r="I647" s="20">
        <v>46208</v>
      </c>
      <c r="J647" s="17" t="s">
        <v>21</v>
      </c>
      <c r="K647" s="17" t="s">
        <v>520</v>
      </c>
      <c r="L647" s="17"/>
    </row>
    <row r="648" customHeight="1" spans="1:12">
      <c r="A648" s="17" t="s">
        <v>18</v>
      </c>
      <c r="B648" s="24" t="s">
        <v>662</v>
      </c>
      <c r="C648" s="24" t="s">
        <v>621</v>
      </c>
      <c r="D648" s="28">
        <v>55.214</v>
      </c>
      <c r="E648" s="17">
        <v>6200</v>
      </c>
      <c r="F648" s="25">
        <f t="shared" si="61"/>
        <v>342326.8</v>
      </c>
      <c r="G648" s="18">
        <f>294030+6467.20000000001+41829.6</f>
        <v>342326.8</v>
      </c>
      <c r="H648" s="18">
        <f t="shared" si="62"/>
        <v>0</v>
      </c>
      <c r="I648" s="20">
        <v>46196</v>
      </c>
      <c r="J648" s="17" t="s">
        <v>21</v>
      </c>
      <c r="K648" s="24" t="s">
        <v>223</v>
      </c>
      <c r="L648" s="17"/>
    </row>
    <row r="649" customHeight="1" spans="1:12">
      <c r="A649" s="17" t="s">
        <v>18</v>
      </c>
      <c r="B649" s="24" t="s">
        <v>662</v>
      </c>
      <c r="C649" s="24" t="s">
        <v>623</v>
      </c>
      <c r="D649" s="28">
        <v>54.509</v>
      </c>
      <c r="E649" s="17">
        <v>6050</v>
      </c>
      <c r="F649" s="25">
        <f t="shared" ref="F649:F657" si="63">D649*E649</f>
        <v>329779.45</v>
      </c>
      <c r="G649" s="18">
        <f>252200.4+77579.05</f>
        <v>329779.45</v>
      </c>
      <c r="H649" s="18">
        <f t="shared" si="62"/>
        <v>0</v>
      </c>
      <c r="I649" s="20">
        <v>46196</v>
      </c>
      <c r="J649" s="17" t="s">
        <v>21</v>
      </c>
      <c r="K649" s="24" t="s">
        <v>223</v>
      </c>
      <c r="L649" s="17"/>
    </row>
    <row r="650" customHeight="1" spans="1:12">
      <c r="A650" s="17" t="s">
        <v>18</v>
      </c>
      <c r="B650" s="24" t="s">
        <v>662</v>
      </c>
      <c r="C650" s="24" t="s">
        <v>663</v>
      </c>
      <c r="D650" s="28">
        <v>48.736</v>
      </c>
      <c r="E650" s="17">
        <v>6050</v>
      </c>
      <c r="F650" s="25">
        <f t="shared" si="63"/>
        <v>294852.8</v>
      </c>
      <c r="G650" s="18">
        <f>301320-6467.20000000001</f>
        <v>294852.8</v>
      </c>
      <c r="H650" s="18">
        <f t="shared" si="62"/>
        <v>0</v>
      </c>
      <c r="I650" s="20">
        <v>46196</v>
      </c>
      <c r="J650" s="17" t="s">
        <v>21</v>
      </c>
      <c r="K650" s="24" t="s">
        <v>223</v>
      </c>
      <c r="L650" s="17"/>
    </row>
    <row r="651" customHeight="1" spans="1:12">
      <c r="A651" s="17" t="s">
        <v>18</v>
      </c>
      <c r="B651" s="24" t="s">
        <v>664</v>
      </c>
      <c r="C651" s="24" t="s">
        <v>624</v>
      </c>
      <c r="D651" s="28">
        <v>1.657</v>
      </c>
      <c r="E651" s="17">
        <v>6050</v>
      </c>
      <c r="F651" s="25">
        <f t="shared" si="63"/>
        <v>10024.85</v>
      </c>
      <c r="G651" s="18">
        <v>10024.85</v>
      </c>
      <c r="H651" s="18">
        <f t="shared" si="62"/>
        <v>0</v>
      </c>
      <c r="I651" s="20">
        <v>46196</v>
      </c>
      <c r="J651" s="17" t="s">
        <v>21</v>
      </c>
      <c r="K651" s="24" t="s">
        <v>223</v>
      </c>
      <c r="L651" s="17"/>
    </row>
    <row r="652" customHeight="1" spans="1:12">
      <c r="A652" s="17" t="s">
        <v>18</v>
      </c>
      <c r="B652" s="24" t="s">
        <v>662</v>
      </c>
      <c r="C652" s="24" t="s">
        <v>624</v>
      </c>
      <c r="D652" s="28">
        <v>54.576</v>
      </c>
      <c r="E652" s="17">
        <v>6050</v>
      </c>
      <c r="F652" s="25">
        <f t="shared" si="63"/>
        <v>330184.8</v>
      </c>
      <c r="G652" s="18">
        <f>294030+36154.8</f>
        <v>330184.8</v>
      </c>
      <c r="H652" s="18">
        <f t="shared" si="62"/>
        <v>0</v>
      </c>
      <c r="I652" s="20">
        <v>46196</v>
      </c>
      <c r="J652" s="17" t="s">
        <v>21</v>
      </c>
      <c r="K652" s="24" t="s">
        <v>223</v>
      </c>
      <c r="L652" s="17"/>
    </row>
    <row r="653" customHeight="1" spans="1:12">
      <c r="A653" s="17" t="s">
        <v>18</v>
      </c>
      <c r="B653" s="24" t="s">
        <v>665</v>
      </c>
      <c r="C653" s="24" t="s">
        <v>666</v>
      </c>
      <c r="D653" s="28">
        <v>27.36</v>
      </c>
      <c r="E653" s="17">
        <v>6050</v>
      </c>
      <c r="F653" s="25">
        <f t="shared" si="63"/>
        <v>165528</v>
      </c>
      <c r="G653" s="18">
        <f>142155-77579.05-36154.8+137106.85</f>
        <v>165528</v>
      </c>
      <c r="H653" s="18">
        <f t="shared" si="62"/>
        <v>0</v>
      </c>
      <c r="I653" s="20">
        <v>46196</v>
      </c>
      <c r="J653" s="17" t="s">
        <v>21</v>
      </c>
      <c r="K653" s="24" t="s">
        <v>223</v>
      </c>
      <c r="L653" s="17"/>
    </row>
    <row r="654" customHeight="1" spans="1:12">
      <c r="A654" s="17" t="s">
        <v>18</v>
      </c>
      <c r="B654" s="24" t="s">
        <v>667</v>
      </c>
      <c r="C654" s="24" t="s">
        <v>666</v>
      </c>
      <c r="D654" s="28">
        <v>0.423</v>
      </c>
      <c r="E654" s="17">
        <v>6050</v>
      </c>
      <c r="F654" s="25">
        <f t="shared" si="63"/>
        <v>2559.15</v>
      </c>
      <c r="G654" s="18">
        <v>2559.15</v>
      </c>
      <c r="H654" s="18">
        <f t="shared" si="62"/>
        <v>0</v>
      </c>
      <c r="I654" s="20">
        <v>46196</v>
      </c>
      <c r="J654" s="17" t="s">
        <v>21</v>
      </c>
      <c r="K654" s="24" t="s">
        <v>223</v>
      </c>
      <c r="L654" s="17"/>
    </row>
    <row r="655" customHeight="1" spans="1:12">
      <c r="A655" s="17" t="s">
        <v>18</v>
      </c>
      <c r="B655" s="24" t="s">
        <v>665</v>
      </c>
      <c r="C655" s="24" t="s">
        <v>668</v>
      </c>
      <c r="D655" s="28">
        <v>55.224</v>
      </c>
      <c r="E655" s="17">
        <v>5795</v>
      </c>
      <c r="F655" s="25">
        <f t="shared" si="63"/>
        <v>320023.08</v>
      </c>
      <c r="G655" s="18">
        <f>281637+38386.08</f>
        <v>320023.08</v>
      </c>
      <c r="H655" s="18">
        <f t="shared" si="62"/>
        <v>0</v>
      </c>
      <c r="I655" s="20">
        <v>46184</v>
      </c>
      <c r="J655" s="17" t="s">
        <v>21</v>
      </c>
      <c r="K655" s="24" t="s">
        <v>520</v>
      </c>
      <c r="L655" s="17"/>
    </row>
    <row r="656" customHeight="1" spans="1:12">
      <c r="A656" s="17" t="s">
        <v>18</v>
      </c>
      <c r="B656" s="24" t="s">
        <v>667</v>
      </c>
      <c r="C656" s="24" t="s">
        <v>668</v>
      </c>
      <c r="D656" s="28">
        <v>1.828</v>
      </c>
      <c r="E656" s="17">
        <v>5795</v>
      </c>
      <c r="F656" s="25">
        <f t="shared" si="63"/>
        <v>10593.26</v>
      </c>
      <c r="G656" s="18">
        <v>10593.26</v>
      </c>
      <c r="H656" s="18">
        <f t="shared" si="62"/>
        <v>0</v>
      </c>
      <c r="I656" s="20">
        <v>46184</v>
      </c>
      <c r="J656" s="17" t="s">
        <v>21</v>
      </c>
      <c r="K656" s="24" t="s">
        <v>520</v>
      </c>
      <c r="L656" s="17"/>
    </row>
    <row r="657" hidden="1" customHeight="1" spans="1:12">
      <c r="A657" s="17" t="s">
        <v>116</v>
      </c>
      <c r="B657" s="24" t="s">
        <v>669</v>
      </c>
      <c r="C657" s="24" t="s">
        <v>670</v>
      </c>
      <c r="D657" s="35">
        <v>1960400</v>
      </c>
      <c r="E657" s="157">
        <v>0.0184</v>
      </c>
      <c r="F657" s="178">
        <f t="shared" si="63"/>
        <v>36071.36</v>
      </c>
      <c r="G657" s="179">
        <f>7214.27+28857.09</f>
        <v>36071.36</v>
      </c>
      <c r="H657" s="18">
        <f t="shared" si="62"/>
        <v>0</v>
      </c>
      <c r="I657" s="20">
        <v>46152</v>
      </c>
      <c r="J657" s="17"/>
      <c r="K657" s="17"/>
      <c r="L657" s="17"/>
    </row>
    <row r="658" customHeight="1" spans="1:12">
      <c r="A658" s="17" t="s">
        <v>18</v>
      </c>
      <c r="B658" s="24" t="s">
        <v>671</v>
      </c>
      <c r="C658" s="24" t="s">
        <v>292</v>
      </c>
      <c r="D658" s="35">
        <v>2097600</v>
      </c>
      <c r="E658" s="17">
        <v>0.23</v>
      </c>
      <c r="F658" s="25">
        <f>D658*E658*0.3</f>
        <v>144734.4</v>
      </c>
      <c r="G658" s="18">
        <v>144734.4</v>
      </c>
      <c r="H658" s="18">
        <f t="shared" si="62"/>
        <v>0</v>
      </c>
      <c r="I658" s="20">
        <v>46129</v>
      </c>
      <c r="J658" s="17" t="s">
        <v>21</v>
      </c>
      <c r="K658" s="17" t="s">
        <v>542</v>
      </c>
      <c r="L658" s="17"/>
    </row>
    <row r="659" customHeight="1" spans="1:12">
      <c r="A659" s="17" t="s">
        <v>18</v>
      </c>
      <c r="B659" s="24" t="s">
        <v>671</v>
      </c>
      <c r="C659" s="24" t="s">
        <v>292</v>
      </c>
      <c r="D659" s="35">
        <v>2097600</v>
      </c>
      <c r="E659" s="17">
        <v>0.23</v>
      </c>
      <c r="F659" s="25">
        <f>D659*E659*0.7</f>
        <v>337713.6</v>
      </c>
      <c r="G659" s="18">
        <v>337713.6</v>
      </c>
      <c r="H659" s="18">
        <f t="shared" si="62"/>
        <v>0</v>
      </c>
      <c r="I659" s="20">
        <v>46152</v>
      </c>
      <c r="J659" s="17" t="s">
        <v>21</v>
      </c>
      <c r="K659" s="17" t="s">
        <v>542</v>
      </c>
      <c r="L659" s="17"/>
    </row>
    <row r="660" customHeight="1" spans="1:12">
      <c r="A660" s="17" t="s">
        <v>18</v>
      </c>
      <c r="B660" s="24" t="s">
        <v>672</v>
      </c>
      <c r="C660" s="24" t="s">
        <v>673</v>
      </c>
      <c r="D660" s="17">
        <v>32</v>
      </c>
      <c r="E660" s="17">
        <v>50</v>
      </c>
      <c r="F660" s="25">
        <f t="shared" ref="F660:F723" si="64">D660*E660</f>
        <v>1600</v>
      </c>
      <c r="G660" s="18">
        <v>1600</v>
      </c>
      <c r="H660" s="18">
        <f t="shared" si="62"/>
        <v>0</v>
      </c>
      <c r="I660" s="20">
        <v>46058</v>
      </c>
      <c r="J660" s="17" t="s">
        <v>21</v>
      </c>
      <c r="K660" s="17"/>
      <c r="L660" s="17"/>
    </row>
    <row r="661" customHeight="1" spans="1:12">
      <c r="A661" s="17" t="s">
        <v>18</v>
      </c>
      <c r="B661" s="24" t="s">
        <v>672</v>
      </c>
      <c r="C661" s="24" t="s">
        <v>674</v>
      </c>
      <c r="D661" s="17">
        <v>128</v>
      </c>
      <c r="E661" s="17">
        <v>50</v>
      </c>
      <c r="F661" s="25">
        <f t="shared" si="64"/>
        <v>6400</v>
      </c>
      <c r="G661" s="18">
        <v>6400</v>
      </c>
      <c r="H661" s="18">
        <f t="shared" si="62"/>
        <v>0</v>
      </c>
      <c r="I661" s="20">
        <v>46058</v>
      </c>
      <c r="J661" s="17" t="s">
        <v>21</v>
      </c>
      <c r="K661" s="17"/>
      <c r="L661" s="17"/>
    </row>
    <row r="662" customHeight="1" spans="1:12">
      <c r="A662" s="17" t="s">
        <v>18</v>
      </c>
      <c r="B662" s="17" t="s">
        <v>675</v>
      </c>
      <c r="C662" s="24" t="s">
        <v>528</v>
      </c>
      <c r="D662" s="24">
        <v>2320000</v>
      </c>
      <c r="E662" s="17">
        <v>0.2329</v>
      </c>
      <c r="F662" s="25">
        <f t="shared" si="64"/>
        <v>540328</v>
      </c>
      <c r="G662" s="18">
        <v>540328</v>
      </c>
      <c r="H662" s="18">
        <f t="shared" si="62"/>
        <v>0</v>
      </c>
      <c r="I662" s="20">
        <v>46208</v>
      </c>
      <c r="J662" s="17" t="s">
        <v>21</v>
      </c>
      <c r="K662" s="17" t="s">
        <v>223</v>
      </c>
      <c r="L662" s="17"/>
    </row>
    <row r="663" customHeight="1" spans="1:12">
      <c r="A663" s="17" t="s">
        <v>18</v>
      </c>
      <c r="B663" s="24" t="s">
        <v>676</v>
      </c>
      <c r="C663" s="36" t="s">
        <v>677</v>
      </c>
      <c r="D663" s="28">
        <v>24.758</v>
      </c>
      <c r="E663" s="17">
        <v>30113</v>
      </c>
      <c r="F663" s="25">
        <f t="shared" si="64"/>
        <v>745537.654</v>
      </c>
      <c r="G663" s="18">
        <f>743580+1957.65</f>
        <v>745537.65</v>
      </c>
      <c r="H663" s="18">
        <f t="shared" si="62"/>
        <v>0.00399999995715916</v>
      </c>
      <c r="I663" s="20">
        <v>46172</v>
      </c>
      <c r="J663" s="17" t="s">
        <v>21</v>
      </c>
      <c r="K663" s="17" t="s">
        <v>678</v>
      </c>
      <c r="L663" s="17"/>
    </row>
    <row r="664" hidden="1" customHeight="1" spans="1:12">
      <c r="A664" s="17" t="s">
        <v>164</v>
      </c>
      <c r="B664" s="24" t="s">
        <v>679</v>
      </c>
      <c r="C664" s="24" t="s">
        <v>166</v>
      </c>
      <c r="D664" s="17">
        <f>1960400*2</f>
        <v>3920800</v>
      </c>
      <c r="E664" s="17">
        <v>0.123</v>
      </c>
      <c r="F664" s="25">
        <f t="shared" si="64"/>
        <v>482258.4</v>
      </c>
      <c r="G664" s="18">
        <v>0</v>
      </c>
      <c r="H664" s="18">
        <f t="shared" si="62"/>
        <v>482258.4</v>
      </c>
      <c r="I664" s="20">
        <v>46170</v>
      </c>
      <c r="J664" s="17"/>
      <c r="K664" s="17"/>
      <c r="L664" s="17"/>
    </row>
    <row r="665" customHeight="1" spans="1:12">
      <c r="A665" s="17" t="s">
        <v>18</v>
      </c>
      <c r="B665" s="24" t="s">
        <v>680</v>
      </c>
      <c r="C665" s="24" t="s">
        <v>681</v>
      </c>
      <c r="D665" s="17">
        <v>696000</v>
      </c>
      <c r="E665" s="157">
        <v>0.224</v>
      </c>
      <c r="F665" s="25">
        <f t="shared" si="64"/>
        <v>155904</v>
      </c>
      <c r="G665" s="18">
        <v>155904</v>
      </c>
      <c r="H665" s="18">
        <f t="shared" si="62"/>
        <v>0</v>
      </c>
      <c r="I665" s="20">
        <v>46172</v>
      </c>
      <c r="J665" s="17" t="s">
        <v>21</v>
      </c>
      <c r="K665" s="17" t="s">
        <v>223</v>
      </c>
      <c r="L665" s="17"/>
    </row>
    <row r="666" customHeight="1" spans="1:12">
      <c r="A666" s="17" t="s">
        <v>18</v>
      </c>
      <c r="B666" s="24" t="s">
        <v>680</v>
      </c>
      <c r="C666" s="24" t="s">
        <v>682</v>
      </c>
      <c r="D666" s="17">
        <v>601920</v>
      </c>
      <c r="E666" s="157">
        <v>0.1695</v>
      </c>
      <c r="F666" s="25">
        <f t="shared" si="64"/>
        <v>102025.44</v>
      </c>
      <c r="G666" s="18">
        <v>102025.44</v>
      </c>
      <c r="H666" s="18">
        <f t="shared" si="62"/>
        <v>0</v>
      </c>
      <c r="I666" s="20">
        <v>46172</v>
      </c>
      <c r="J666" s="17" t="s">
        <v>21</v>
      </c>
      <c r="K666" s="17" t="s">
        <v>223</v>
      </c>
      <c r="L666" s="17"/>
    </row>
    <row r="667" customHeight="1" spans="1:12">
      <c r="A667" s="17" t="s">
        <v>18</v>
      </c>
      <c r="B667" s="24" t="s">
        <v>683</v>
      </c>
      <c r="C667" s="24" t="s">
        <v>684</v>
      </c>
      <c r="D667" s="17">
        <v>1160000</v>
      </c>
      <c r="E667" s="17">
        <v>0.2329</v>
      </c>
      <c r="F667" s="25">
        <f t="shared" si="64"/>
        <v>270164</v>
      </c>
      <c r="G667" s="18">
        <v>270164</v>
      </c>
      <c r="H667" s="18">
        <f t="shared" si="62"/>
        <v>0</v>
      </c>
      <c r="I667" s="20">
        <v>46172</v>
      </c>
      <c r="J667" s="17" t="s">
        <v>21</v>
      </c>
      <c r="K667" s="17" t="s">
        <v>223</v>
      </c>
      <c r="L667" s="17"/>
    </row>
    <row r="668" hidden="1" customHeight="1" spans="1:12">
      <c r="A668" s="17" t="s">
        <v>164</v>
      </c>
      <c r="B668" s="24" t="s">
        <v>685</v>
      </c>
      <c r="C668" s="24" t="s">
        <v>686</v>
      </c>
      <c r="D668" s="17">
        <v>2320000</v>
      </c>
      <c r="E668" s="189">
        <v>0.22632</v>
      </c>
      <c r="F668" s="25">
        <f t="shared" si="64"/>
        <v>525062.4</v>
      </c>
      <c r="G668" s="18">
        <v>525062.4</v>
      </c>
      <c r="H668" s="18">
        <f t="shared" si="62"/>
        <v>0</v>
      </c>
      <c r="I668" s="20">
        <v>46233</v>
      </c>
      <c r="J668" s="17" t="s">
        <v>21</v>
      </c>
      <c r="K668" s="17" t="s">
        <v>223</v>
      </c>
      <c r="L668" s="17"/>
    </row>
    <row r="669" hidden="1" customHeight="1" spans="1:12">
      <c r="A669" s="17" t="s">
        <v>164</v>
      </c>
      <c r="B669" s="24" t="s">
        <v>687</v>
      </c>
      <c r="C669" s="24" t="s">
        <v>686</v>
      </c>
      <c r="D669" s="17">
        <f>1160000*3</f>
        <v>3480000</v>
      </c>
      <c r="E669" s="17">
        <v>0.2275</v>
      </c>
      <c r="F669" s="25">
        <f t="shared" si="64"/>
        <v>791700</v>
      </c>
      <c r="G669" s="18">
        <f>1055600-263900</f>
        <v>791700</v>
      </c>
      <c r="H669" s="18">
        <f t="shared" si="62"/>
        <v>0</v>
      </c>
      <c r="I669" s="20">
        <v>46233</v>
      </c>
      <c r="J669" s="17" t="s">
        <v>21</v>
      </c>
      <c r="K669" s="17" t="s">
        <v>223</v>
      </c>
      <c r="L669" s="17"/>
    </row>
    <row r="670" hidden="1" customHeight="1" spans="1:12">
      <c r="A670" s="17" t="s">
        <v>164</v>
      </c>
      <c r="B670" s="24" t="s">
        <v>688</v>
      </c>
      <c r="C670" s="24" t="s">
        <v>686</v>
      </c>
      <c r="D670" s="67">
        <v>2262000</v>
      </c>
      <c r="E670" s="17">
        <v>0.2224</v>
      </c>
      <c r="F670" s="25">
        <f t="shared" si="64"/>
        <v>503068.8</v>
      </c>
      <c r="G670" s="18">
        <f>13738.0300000001+489330.77</f>
        <v>503068.8</v>
      </c>
      <c r="H670" s="18">
        <f t="shared" si="62"/>
        <v>0</v>
      </c>
      <c r="I670" s="20"/>
      <c r="J670" s="17"/>
      <c r="K670" s="17" t="s">
        <v>223</v>
      </c>
      <c r="L670" s="17"/>
    </row>
    <row r="671" hidden="1" customHeight="1" spans="1:12">
      <c r="A671" s="17" t="s">
        <v>164</v>
      </c>
      <c r="B671" s="24" t="s">
        <v>689</v>
      </c>
      <c r="C671" s="24" t="s">
        <v>686</v>
      </c>
      <c r="D671" s="17">
        <f>1160000*3</f>
        <v>3480000</v>
      </c>
      <c r="E671" s="17">
        <v>0.2224</v>
      </c>
      <c r="F671" s="25">
        <f t="shared" si="64"/>
        <v>773952</v>
      </c>
      <c r="G671" s="18">
        <v>0</v>
      </c>
      <c r="H671" s="18">
        <f t="shared" si="62"/>
        <v>773952</v>
      </c>
      <c r="I671" s="20"/>
      <c r="J671" s="17"/>
      <c r="K671" s="17" t="s">
        <v>223</v>
      </c>
      <c r="L671" s="17"/>
    </row>
    <row r="672" customHeight="1" spans="1:12">
      <c r="A672" s="17" t="s">
        <v>18</v>
      </c>
      <c r="B672" s="24" t="s">
        <v>690</v>
      </c>
      <c r="C672" s="24" t="s">
        <v>313</v>
      </c>
      <c r="D672" s="81">
        <v>10.139</v>
      </c>
      <c r="E672" s="17">
        <v>5665</v>
      </c>
      <c r="F672" s="25">
        <f t="shared" si="64"/>
        <v>57437.435</v>
      </c>
      <c r="G672" s="18">
        <v>57437.435</v>
      </c>
      <c r="H672" s="18">
        <f t="shared" si="62"/>
        <v>0</v>
      </c>
      <c r="I672" s="20">
        <v>46198</v>
      </c>
      <c r="J672" s="17"/>
      <c r="K672" s="17" t="s">
        <v>520</v>
      </c>
      <c r="L672" s="17"/>
    </row>
    <row r="673" customHeight="1" spans="1:13">
      <c r="A673" s="17" t="s">
        <v>18</v>
      </c>
      <c r="B673" s="24" t="s">
        <v>690</v>
      </c>
      <c r="C673" s="24" t="s">
        <v>316</v>
      </c>
      <c r="D673" s="81">
        <v>16.997</v>
      </c>
      <c r="E673" s="17">
        <v>5665</v>
      </c>
      <c r="F673" s="25">
        <f t="shared" si="64"/>
        <v>96288.005</v>
      </c>
      <c r="G673" s="18">
        <v>42562.565</v>
      </c>
      <c r="H673" s="18">
        <f t="shared" si="62"/>
        <v>53725.44</v>
      </c>
      <c r="I673" s="20">
        <v>46198</v>
      </c>
      <c r="J673" s="17"/>
      <c r="K673" s="17" t="s">
        <v>520</v>
      </c>
      <c r="L673" s="17"/>
    </row>
    <row r="674" customHeight="1" spans="1:13">
      <c r="A674" s="17" t="s">
        <v>18</v>
      </c>
      <c r="B674" s="24" t="s">
        <v>691</v>
      </c>
      <c r="C674" s="24" t="s">
        <v>316</v>
      </c>
      <c r="D674" s="81">
        <v>12.417</v>
      </c>
      <c r="E674" s="17">
        <v>5740</v>
      </c>
      <c r="F674" s="25">
        <f t="shared" si="64"/>
        <v>71273.58</v>
      </c>
      <c r="G674" s="18">
        <v>71273.58</v>
      </c>
      <c r="H674" s="18">
        <f t="shared" si="62"/>
        <v>0</v>
      </c>
      <c r="I674" s="20">
        <v>46160</v>
      </c>
      <c r="J674" s="17" t="s">
        <v>21</v>
      </c>
      <c r="K674" s="17" t="s">
        <v>520</v>
      </c>
      <c r="L674" s="17"/>
    </row>
    <row r="675" customHeight="1" spans="1:13">
      <c r="A675" s="17" t="s">
        <v>18</v>
      </c>
      <c r="B675" s="24" t="s">
        <v>691</v>
      </c>
      <c r="C675" s="24" t="s">
        <v>692</v>
      </c>
      <c r="D675" s="81">
        <v>14.579</v>
      </c>
      <c r="E675" s="17">
        <v>5740</v>
      </c>
      <c r="F675" s="25">
        <f t="shared" si="64"/>
        <v>83683.46</v>
      </c>
      <c r="G675" s="18">
        <v>83683.46</v>
      </c>
      <c r="H675" s="18">
        <f t="shared" si="62"/>
        <v>0</v>
      </c>
      <c r="I675" s="20">
        <v>46160</v>
      </c>
      <c r="J675" s="17" t="s">
        <v>21</v>
      </c>
      <c r="K675" s="17" t="s">
        <v>520</v>
      </c>
      <c r="L675" s="17"/>
    </row>
    <row r="676" customHeight="1" spans="1:13">
      <c r="A676" s="17" t="s">
        <v>18</v>
      </c>
      <c r="B676" s="24" t="s">
        <v>693</v>
      </c>
      <c r="C676" s="24" t="s">
        <v>316</v>
      </c>
      <c r="D676" s="81">
        <f>20-D674</f>
        <v>7.583</v>
      </c>
      <c r="E676" s="17">
        <v>5740</v>
      </c>
      <c r="F676" s="25">
        <f t="shared" si="64"/>
        <v>43526.42</v>
      </c>
      <c r="G676" s="18">
        <v>0</v>
      </c>
      <c r="H676" s="18">
        <f t="shared" si="62"/>
        <v>43526.42</v>
      </c>
      <c r="I676" s="20">
        <v>46203</v>
      </c>
      <c r="J676" s="17"/>
      <c r="K676" s="17" t="s">
        <v>520</v>
      </c>
      <c r="L676" s="17"/>
    </row>
    <row r="677" customHeight="1" spans="1:13">
      <c r="A677" s="17" t="s">
        <v>18</v>
      </c>
      <c r="B677" s="24" t="s">
        <v>693</v>
      </c>
      <c r="C677" s="24" t="s">
        <v>692</v>
      </c>
      <c r="D677" s="81">
        <v>1.566</v>
      </c>
      <c r="E677" s="17">
        <v>5740</v>
      </c>
      <c r="F677" s="25">
        <f t="shared" si="64"/>
        <v>8988.84</v>
      </c>
      <c r="G677" s="18">
        <v>22.9599999999919</v>
      </c>
      <c r="H677" s="18">
        <f t="shared" si="62"/>
        <v>8965.88000000001</v>
      </c>
      <c r="I677" s="20">
        <v>46160</v>
      </c>
      <c r="J677" s="17" t="s">
        <v>560</v>
      </c>
      <c r="K677" s="17" t="s">
        <v>520</v>
      </c>
      <c r="L677" s="17"/>
    </row>
    <row r="678" customHeight="1" spans="1:13">
      <c r="A678" s="17" t="s">
        <v>18</v>
      </c>
      <c r="B678" s="24" t="s">
        <v>694</v>
      </c>
      <c r="C678" s="24" t="s">
        <v>695</v>
      </c>
      <c r="D678" s="28">
        <v>19.526</v>
      </c>
      <c r="E678" s="17">
        <v>6275</v>
      </c>
      <c r="F678" s="25">
        <f t="shared" si="64"/>
        <v>122525.65</v>
      </c>
      <c r="G678" s="25">
        <v>122525.65</v>
      </c>
      <c r="H678" s="18">
        <f t="shared" si="62"/>
        <v>0</v>
      </c>
      <c r="I678" s="20">
        <v>46214</v>
      </c>
      <c r="J678" s="17" t="s">
        <v>21</v>
      </c>
      <c r="K678" s="17" t="s">
        <v>696</v>
      </c>
      <c r="L678" s="17"/>
    </row>
    <row r="679" customHeight="1" spans="1:13">
      <c r="A679" s="17" t="s">
        <v>18</v>
      </c>
      <c r="B679" s="24" t="s">
        <v>697</v>
      </c>
      <c r="C679" s="24" t="s">
        <v>695</v>
      </c>
      <c r="D679" s="28">
        <v>31.542</v>
      </c>
      <c r="E679" s="17">
        <v>6275</v>
      </c>
      <c r="F679" s="25">
        <f t="shared" si="64"/>
        <v>197926.05</v>
      </c>
      <c r="G679" s="18">
        <f>338850-140923.95</f>
        <v>197926.05</v>
      </c>
      <c r="H679" s="18">
        <f t="shared" si="62"/>
        <v>0</v>
      </c>
      <c r="I679" s="20">
        <v>46214</v>
      </c>
      <c r="J679" s="17" t="s">
        <v>21</v>
      </c>
      <c r="K679" s="17" t="s">
        <v>696</v>
      </c>
      <c r="L679" s="17"/>
    </row>
    <row r="680" customHeight="1" spans="1:13">
      <c r="A680" s="17" t="s">
        <v>18</v>
      </c>
      <c r="B680" s="24" t="s">
        <v>697</v>
      </c>
      <c r="C680" s="24" t="s">
        <v>698</v>
      </c>
      <c r="D680" s="28">
        <v>49.284</v>
      </c>
      <c r="E680" s="17">
        <v>6190</v>
      </c>
      <c r="F680" s="25">
        <f t="shared" si="64"/>
        <v>305067.96</v>
      </c>
      <c r="G680" s="18">
        <f>334260-29192.04</f>
        <v>305067.96</v>
      </c>
      <c r="H680" s="18">
        <f t="shared" si="62"/>
        <v>0</v>
      </c>
      <c r="I680" s="20">
        <v>46214</v>
      </c>
      <c r="J680" s="17" t="s">
        <v>21</v>
      </c>
      <c r="K680" s="17" t="s">
        <v>696</v>
      </c>
      <c r="L680" s="17"/>
    </row>
    <row r="681" customHeight="1" spans="1:13">
      <c r="A681" s="17" t="s">
        <v>18</v>
      </c>
      <c r="B681" s="24" t="s">
        <v>694</v>
      </c>
      <c r="C681" s="24" t="s">
        <v>699</v>
      </c>
      <c r="D681" s="28">
        <v>79.928</v>
      </c>
      <c r="E681" s="17">
        <v>6190</v>
      </c>
      <c r="F681" s="25">
        <f t="shared" si="64"/>
        <v>494754.32</v>
      </c>
      <c r="G681" s="25">
        <v>494754.32</v>
      </c>
      <c r="H681" s="18">
        <f t="shared" ref="H681:H744" si="65">F681-G681</f>
        <v>0</v>
      </c>
      <c r="I681" s="20">
        <v>46214</v>
      </c>
      <c r="J681" s="17" t="s">
        <v>21</v>
      </c>
      <c r="K681" s="17" t="s">
        <v>696</v>
      </c>
      <c r="L681" s="17"/>
    </row>
    <row r="682" customHeight="1" spans="1:13">
      <c r="A682" s="17" t="s">
        <v>18</v>
      </c>
      <c r="B682" s="24" t="s">
        <v>697</v>
      </c>
      <c r="C682" s="24" t="s">
        <v>700</v>
      </c>
      <c r="D682" s="28">
        <v>31.92</v>
      </c>
      <c r="E682" s="17">
        <v>6190</v>
      </c>
      <c r="F682" s="25">
        <f t="shared" si="64"/>
        <v>197584.8</v>
      </c>
      <c r="G682" s="18">
        <f>122525.65+75059.15</f>
        <v>197584.8</v>
      </c>
      <c r="H682" s="18">
        <f t="shared" si="65"/>
        <v>0</v>
      </c>
      <c r="I682" s="20">
        <v>46214</v>
      </c>
      <c r="J682" s="17" t="s">
        <v>21</v>
      </c>
      <c r="K682" s="17" t="s">
        <v>696</v>
      </c>
      <c r="L682" s="17"/>
    </row>
    <row r="683" customHeight="1" spans="1:13">
      <c r="A683" s="17" t="s">
        <v>18</v>
      </c>
      <c r="B683" s="24" t="s">
        <v>697</v>
      </c>
      <c r="C683" s="24" t="s">
        <v>701</v>
      </c>
      <c r="D683" s="190">
        <v>102.466</v>
      </c>
      <c r="E683" s="17">
        <v>6015</v>
      </c>
      <c r="F683" s="25">
        <f t="shared" si="64"/>
        <v>616332.99</v>
      </c>
      <c r="G683" s="18">
        <f>134325.31+482007.68</f>
        <v>616332.99</v>
      </c>
      <c r="H683" s="18">
        <f t="shared" si="65"/>
        <v>0</v>
      </c>
      <c r="I683" s="20">
        <v>46214</v>
      </c>
      <c r="J683" s="17" t="s">
        <v>21</v>
      </c>
      <c r="K683" s="17" t="s">
        <v>696</v>
      </c>
      <c r="L683" s="17"/>
    </row>
    <row r="684" hidden="1" customHeight="1" spans="1:13">
      <c r="A684" s="17" t="s">
        <v>139</v>
      </c>
      <c r="B684" s="17" t="s">
        <v>702</v>
      </c>
      <c r="C684" s="40" t="s">
        <v>703</v>
      </c>
      <c r="D684" s="191">
        <v>27.522</v>
      </c>
      <c r="E684" s="40">
        <v>8553</v>
      </c>
      <c r="F684" s="25">
        <f t="shared" si="64"/>
        <v>235395.666</v>
      </c>
      <c r="G684" s="18">
        <v>0</v>
      </c>
      <c r="H684" s="18">
        <f t="shared" si="65"/>
        <v>235395.666</v>
      </c>
      <c r="I684" s="20">
        <v>46229</v>
      </c>
      <c r="J684" s="17" t="s">
        <v>21</v>
      </c>
      <c r="K684" s="17" t="s">
        <v>223</v>
      </c>
      <c r="L684" s="17"/>
    </row>
    <row r="685" hidden="1" customHeight="1" spans="1:13">
      <c r="A685" s="17" t="s">
        <v>139</v>
      </c>
      <c r="B685" s="17" t="s">
        <v>704</v>
      </c>
      <c r="C685" s="17" t="s">
        <v>705</v>
      </c>
      <c r="D685" s="81">
        <v>16.011</v>
      </c>
      <c r="E685" s="17">
        <v>5704</v>
      </c>
      <c r="F685" s="25">
        <f t="shared" si="64"/>
        <v>91326.744</v>
      </c>
      <c r="G685" s="18">
        <v>0</v>
      </c>
      <c r="H685" s="18">
        <f t="shared" si="65"/>
        <v>91326.744</v>
      </c>
      <c r="I685" s="20">
        <v>46229</v>
      </c>
      <c r="J685" s="17" t="s">
        <v>21</v>
      </c>
      <c r="K685" s="17" t="s">
        <v>223</v>
      </c>
      <c r="L685" s="17"/>
    </row>
    <row r="686" hidden="1" customHeight="1" spans="1:13">
      <c r="A686" s="17" t="s">
        <v>139</v>
      </c>
      <c r="B686" s="17" t="s">
        <v>706</v>
      </c>
      <c r="C686" s="40" t="s">
        <v>707</v>
      </c>
      <c r="D686" s="191">
        <v>25.772</v>
      </c>
      <c r="E686" s="40">
        <v>5753</v>
      </c>
      <c r="F686" s="25">
        <f t="shared" si="64"/>
        <v>148266.316</v>
      </c>
      <c r="G686" s="18">
        <v>0</v>
      </c>
      <c r="H686" s="18">
        <f t="shared" si="65"/>
        <v>148266.316</v>
      </c>
      <c r="I686" s="20">
        <v>46229</v>
      </c>
      <c r="J686" s="17" t="s">
        <v>21</v>
      </c>
      <c r="K686" s="17" t="s">
        <v>223</v>
      </c>
      <c r="L686" s="17"/>
    </row>
    <row r="687" hidden="1" customHeight="1" spans="1:13">
      <c r="A687" s="17" t="s">
        <v>139</v>
      </c>
      <c r="B687" s="17" t="s">
        <v>708</v>
      </c>
      <c r="C687" s="40" t="s">
        <v>707</v>
      </c>
      <c r="D687" s="191">
        <v>25.83</v>
      </c>
      <c r="E687" s="40">
        <v>5753</v>
      </c>
      <c r="F687" s="25">
        <f t="shared" si="64"/>
        <v>148599.99</v>
      </c>
      <c r="G687" s="18">
        <v>0</v>
      </c>
      <c r="H687" s="18">
        <f t="shared" si="65"/>
        <v>148599.99</v>
      </c>
      <c r="I687" s="20">
        <v>46229</v>
      </c>
      <c r="J687" s="17" t="s">
        <v>21</v>
      </c>
      <c r="K687" s="17" t="s">
        <v>223</v>
      </c>
      <c r="L687" s="17"/>
    </row>
    <row r="688" hidden="1" customHeight="1" spans="1:13">
      <c r="A688" s="17" t="s">
        <v>139</v>
      </c>
      <c r="B688" s="17" t="s">
        <v>709</v>
      </c>
      <c r="C688" s="40" t="s">
        <v>710</v>
      </c>
      <c r="D688" s="191">
        <v>22.446</v>
      </c>
      <c r="E688" s="40">
        <v>5782</v>
      </c>
      <c r="F688" s="25">
        <f t="shared" si="64"/>
        <v>129782.772</v>
      </c>
      <c r="G688" s="18">
        <v>0</v>
      </c>
      <c r="H688" s="18">
        <f t="shared" si="65"/>
        <v>129782.772</v>
      </c>
      <c r="I688" s="20">
        <v>46229</v>
      </c>
      <c r="J688" s="17" t="s">
        <v>21</v>
      </c>
      <c r="K688" s="17" t="s">
        <v>223</v>
      </c>
      <c r="L688" s="185" t="s">
        <v>552</v>
      </c>
      <c r="M688" s="186"/>
    </row>
    <row r="689" hidden="1" customHeight="1" spans="1:12">
      <c r="A689" s="17" t="s">
        <v>139</v>
      </c>
      <c r="B689" s="17" t="s">
        <v>711</v>
      </c>
      <c r="C689" s="40" t="s">
        <v>712</v>
      </c>
      <c r="D689" s="191">
        <v>25.687</v>
      </c>
      <c r="E689" s="40">
        <v>5782</v>
      </c>
      <c r="F689" s="25">
        <f t="shared" si="64"/>
        <v>148522.234</v>
      </c>
      <c r="G689" s="18">
        <v>0</v>
      </c>
      <c r="H689" s="18">
        <f t="shared" si="65"/>
        <v>148522.234</v>
      </c>
      <c r="I689" s="20">
        <v>46229</v>
      </c>
      <c r="J689" s="17" t="s">
        <v>21</v>
      </c>
      <c r="K689" s="17" t="s">
        <v>223</v>
      </c>
      <c r="L689" s="17"/>
    </row>
    <row r="690" hidden="1" customHeight="1" spans="1:12">
      <c r="A690" s="17" t="s">
        <v>139</v>
      </c>
      <c r="B690" s="17" t="s">
        <v>713</v>
      </c>
      <c r="C690" s="40" t="s">
        <v>712</v>
      </c>
      <c r="D690" s="191">
        <v>24.747</v>
      </c>
      <c r="E690" s="40">
        <v>5782</v>
      </c>
      <c r="F690" s="25">
        <f t="shared" si="64"/>
        <v>143087.154</v>
      </c>
      <c r="G690" s="18">
        <v>0</v>
      </c>
      <c r="H690" s="18">
        <f t="shared" si="65"/>
        <v>143087.154</v>
      </c>
      <c r="I690" s="20">
        <v>46229</v>
      </c>
      <c r="J690" s="17" t="s">
        <v>21</v>
      </c>
      <c r="K690" s="17" t="s">
        <v>223</v>
      </c>
      <c r="L690" s="17"/>
    </row>
    <row r="691" hidden="1" customHeight="1" spans="1:12">
      <c r="A691" s="17" t="s">
        <v>139</v>
      </c>
      <c r="B691" s="17" t="s">
        <v>704</v>
      </c>
      <c r="C691" s="40" t="s">
        <v>714</v>
      </c>
      <c r="D691" s="191">
        <v>10.787</v>
      </c>
      <c r="E691" s="40">
        <v>5586</v>
      </c>
      <c r="F691" s="25">
        <f t="shared" si="64"/>
        <v>60256.182</v>
      </c>
      <c r="G691" s="18">
        <v>0</v>
      </c>
      <c r="H691" s="18">
        <f t="shared" si="65"/>
        <v>60256.182</v>
      </c>
      <c r="I691" s="20">
        <v>46229</v>
      </c>
      <c r="J691" s="17" t="s">
        <v>21</v>
      </c>
      <c r="K691" s="17"/>
      <c r="L691" s="17"/>
    </row>
    <row r="692" hidden="1" customHeight="1" spans="1:12">
      <c r="A692" s="17" t="s">
        <v>139</v>
      </c>
      <c r="B692" s="17" t="s">
        <v>715</v>
      </c>
      <c r="C692" s="40" t="s">
        <v>714</v>
      </c>
      <c r="D692" s="191">
        <v>26.99</v>
      </c>
      <c r="E692" s="40">
        <v>5586</v>
      </c>
      <c r="F692" s="25">
        <f t="shared" si="64"/>
        <v>150766.14</v>
      </c>
      <c r="G692" s="18">
        <v>0</v>
      </c>
      <c r="H692" s="18">
        <f t="shared" si="65"/>
        <v>150766.14</v>
      </c>
      <c r="I692" s="20">
        <v>46229</v>
      </c>
      <c r="J692" s="17" t="s">
        <v>21</v>
      </c>
      <c r="K692" s="17" t="s">
        <v>223</v>
      </c>
      <c r="L692" s="17"/>
    </row>
    <row r="693" hidden="1" customHeight="1" spans="1:12">
      <c r="A693" s="17" t="s">
        <v>139</v>
      </c>
      <c r="B693" s="17" t="s">
        <v>716</v>
      </c>
      <c r="C693" s="40" t="s">
        <v>714</v>
      </c>
      <c r="D693" s="191">
        <v>8.566</v>
      </c>
      <c r="E693" s="40">
        <v>5586</v>
      </c>
      <c r="F693" s="25">
        <f t="shared" si="64"/>
        <v>47849.676</v>
      </c>
      <c r="G693" s="18">
        <v>0</v>
      </c>
      <c r="H693" s="18">
        <f t="shared" si="65"/>
        <v>47849.676</v>
      </c>
      <c r="I693" s="20">
        <v>46229</v>
      </c>
      <c r="J693" s="17" t="s">
        <v>21</v>
      </c>
      <c r="K693" s="17" t="s">
        <v>223</v>
      </c>
      <c r="L693" s="17"/>
    </row>
    <row r="694" hidden="1" customHeight="1" spans="1:12">
      <c r="A694" s="17" t="s">
        <v>139</v>
      </c>
      <c r="B694" s="17" t="s">
        <v>717</v>
      </c>
      <c r="C694" s="40" t="s">
        <v>718</v>
      </c>
      <c r="D694" s="191">
        <v>11.476</v>
      </c>
      <c r="E694" s="40">
        <v>6712</v>
      </c>
      <c r="F694" s="25">
        <f t="shared" si="64"/>
        <v>77026.912</v>
      </c>
      <c r="G694" s="18">
        <v>0</v>
      </c>
      <c r="H694" s="18">
        <f t="shared" si="65"/>
        <v>77026.912</v>
      </c>
      <c r="I694" s="20">
        <v>46229</v>
      </c>
      <c r="J694" s="17" t="s">
        <v>21</v>
      </c>
      <c r="K694" s="17" t="s">
        <v>223</v>
      </c>
      <c r="L694" s="17"/>
    </row>
    <row r="695" hidden="1" customHeight="1" spans="1:12">
      <c r="A695" s="17" t="s">
        <v>139</v>
      </c>
      <c r="B695" s="17" t="s">
        <v>717</v>
      </c>
      <c r="C695" s="40" t="s">
        <v>719</v>
      </c>
      <c r="D695" s="191">
        <v>15.522</v>
      </c>
      <c r="E695" s="40">
        <v>6712</v>
      </c>
      <c r="F695" s="25">
        <f t="shared" si="64"/>
        <v>104183.664</v>
      </c>
      <c r="G695" s="18">
        <v>0</v>
      </c>
      <c r="H695" s="18">
        <f t="shared" si="65"/>
        <v>104183.664</v>
      </c>
      <c r="I695" s="20">
        <v>46229</v>
      </c>
      <c r="J695" s="17" t="s">
        <v>21</v>
      </c>
      <c r="K695" s="17" t="s">
        <v>223</v>
      </c>
      <c r="L695" s="17"/>
    </row>
    <row r="696" hidden="1" customHeight="1" spans="1:12">
      <c r="A696" s="17" t="s">
        <v>139</v>
      </c>
      <c r="B696" s="17" t="s">
        <v>717</v>
      </c>
      <c r="C696" s="40" t="s">
        <v>720</v>
      </c>
      <c r="D696" s="191">
        <v>0.242</v>
      </c>
      <c r="E696" s="40">
        <v>6712</v>
      </c>
      <c r="F696" s="25">
        <f t="shared" si="64"/>
        <v>1624.304</v>
      </c>
      <c r="G696" s="18">
        <v>0</v>
      </c>
      <c r="H696" s="18">
        <f t="shared" si="65"/>
        <v>1624.304</v>
      </c>
      <c r="I696" s="20">
        <v>46229</v>
      </c>
      <c r="J696" s="17" t="s">
        <v>21</v>
      </c>
      <c r="K696" s="17" t="s">
        <v>223</v>
      </c>
      <c r="L696" s="17"/>
    </row>
    <row r="697" hidden="1" customHeight="1" spans="1:12">
      <c r="A697" s="17" t="s">
        <v>139</v>
      </c>
      <c r="B697" s="17" t="s">
        <v>717</v>
      </c>
      <c r="C697" s="40" t="s">
        <v>721</v>
      </c>
      <c r="D697" s="191">
        <v>0.235</v>
      </c>
      <c r="E697" s="40">
        <v>6773</v>
      </c>
      <c r="F697" s="25">
        <f t="shared" si="64"/>
        <v>1591.655</v>
      </c>
      <c r="G697" s="18">
        <v>0</v>
      </c>
      <c r="H697" s="18">
        <f t="shared" si="65"/>
        <v>1591.655</v>
      </c>
      <c r="I697" s="20">
        <v>46229</v>
      </c>
      <c r="J697" s="17" t="s">
        <v>21</v>
      </c>
      <c r="K697" s="17" t="s">
        <v>223</v>
      </c>
      <c r="L697" s="17"/>
    </row>
    <row r="698" hidden="1" customHeight="1" spans="1:12">
      <c r="A698" s="17" t="s">
        <v>139</v>
      </c>
      <c r="B698" s="17" t="s">
        <v>722</v>
      </c>
      <c r="C698" s="40" t="s">
        <v>719</v>
      </c>
      <c r="D698" s="191">
        <v>1.474</v>
      </c>
      <c r="E698" s="40">
        <v>6712</v>
      </c>
      <c r="F698" s="25">
        <f t="shared" si="64"/>
        <v>9893.488</v>
      </c>
      <c r="G698" s="18">
        <v>0</v>
      </c>
      <c r="H698" s="18">
        <f t="shared" si="65"/>
        <v>9893.488</v>
      </c>
      <c r="I698" s="20">
        <v>46229</v>
      </c>
      <c r="J698" s="17" t="s">
        <v>560</v>
      </c>
      <c r="K698" s="17" t="s">
        <v>223</v>
      </c>
      <c r="L698" s="17"/>
    </row>
    <row r="699" hidden="1" customHeight="1" spans="1:12">
      <c r="A699" s="17" t="s">
        <v>139</v>
      </c>
      <c r="B699" s="17" t="s">
        <v>723</v>
      </c>
      <c r="C699" s="40" t="s">
        <v>719</v>
      </c>
      <c r="D699" s="191">
        <v>4.533</v>
      </c>
      <c r="E699" s="40">
        <v>6712</v>
      </c>
      <c r="F699" s="25">
        <f t="shared" si="64"/>
        <v>30425.496</v>
      </c>
      <c r="G699" s="18">
        <v>0</v>
      </c>
      <c r="H699" s="18">
        <f t="shared" si="65"/>
        <v>30425.496</v>
      </c>
      <c r="I699" s="20">
        <v>46229</v>
      </c>
      <c r="J699" s="17" t="s">
        <v>21</v>
      </c>
      <c r="K699" s="17" t="s">
        <v>223</v>
      </c>
      <c r="L699" s="17"/>
    </row>
    <row r="700" hidden="1" customHeight="1" spans="1:12">
      <c r="A700" s="17" t="s">
        <v>139</v>
      </c>
      <c r="B700" s="17" t="s">
        <v>723</v>
      </c>
      <c r="C700" s="40" t="s">
        <v>703</v>
      </c>
      <c r="D700" s="191">
        <v>1.085</v>
      </c>
      <c r="E700" s="40">
        <v>6773</v>
      </c>
      <c r="F700" s="25">
        <f t="shared" si="64"/>
        <v>7348.705</v>
      </c>
      <c r="G700" s="18">
        <v>0</v>
      </c>
      <c r="H700" s="18">
        <f t="shared" si="65"/>
        <v>7348.705</v>
      </c>
      <c r="I700" s="20">
        <v>46229</v>
      </c>
      <c r="J700" s="17" t="s">
        <v>21</v>
      </c>
      <c r="K700" s="17" t="s">
        <v>223</v>
      </c>
      <c r="L700" s="17"/>
    </row>
    <row r="701" hidden="1" customHeight="1" spans="1:12">
      <c r="A701" s="17" t="s">
        <v>139</v>
      </c>
      <c r="B701" s="17" t="s">
        <v>724</v>
      </c>
      <c r="C701" s="40" t="s">
        <v>703</v>
      </c>
      <c r="D701" s="191">
        <v>21.406</v>
      </c>
      <c r="E701" s="40">
        <v>6773</v>
      </c>
      <c r="F701" s="25">
        <f t="shared" si="64"/>
        <v>144982.838</v>
      </c>
      <c r="G701" s="18">
        <v>0</v>
      </c>
      <c r="H701" s="18">
        <f t="shared" si="65"/>
        <v>144982.838</v>
      </c>
      <c r="I701" s="20">
        <v>46225</v>
      </c>
      <c r="J701" s="17" t="s">
        <v>21</v>
      </c>
      <c r="K701" s="17" t="s">
        <v>223</v>
      </c>
      <c r="L701" s="70"/>
    </row>
    <row r="702" hidden="1" customHeight="1" spans="1:12">
      <c r="A702" s="17" t="s">
        <v>139</v>
      </c>
      <c r="B702" s="17" t="s">
        <v>725</v>
      </c>
      <c r="C702" s="40" t="s">
        <v>703</v>
      </c>
      <c r="D702" s="192">
        <v>21.406</v>
      </c>
      <c r="E702" s="40">
        <v>6773</v>
      </c>
      <c r="F702" s="25">
        <f t="shared" si="64"/>
        <v>144982.838</v>
      </c>
      <c r="G702" s="18">
        <v>144982.838</v>
      </c>
      <c r="H702" s="18">
        <f t="shared" si="65"/>
        <v>0</v>
      </c>
      <c r="I702" s="20">
        <v>46225</v>
      </c>
      <c r="J702" s="70" t="s">
        <v>477</v>
      </c>
      <c r="K702" s="17" t="s">
        <v>223</v>
      </c>
      <c r="L702" s="70"/>
    </row>
    <row r="703" hidden="1" customHeight="1" spans="1:12">
      <c r="A703" s="17" t="s">
        <v>139</v>
      </c>
      <c r="B703" s="17" t="s">
        <v>726</v>
      </c>
      <c r="C703" s="40" t="s">
        <v>703</v>
      </c>
      <c r="D703" s="192">
        <v>16.819</v>
      </c>
      <c r="E703" s="40">
        <v>6773</v>
      </c>
      <c r="F703" s="25">
        <f t="shared" si="64"/>
        <v>113915.087</v>
      </c>
      <c r="G703" s="18">
        <v>113915.087</v>
      </c>
      <c r="H703" s="18">
        <f t="shared" si="65"/>
        <v>0</v>
      </c>
      <c r="I703" s="20">
        <v>46225</v>
      </c>
      <c r="J703" s="70" t="s">
        <v>477</v>
      </c>
      <c r="K703" s="17" t="s">
        <v>223</v>
      </c>
      <c r="L703" s="70"/>
    </row>
    <row r="704" hidden="1" customHeight="1" spans="1:12">
      <c r="A704" s="17" t="s">
        <v>139</v>
      </c>
      <c r="B704" s="17" t="s">
        <v>727</v>
      </c>
      <c r="C704" s="17" t="s">
        <v>728</v>
      </c>
      <c r="D704" s="190">
        <v>21.014</v>
      </c>
      <c r="E704" s="17">
        <v>6554</v>
      </c>
      <c r="F704" s="25">
        <f t="shared" si="64"/>
        <v>137725.756</v>
      </c>
      <c r="G704" s="18">
        <v>137725.756</v>
      </c>
      <c r="H704" s="18">
        <f t="shared" si="65"/>
        <v>0</v>
      </c>
      <c r="I704" s="20">
        <v>46215</v>
      </c>
      <c r="J704" s="70" t="s">
        <v>477</v>
      </c>
      <c r="K704" s="17" t="s">
        <v>223</v>
      </c>
      <c r="L704" s="70"/>
    </row>
    <row r="705" hidden="1" customHeight="1" spans="1:12">
      <c r="A705" s="17" t="s">
        <v>139</v>
      </c>
      <c r="B705" s="17" t="s">
        <v>724</v>
      </c>
      <c r="C705" s="17" t="s">
        <v>728</v>
      </c>
      <c r="D705" s="190">
        <v>1.97</v>
      </c>
      <c r="E705" s="17">
        <v>6554</v>
      </c>
      <c r="F705" s="25">
        <f t="shared" si="64"/>
        <v>12911.38</v>
      </c>
      <c r="G705" s="18">
        <v>0</v>
      </c>
      <c r="H705" s="18">
        <f t="shared" si="65"/>
        <v>12911.38</v>
      </c>
      <c r="I705" s="20">
        <v>46215</v>
      </c>
      <c r="J705" s="17" t="s">
        <v>21</v>
      </c>
      <c r="K705" s="17" t="s">
        <v>223</v>
      </c>
      <c r="L705" s="17"/>
    </row>
    <row r="706" hidden="1" customHeight="1" spans="1:12">
      <c r="A706" s="70" t="s">
        <v>302</v>
      </c>
      <c r="B706" s="72" t="s">
        <v>729</v>
      </c>
      <c r="C706" s="88" t="s">
        <v>195</v>
      </c>
      <c r="D706" s="117">
        <v>35.141</v>
      </c>
      <c r="E706" s="70">
        <v>2908</v>
      </c>
      <c r="F706" s="168">
        <f t="shared" si="64"/>
        <v>102190.028</v>
      </c>
      <c r="G706" s="52">
        <v>102190.028</v>
      </c>
      <c r="H706" s="52">
        <f t="shared" si="65"/>
        <v>0</v>
      </c>
      <c r="I706" s="85">
        <v>46174</v>
      </c>
      <c r="J706" s="70" t="s">
        <v>21</v>
      </c>
      <c r="K706" s="70"/>
      <c r="L706" s="70"/>
    </row>
    <row r="707" hidden="1" customHeight="1" spans="1:12">
      <c r="A707" s="70" t="s">
        <v>302</v>
      </c>
      <c r="B707" s="72" t="s">
        <v>730</v>
      </c>
      <c r="C707" s="88" t="s">
        <v>195</v>
      </c>
      <c r="D707" s="117">
        <v>18.18</v>
      </c>
      <c r="E707" s="70">
        <v>2908</v>
      </c>
      <c r="F707" s="168">
        <f t="shared" si="64"/>
        <v>52867.44</v>
      </c>
      <c r="G707" s="52">
        <v>52867.44</v>
      </c>
      <c r="H707" s="52">
        <f t="shared" si="65"/>
        <v>0</v>
      </c>
      <c r="I707" s="85">
        <v>46197</v>
      </c>
      <c r="J707" s="70" t="s">
        <v>21</v>
      </c>
      <c r="K707" s="70"/>
      <c r="L707" s="70"/>
    </row>
    <row r="708" hidden="1" customHeight="1" spans="1:12">
      <c r="A708" s="70" t="s">
        <v>302</v>
      </c>
      <c r="B708" s="24" t="s">
        <v>731</v>
      </c>
      <c r="C708" s="88" t="s">
        <v>195</v>
      </c>
      <c r="D708" s="117">
        <v>33.777</v>
      </c>
      <c r="E708" s="70">
        <v>2908</v>
      </c>
      <c r="F708" s="168">
        <f t="shared" si="64"/>
        <v>98223.516</v>
      </c>
      <c r="G708" s="52">
        <v>98223.516</v>
      </c>
      <c r="H708" s="52">
        <f t="shared" si="65"/>
        <v>0</v>
      </c>
      <c r="I708" s="85">
        <v>46197</v>
      </c>
      <c r="J708" s="70" t="s">
        <v>21</v>
      </c>
      <c r="K708" s="70"/>
      <c r="L708" s="70"/>
    </row>
    <row r="709" hidden="1" customHeight="1" spans="1:12">
      <c r="A709" s="70" t="s">
        <v>302</v>
      </c>
      <c r="B709" s="72" t="s">
        <v>219</v>
      </c>
      <c r="C709" s="24" t="s">
        <v>220</v>
      </c>
      <c r="D709" s="117">
        <v>3.03</v>
      </c>
      <c r="E709" s="70">
        <v>2551</v>
      </c>
      <c r="F709" s="168">
        <f t="shared" si="64"/>
        <v>7729.53</v>
      </c>
      <c r="G709" s="52">
        <v>7729.53</v>
      </c>
      <c r="H709" s="52">
        <f t="shared" si="65"/>
        <v>0</v>
      </c>
      <c r="I709" s="85">
        <v>46174</v>
      </c>
      <c r="J709" s="70" t="s">
        <v>21</v>
      </c>
      <c r="K709" s="70"/>
      <c r="L709" s="70"/>
    </row>
    <row r="710" hidden="1" customHeight="1" spans="1:12">
      <c r="A710" s="17" t="s">
        <v>302</v>
      </c>
      <c r="B710" s="17" t="s">
        <v>732</v>
      </c>
      <c r="C710" s="24" t="s">
        <v>202</v>
      </c>
      <c r="D710" s="28">
        <v>43.019</v>
      </c>
      <c r="E710" s="17">
        <v>2806</v>
      </c>
      <c r="F710" s="25">
        <f t="shared" si="64"/>
        <v>120711.314</v>
      </c>
      <c r="G710" s="18">
        <v>120711.314</v>
      </c>
      <c r="H710" s="18">
        <f t="shared" si="65"/>
        <v>0</v>
      </c>
      <c r="I710" s="20">
        <v>46200</v>
      </c>
      <c r="J710" s="70" t="s">
        <v>21</v>
      </c>
      <c r="K710" s="70"/>
      <c r="L710" s="17"/>
    </row>
    <row r="711" hidden="1" customHeight="1" spans="1:12">
      <c r="A711" s="17" t="s">
        <v>302</v>
      </c>
      <c r="B711" s="17" t="s">
        <v>733</v>
      </c>
      <c r="C711" s="24" t="s">
        <v>202</v>
      </c>
      <c r="D711" s="28">
        <v>27.285</v>
      </c>
      <c r="E711" s="17">
        <v>2806</v>
      </c>
      <c r="F711" s="25">
        <f t="shared" si="64"/>
        <v>76561.71</v>
      </c>
      <c r="G711" s="18">
        <v>76561.71</v>
      </c>
      <c r="H711" s="18">
        <f t="shared" si="65"/>
        <v>0</v>
      </c>
      <c r="I711" s="85">
        <v>46208</v>
      </c>
      <c r="J711" s="70" t="s">
        <v>21</v>
      </c>
      <c r="K711" s="70"/>
      <c r="L711" s="17"/>
    </row>
    <row r="712" hidden="1" customHeight="1" spans="1:12">
      <c r="A712" s="17" t="s">
        <v>302</v>
      </c>
      <c r="B712" s="24" t="s">
        <v>734</v>
      </c>
      <c r="C712" s="24" t="s">
        <v>220</v>
      </c>
      <c r="D712" s="28">
        <v>37.777</v>
      </c>
      <c r="E712" s="70">
        <v>2908</v>
      </c>
      <c r="F712" s="18">
        <f t="shared" si="64"/>
        <v>109855.516</v>
      </c>
      <c r="G712" s="18">
        <v>109855.516</v>
      </c>
      <c r="H712" s="18">
        <f t="shared" si="65"/>
        <v>0</v>
      </c>
      <c r="I712" s="85">
        <v>46174</v>
      </c>
      <c r="J712" s="70" t="s">
        <v>21</v>
      </c>
      <c r="K712" s="70"/>
      <c r="L712" s="17"/>
    </row>
    <row r="713" hidden="1" customHeight="1" spans="1:12">
      <c r="A713" s="17" t="s">
        <v>302</v>
      </c>
      <c r="B713" s="24" t="s">
        <v>735</v>
      </c>
      <c r="C713" s="24" t="s">
        <v>98</v>
      </c>
      <c r="D713" s="17">
        <v>4.383</v>
      </c>
      <c r="E713" s="70">
        <v>2908</v>
      </c>
      <c r="F713" s="25">
        <f t="shared" si="64"/>
        <v>12745.764</v>
      </c>
      <c r="G713" s="18">
        <v>12745.764</v>
      </c>
      <c r="H713" s="18">
        <f t="shared" si="65"/>
        <v>0</v>
      </c>
      <c r="I713" s="20">
        <v>46200</v>
      </c>
      <c r="J713" s="70" t="s">
        <v>21</v>
      </c>
      <c r="K713" s="70"/>
      <c r="L713" s="17"/>
    </row>
    <row r="714" hidden="1" customHeight="1" spans="1:12">
      <c r="A714" s="17" t="s">
        <v>302</v>
      </c>
      <c r="B714" s="24" t="s">
        <v>736</v>
      </c>
      <c r="C714" s="24" t="s">
        <v>98</v>
      </c>
      <c r="D714" s="17">
        <v>33.03</v>
      </c>
      <c r="E714" s="70">
        <v>2908</v>
      </c>
      <c r="F714" s="25">
        <f t="shared" si="64"/>
        <v>96051.24</v>
      </c>
      <c r="G714" s="18">
        <v>96051.24</v>
      </c>
      <c r="H714" s="18">
        <f t="shared" si="65"/>
        <v>0</v>
      </c>
      <c r="I714" s="85">
        <v>46174</v>
      </c>
      <c r="J714" s="70" t="s">
        <v>21</v>
      </c>
      <c r="K714" s="70"/>
      <c r="L714" s="17"/>
    </row>
    <row r="715" hidden="1" customHeight="1" spans="1:12">
      <c r="A715" s="17" t="s">
        <v>302</v>
      </c>
      <c r="B715" s="24" t="s">
        <v>737</v>
      </c>
      <c r="C715" s="24" t="s">
        <v>98</v>
      </c>
      <c r="D715" s="17">
        <v>1.461</v>
      </c>
      <c r="E715" s="70">
        <v>2908</v>
      </c>
      <c r="F715" s="25">
        <f t="shared" si="64"/>
        <v>4248.588</v>
      </c>
      <c r="G715" s="18">
        <v>4248.588</v>
      </c>
      <c r="H715" s="18">
        <f t="shared" si="65"/>
        <v>0</v>
      </c>
      <c r="I715" s="85">
        <v>46197</v>
      </c>
      <c r="J715" s="70" t="s">
        <v>21</v>
      </c>
      <c r="K715" s="70"/>
      <c r="L715" s="17"/>
    </row>
    <row r="716" hidden="1" customHeight="1" spans="1:12">
      <c r="A716" s="17" t="s">
        <v>302</v>
      </c>
      <c r="B716" s="24" t="s">
        <v>593</v>
      </c>
      <c r="C716" s="24" t="s">
        <v>641</v>
      </c>
      <c r="D716" s="17">
        <v>7.646</v>
      </c>
      <c r="E716" s="70">
        <v>2449</v>
      </c>
      <c r="F716" s="25">
        <f t="shared" si="64"/>
        <v>18725.054</v>
      </c>
      <c r="G716" s="18">
        <v>18725.054</v>
      </c>
      <c r="H716" s="18">
        <f t="shared" si="65"/>
        <v>0</v>
      </c>
      <c r="I716" s="85">
        <v>46197</v>
      </c>
      <c r="J716" s="70" t="s">
        <v>21</v>
      </c>
      <c r="K716" s="70"/>
      <c r="L716" s="17"/>
    </row>
    <row r="717" hidden="1" customHeight="1" spans="1:12">
      <c r="A717" s="17" t="s">
        <v>302</v>
      </c>
      <c r="B717" s="24" t="s">
        <v>738</v>
      </c>
      <c r="C717" s="24" t="s">
        <v>641</v>
      </c>
      <c r="D717" s="17">
        <v>20.147</v>
      </c>
      <c r="E717" s="17">
        <v>2806</v>
      </c>
      <c r="F717" s="25">
        <f t="shared" si="64"/>
        <v>56532.482</v>
      </c>
      <c r="G717" s="18">
        <v>56532.482</v>
      </c>
      <c r="H717" s="18">
        <f t="shared" si="65"/>
        <v>0</v>
      </c>
      <c r="I717" s="85">
        <v>46197</v>
      </c>
      <c r="J717" s="70" t="s">
        <v>21</v>
      </c>
      <c r="K717" s="70"/>
      <c r="L717" s="17"/>
    </row>
    <row r="718" hidden="1" customHeight="1" spans="1:12">
      <c r="A718" s="17" t="s">
        <v>302</v>
      </c>
      <c r="B718" s="24" t="s">
        <v>739</v>
      </c>
      <c r="C718" s="24" t="s">
        <v>641</v>
      </c>
      <c r="D718" s="17">
        <v>21.168</v>
      </c>
      <c r="E718" s="17">
        <v>2806</v>
      </c>
      <c r="F718" s="25">
        <f t="shared" si="64"/>
        <v>59397.408</v>
      </c>
      <c r="G718" s="18">
        <v>59397.408</v>
      </c>
      <c r="H718" s="18">
        <f t="shared" si="65"/>
        <v>0</v>
      </c>
      <c r="I718" s="85">
        <v>46197</v>
      </c>
      <c r="J718" s="70" t="s">
        <v>21</v>
      </c>
      <c r="K718" s="70"/>
      <c r="L718" s="17"/>
    </row>
    <row r="719" hidden="1" customHeight="1" spans="1:12">
      <c r="A719" s="17" t="s">
        <v>302</v>
      </c>
      <c r="B719" s="24" t="s">
        <v>740</v>
      </c>
      <c r="C719" s="24" t="s">
        <v>643</v>
      </c>
      <c r="D719" s="17">
        <v>60.373</v>
      </c>
      <c r="E719" s="70">
        <v>2908</v>
      </c>
      <c r="F719" s="25">
        <f t="shared" si="64"/>
        <v>175564.684</v>
      </c>
      <c r="G719" s="193">
        <v>175564.684</v>
      </c>
      <c r="H719" s="18">
        <f t="shared" si="65"/>
        <v>0</v>
      </c>
      <c r="I719" s="20">
        <v>46200</v>
      </c>
      <c r="J719" s="70" t="s">
        <v>21</v>
      </c>
      <c r="K719" s="70"/>
      <c r="L719" s="17"/>
    </row>
    <row r="720" customHeight="1" spans="1:12">
      <c r="A720" s="17" t="s">
        <v>18</v>
      </c>
      <c r="B720" s="24" t="s">
        <v>741</v>
      </c>
      <c r="C720" s="24" t="s">
        <v>695</v>
      </c>
      <c r="D720" s="17">
        <v>27.036</v>
      </c>
      <c r="E720" s="17">
        <v>6085</v>
      </c>
      <c r="F720" s="25">
        <f t="shared" si="64"/>
        <v>164514.06</v>
      </c>
      <c r="G720" s="193">
        <f>164295+219.06</f>
        <v>164514.06</v>
      </c>
      <c r="H720" s="18">
        <f t="shared" si="65"/>
        <v>0</v>
      </c>
      <c r="I720" s="20">
        <v>46240</v>
      </c>
      <c r="J720" s="17" t="s">
        <v>21</v>
      </c>
      <c r="K720" s="17" t="s">
        <v>696</v>
      </c>
      <c r="L720" s="17"/>
    </row>
    <row r="721" customHeight="1" spans="1:12">
      <c r="A721" s="17" t="s">
        <v>18</v>
      </c>
      <c r="B721" s="24" t="s">
        <v>741</v>
      </c>
      <c r="C721" s="24" t="s">
        <v>742</v>
      </c>
      <c r="D721" s="17">
        <v>54.18</v>
      </c>
      <c r="E721" s="17">
        <v>6000</v>
      </c>
      <c r="F721" s="25">
        <f t="shared" si="64"/>
        <v>325080</v>
      </c>
      <c r="G721" s="193">
        <f>324000+1080</f>
        <v>325080</v>
      </c>
      <c r="H721" s="18">
        <f t="shared" si="65"/>
        <v>0</v>
      </c>
      <c r="I721" s="20">
        <v>46240</v>
      </c>
      <c r="J721" s="17" t="s">
        <v>21</v>
      </c>
      <c r="K721" s="17" t="s">
        <v>696</v>
      </c>
      <c r="L721" s="17"/>
    </row>
    <row r="722" customHeight="1" spans="1:12">
      <c r="A722" s="17" t="s">
        <v>18</v>
      </c>
      <c r="B722" s="24" t="s">
        <v>741</v>
      </c>
      <c r="C722" s="24" t="s">
        <v>698</v>
      </c>
      <c r="D722" s="17">
        <v>6.092</v>
      </c>
      <c r="E722" s="17">
        <v>6000</v>
      </c>
      <c r="F722" s="25">
        <f t="shared" si="64"/>
        <v>36552</v>
      </c>
      <c r="G722" s="193">
        <f>162000-125448</f>
        <v>36552</v>
      </c>
      <c r="H722" s="18">
        <f t="shared" si="65"/>
        <v>0</v>
      </c>
      <c r="I722" s="20">
        <v>46240</v>
      </c>
      <c r="J722" s="17" t="s">
        <v>21</v>
      </c>
      <c r="K722" s="17" t="s">
        <v>696</v>
      </c>
      <c r="L722" s="17"/>
    </row>
    <row r="723" customHeight="1" spans="1:12">
      <c r="A723" s="17" t="s">
        <v>18</v>
      </c>
      <c r="B723" s="24" t="s">
        <v>741</v>
      </c>
      <c r="C723" s="24" t="s">
        <v>700</v>
      </c>
      <c r="D723" s="17">
        <v>50.16</v>
      </c>
      <c r="E723" s="17">
        <v>6000</v>
      </c>
      <c r="F723" s="25">
        <f t="shared" si="64"/>
        <v>300960</v>
      </c>
      <c r="G723" s="193">
        <f>324000-23040</f>
        <v>300960</v>
      </c>
      <c r="H723" s="18">
        <f t="shared" si="65"/>
        <v>0</v>
      </c>
      <c r="I723" s="20">
        <v>46240</v>
      </c>
      <c r="J723" s="17" t="s">
        <v>21</v>
      </c>
      <c r="K723" s="17" t="s">
        <v>696</v>
      </c>
      <c r="L723" s="17"/>
    </row>
    <row r="724" customHeight="1" spans="1:12">
      <c r="A724" s="17" t="s">
        <v>18</v>
      </c>
      <c r="B724" s="24" t="s">
        <v>743</v>
      </c>
      <c r="C724" s="24" t="s">
        <v>698</v>
      </c>
      <c r="D724" s="17">
        <v>18.799</v>
      </c>
      <c r="E724" s="17">
        <v>6000</v>
      </c>
      <c r="F724" s="25">
        <f t="shared" ref="F724:F787" si="66">D724*E724</f>
        <v>112794</v>
      </c>
      <c r="G724" s="193">
        <v>112794</v>
      </c>
      <c r="H724" s="18">
        <f t="shared" si="65"/>
        <v>0</v>
      </c>
      <c r="I724" s="20">
        <v>46240</v>
      </c>
      <c r="J724" s="17" t="s">
        <v>560</v>
      </c>
      <c r="K724" s="17" t="s">
        <v>696</v>
      </c>
      <c r="L724" s="17"/>
    </row>
    <row r="725" customHeight="1" spans="1:12">
      <c r="A725" s="17" t="s">
        <v>18</v>
      </c>
      <c r="B725" s="24" t="s">
        <v>743</v>
      </c>
      <c r="C725" s="24" t="s">
        <v>699</v>
      </c>
      <c r="D725" s="17">
        <f>81-D726</f>
        <v>34.004</v>
      </c>
      <c r="E725" s="17">
        <v>6000</v>
      </c>
      <c r="F725" s="25">
        <f t="shared" si="66"/>
        <v>204024</v>
      </c>
      <c r="G725" s="193">
        <f>486000-281976</f>
        <v>204024</v>
      </c>
      <c r="H725" s="18">
        <f t="shared" si="65"/>
        <v>0</v>
      </c>
      <c r="I725" s="20">
        <v>46240</v>
      </c>
      <c r="J725" s="17"/>
      <c r="K725" s="17" t="s">
        <v>696</v>
      </c>
      <c r="L725" s="17"/>
    </row>
    <row r="726" customHeight="1" spans="1:12">
      <c r="A726" s="17" t="s">
        <v>18</v>
      </c>
      <c r="B726" s="24" t="s">
        <v>744</v>
      </c>
      <c r="C726" s="24" t="s">
        <v>699</v>
      </c>
      <c r="D726" s="17">
        <v>46.996</v>
      </c>
      <c r="E726" s="17">
        <v>6000</v>
      </c>
      <c r="F726" s="25">
        <f t="shared" si="66"/>
        <v>281976</v>
      </c>
      <c r="G726" s="193">
        <v>281976</v>
      </c>
      <c r="H726" s="18">
        <f t="shared" si="65"/>
        <v>0</v>
      </c>
      <c r="I726" s="20">
        <v>46240</v>
      </c>
      <c r="J726" s="17" t="s">
        <v>21</v>
      </c>
      <c r="K726" s="17" t="s">
        <v>696</v>
      </c>
      <c r="L726" s="17"/>
    </row>
    <row r="727" customHeight="1" spans="1:12">
      <c r="A727" s="17" t="s">
        <v>18</v>
      </c>
      <c r="B727" s="24" t="s">
        <v>743</v>
      </c>
      <c r="C727" s="24" t="s">
        <v>745</v>
      </c>
      <c r="D727" s="17">
        <v>27</v>
      </c>
      <c r="E727" s="17">
        <v>6000</v>
      </c>
      <c r="F727" s="25">
        <f t="shared" si="66"/>
        <v>162000</v>
      </c>
      <c r="G727" s="193">
        <v>162000</v>
      </c>
      <c r="H727" s="18">
        <f t="shared" si="65"/>
        <v>0</v>
      </c>
      <c r="I727" s="20">
        <v>46240</v>
      </c>
      <c r="J727" s="17"/>
      <c r="K727" s="17" t="s">
        <v>696</v>
      </c>
      <c r="L727" s="17"/>
    </row>
    <row r="728" customHeight="1" spans="1:12">
      <c r="A728" s="17" t="s">
        <v>18</v>
      </c>
      <c r="B728" s="24" t="s">
        <v>743</v>
      </c>
      <c r="C728" s="24" t="s">
        <v>701</v>
      </c>
      <c r="D728" s="133">
        <v>136.268</v>
      </c>
      <c r="E728" s="17">
        <v>5750</v>
      </c>
      <c r="F728" s="25">
        <f t="shared" si="66"/>
        <v>783541</v>
      </c>
      <c r="G728" s="193">
        <f>114261.64+34394.94</f>
        <v>148656.58</v>
      </c>
      <c r="H728" s="18">
        <f t="shared" si="65"/>
        <v>634884.42</v>
      </c>
      <c r="I728" s="20">
        <v>46240</v>
      </c>
      <c r="J728" s="17"/>
      <c r="K728" s="17" t="s">
        <v>696</v>
      </c>
      <c r="L728" s="17"/>
    </row>
    <row r="729" customHeight="1" spans="1:12">
      <c r="A729" s="17" t="s">
        <v>18</v>
      </c>
      <c r="B729" s="24" t="s">
        <v>746</v>
      </c>
      <c r="C729" s="194" t="s">
        <v>747</v>
      </c>
      <c r="D729" s="17">
        <v>1083000</v>
      </c>
      <c r="E729" s="17">
        <v>0.2052</v>
      </c>
      <c r="F729" s="195">
        <f t="shared" si="66"/>
        <v>222231.6</v>
      </c>
      <c r="G729" s="193">
        <v>222231.6</v>
      </c>
      <c r="H729" s="18">
        <f t="shared" si="65"/>
        <v>0</v>
      </c>
      <c r="I729" s="20">
        <v>46266</v>
      </c>
      <c r="J729" s="17" t="s">
        <v>21</v>
      </c>
      <c r="K729" s="17" t="s">
        <v>748</v>
      </c>
      <c r="L729" s="17"/>
    </row>
    <row r="730" customHeight="1" spans="1:12">
      <c r="A730" s="17" t="s">
        <v>18</v>
      </c>
      <c r="B730" s="24" t="s">
        <v>749</v>
      </c>
      <c r="C730" s="194" t="s">
        <v>747</v>
      </c>
      <c r="D730" s="17">
        <v>1083000</v>
      </c>
      <c r="E730" s="17">
        <v>0.2052</v>
      </c>
      <c r="F730" s="195">
        <f t="shared" si="66"/>
        <v>222231.6</v>
      </c>
      <c r="G730" s="193">
        <v>222231.6</v>
      </c>
      <c r="H730" s="18">
        <f t="shared" si="65"/>
        <v>0</v>
      </c>
      <c r="I730" s="20">
        <v>46266</v>
      </c>
      <c r="J730" s="17" t="s">
        <v>21</v>
      </c>
      <c r="K730" s="17" t="s">
        <v>748</v>
      </c>
      <c r="L730" s="17"/>
    </row>
    <row r="731" customHeight="1" spans="1:12">
      <c r="A731" s="17" t="s">
        <v>18</v>
      </c>
      <c r="B731" s="24" t="s">
        <v>750</v>
      </c>
      <c r="C731" s="194" t="s">
        <v>747</v>
      </c>
      <c r="D731" s="17">
        <f>5415000-D730-D729</f>
        <v>3249000</v>
      </c>
      <c r="E731" s="17">
        <v>0.2052</v>
      </c>
      <c r="F731" s="195">
        <f t="shared" si="66"/>
        <v>666694.8</v>
      </c>
      <c r="G731" s="193">
        <v>165536.8</v>
      </c>
      <c r="H731" s="18">
        <f t="shared" si="65"/>
        <v>501158</v>
      </c>
      <c r="I731" s="20">
        <v>46266</v>
      </c>
      <c r="J731" s="17"/>
      <c r="K731" s="17" t="s">
        <v>748</v>
      </c>
      <c r="L731" s="17"/>
    </row>
    <row r="732" customHeight="1" spans="1:12">
      <c r="A732" s="17" t="s">
        <v>18</v>
      </c>
      <c r="B732" s="24" t="s">
        <v>751</v>
      </c>
      <c r="C732" s="24" t="s">
        <v>752</v>
      </c>
      <c r="D732" s="17">
        <v>1578600</v>
      </c>
      <c r="E732" s="17">
        <v>0.1162</v>
      </c>
      <c r="F732" s="195">
        <f t="shared" si="66"/>
        <v>183433.32</v>
      </c>
      <c r="G732" s="193">
        <v>183433.32</v>
      </c>
      <c r="H732" s="18">
        <f t="shared" si="65"/>
        <v>0</v>
      </c>
      <c r="I732" s="20">
        <v>46204</v>
      </c>
      <c r="J732" s="17" t="s">
        <v>21</v>
      </c>
      <c r="K732" s="17" t="s">
        <v>223</v>
      </c>
      <c r="L732" s="17"/>
    </row>
    <row r="733" customHeight="1" spans="1:12">
      <c r="A733" s="17" t="s">
        <v>18</v>
      </c>
      <c r="B733" s="24" t="s">
        <v>753</v>
      </c>
      <c r="C733" s="24" t="s">
        <v>638</v>
      </c>
      <c r="D733" s="28">
        <f>108-D734</f>
        <v>99.315</v>
      </c>
      <c r="E733" s="17">
        <v>6650</v>
      </c>
      <c r="F733" s="195">
        <f t="shared" si="66"/>
        <v>660444.75</v>
      </c>
      <c r="G733" s="193">
        <f>718200-57755.25-8288.25-350481.6-209644.59-92030.31</f>
        <v>0</v>
      </c>
      <c r="H733" s="18">
        <f t="shared" si="65"/>
        <v>660444.75</v>
      </c>
      <c r="I733" s="20">
        <v>46263</v>
      </c>
      <c r="J733" s="17"/>
      <c r="K733" s="17" t="s">
        <v>223</v>
      </c>
      <c r="L733" s="17"/>
    </row>
    <row r="734" customHeight="1" spans="1:12">
      <c r="A734" s="17" t="s">
        <v>18</v>
      </c>
      <c r="B734" s="24" t="s">
        <v>754</v>
      </c>
      <c r="C734" s="24" t="s">
        <v>638</v>
      </c>
      <c r="D734" s="28">
        <v>8.685</v>
      </c>
      <c r="E734" s="17">
        <v>6650</v>
      </c>
      <c r="F734" s="195">
        <f t="shared" si="66"/>
        <v>57755.25</v>
      </c>
      <c r="G734" s="193">
        <v>57755.25</v>
      </c>
      <c r="H734" s="18">
        <f t="shared" si="65"/>
        <v>0</v>
      </c>
      <c r="I734" s="20">
        <v>46263</v>
      </c>
      <c r="J734" s="17" t="s">
        <v>21</v>
      </c>
      <c r="K734" s="17" t="s">
        <v>223</v>
      </c>
      <c r="L734" s="17"/>
    </row>
    <row r="735" customHeight="1" spans="1:12">
      <c r="A735" s="17" t="s">
        <v>18</v>
      </c>
      <c r="B735" s="24" t="s">
        <v>754</v>
      </c>
      <c r="C735" s="24" t="s">
        <v>641</v>
      </c>
      <c r="D735" s="28">
        <v>82.38</v>
      </c>
      <c r="E735" s="17">
        <v>6450</v>
      </c>
      <c r="F735" s="195">
        <f t="shared" si="66"/>
        <v>531351</v>
      </c>
      <c r="G735" s="193">
        <f>516000+15351</f>
        <v>531351</v>
      </c>
      <c r="H735" s="18">
        <f t="shared" si="65"/>
        <v>0</v>
      </c>
      <c r="I735" s="20">
        <v>46263</v>
      </c>
      <c r="J735" s="17" t="s">
        <v>21</v>
      </c>
      <c r="K735" s="17" t="s">
        <v>223</v>
      </c>
      <c r="L735" s="17"/>
    </row>
    <row r="736" customHeight="1" spans="1:12">
      <c r="A736" s="17" t="s">
        <v>18</v>
      </c>
      <c r="B736" s="24" t="s">
        <v>755</v>
      </c>
      <c r="C736" s="24" t="s">
        <v>641</v>
      </c>
      <c r="D736" s="28">
        <v>1.285</v>
      </c>
      <c r="E736" s="17">
        <v>6450</v>
      </c>
      <c r="F736" s="195">
        <f t="shared" si="66"/>
        <v>8288.25</v>
      </c>
      <c r="G736" s="193">
        <v>8288.25</v>
      </c>
      <c r="H736" s="18">
        <f t="shared" si="65"/>
        <v>0</v>
      </c>
      <c r="I736" s="20">
        <v>46263</v>
      </c>
      <c r="J736" s="17" t="s">
        <v>21</v>
      </c>
      <c r="K736" s="17" t="s">
        <v>223</v>
      </c>
      <c r="L736" s="17"/>
    </row>
    <row r="737" customHeight="1" spans="1:12">
      <c r="A737" s="17" t="s">
        <v>18</v>
      </c>
      <c r="B737" s="24" t="s">
        <v>755</v>
      </c>
      <c r="C737" s="24" t="s">
        <v>643</v>
      </c>
      <c r="D737" s="28">
        <v>52.704</v>
      </c>
      <c r="E737" s="17">
        <v>6650</v>
      </c>
      <c r="F737" s="195">
        <f t="shared" si="66"/>
        <v>350481.6</v>
      </c>
      <c r="G737" s="193">
        <v>350481.6</v>
      </c>
      <c r="H737" s="18">
        <f t="shared" si="65"/>
        <v>0</v>
      </c>
      <c r="I737" s="20">
        <v>46263</v>
      </c>
      <c r="J737" s="17" t="s">
        <v>21</v>
      </c>
      <c r="K737" s="17" t="s">
        <v>223</v>
      </c>
      <c r="L737" s="17"/>
    </row>
    <row r="738" customHeight="1" spans="1:12">
      <c r="A738" s="17" t="s">
        <v>18</v>
      </c>
      <c r="B738" s="24" t="s">
        <v>753</v>
      </c>
      <c r="C738" s="24" t="s">
        <v>643</v>
      </c>
      <c r="D738" s="28">
        <f>210-99.99-53.647-52.704</f>
        <v>3.65900000000001</v>
      </c>
      <c r="E738" s="17">
        <v>6650</v>
      </c>
      <c r="F738" s="195">
        <f t="shared" si="66"/>
        <v>24332.35</v>
      </c>
      <c r="G738" s="193">
        <v>0</v>
      </c>
      <c r="H738" s="18">
        <f t="shared" si="65"/>
        <v>24332.35</v>
      </c>
      <c r="I738" s="20">
        <v>46263</v>
      </c>
      <c r="J738" s="17"/>
      <c r="K738" s="17" t="s">
        <v>223</v>
      </c>
      <c r="L738" s="17"/>
    </row>
    <row r="739" customHeight="1" spans="1:12">
      <c r="A739" s="17" t="s">
        <v>18</v>
      </c>
      <c r="B739" s="24" t="s">
        <v>756</v>
      </c>
      <c r="C739" s="24" t="s">
        <v>643</v>
      </c>
      <c r="D739" s="28">
        <v>53.647</v>
      </c>
      <c r="E739" s="17">
        <v>6650</v>
      </c>
      <c r="F739" s="195">
        <f t="shared" si="66"/>
        <v>356752.55</v>
      </c>
      <c r="G739" s="193">
        <f>92030.31+264722.24</f>
        <v>356752.55</v>
      </c>
      <c r="H739" s="18">
        <f t="shared" si="65"/>
        <v>0</v>
      </c>
      <c r="I739" s="20">
        <v>46263</v>
      </c>
      <c r="J739" s="17" t="s">
        <v>21</v>
      </c>
      <c r="K739" s="17" t="s">
        <v>223</v>
      </c>
      <c r="L739" s="17"/>
    </row>
    <row r="740" customHeight="1" spans="1:12">
      <c r="A740" s="17" t="s">
        <v>18</v>
      </c>
      <c r="B740" s="24" t="s">
        <v>757</v>
      </c>
      <c r="C740" s="24" t="s">
        <v>643</v>
      </c>
      <c r="D740" s="28">
        <v>99.99</v>
      </c>
      <c r="E740" s="17">
        <v>6650</v>
      </c>
      <c r="F740" s="195">
        <f t="shared" si="66"/>
        <v>664933.5</v>
      </c>
      <c r="G740" s="193">
        <f>470639.91-15351+209644.59</f>
        <v>664933.5</v>
      </c>
      <c r="H740" s="18">
        <f t="shared" si="65"/>
        <v>0</v>
      </c>
      <c r="I740" s="20">
        <v>46263</v>
      </c>
      <c r="J740" s="17" t="s">
        <v>21</v>
      </c>
      <c r="K740" s="17" t="s">
        <v>223</v>
      </c>
      <c r="L740" s="17"/>
    </row>
    <row r="741" customHeight="1" spans="1:12">
      <c r="A741" s="17" t="s">
        <v>18</v>
      </c>
      <c r="B741" s="24" t="s">
        <v>753</v>
      </c>
      <c r="C741" s="24" t="s">
        <v>758</v>
      </c>
      <c r="D741" s="28">
        <v>90</v>
      </c>
      <c r="E741" s="17">
        <v>6450</v>
      </c>
      <c r="F741" s="195">
        <f t="shared" si="66"/>
        <v>580500</v>
      </c>
      <c r="G741" s="193">
        <v>0</v>
      </c>
      <c r="H741" s="18">
        <f t="shared" si="65"/>
        <v>580500</v>
      </c>
      <c r="I741" s="20">
        <v>46263</v>
      </c>
      <c r="J741" s="17"/>
      <c r="K741" s="17" t="s">
        <v>223</v>
      </c>
      <c r="L741" s="17"/>
    </row>
    <row r="742" customHeight="1" spans="1:12">
      <c r="A742" s="17" t="s">
        <v>18</v>
      </c>
      <c r="B742" s="24" t="s">
        <v>756</v>
      </c>
      <c r="C742" s="24" t="s">
        <v>759</v>
      </c>
      <c r="D742" s="28">
        <v>27.329</v>
      </c>
      <c r="E742" s="17">
        <v>6650</v>
      </c>
      <c r="F742" s="195">
        <f t="shared" si="66"/>
        <v>181737.85</v>
      </c>
      <c r="G742" s="193">
        <v>181737.85</v>
      </c>
      <c r="H742" s="18">
        <f t="shared" si="65"/>
        <v>0</v>
      </c>
      <c r="I742" s="20">
        <v>46263</v>
      </c>
      <c r="J742" s="17" t="s">
        <v>21</v>
      </c>
      <c r="K742" s="17" t="s">
        <v>223</v>
      </c>
      <c r="L742" s="17"/>
    </row>
    <row r="743" customHeight="1" spans="1:12">
      <c r="A743" s="17" t="s">
        <v>18</v>
      </c>
      <c r="B743" s="24" t="s">
        <v>760</v>
      </c>
      <c r="C743" s="24" t="s">
        <v>759</v>
      </c>
      <c r="D743" s="28">
        <v>53.584</v>
      </c>
      <c r="E743" s="17">
        <v>6650</v>
      </c>
      <c r="F743" s="195">
        <f t="shared" si="66"/>
        <v>356333.6</v>
      </c>
      <c r="G743" s="193">
        <v>103539.91</v>
      </c>
      <c r="H743" s="18">
        <f t="shared" si="65"/>
        <v>252793.69</v>
      </c>
      <c r="I743" s="20">
        <v>46263</v>
      </c>
      <c r="J743" s="17"/>
      <c r="K743" s="17" t="s">
        <v>223</v>
      </c>
      <c r="L743" s="185" t="s">
        <v>761</v>
      </c>
    </row>
    <row r="744" customHeight="1" spans="1:12">
      <c r="A744" s="17" t="s">
        <v>18</v>
      </c>
      <c r="B744" s="24" t="s">
        <v>753</v>
      </c>
      <c r="C744" s="24" t="s">
        <v>759</v>
      </c>
      <c r="D744" s="28">
        <v>2.922</v>
      </c>
      <c r="E744" s="17">
        <v>6650</v>
      </c>
      <c r="F744" s="195">
        <f t="shared" si="66"/>
        <v>19431.3</v>
      </c>
      <c r="G744" s="193">
        <v>0</v>
      </c>
      <c r="H744" s="18">
        <f t="shared" si="65"/>
        <v>19431.3</v>
      </c>
      <c r="I744" s="20">
        <v>46263</v>
      </c>
      <c r="J744" s="17" t="s">
        <v>560</v>
      </c>
      <c r="K744" s="17" t="s">
        <v>223</v>
      </c>
      <c r="L744" s="17"/>
    </row>
    <row r="745" hidden="1" customHeight="1" spans="1:12">
      <c r="A745" s="17" t="s">
        <v>555</v>
      </c>
      <c r="B745" s="24" t="s">
        <v>762</v>
      </c>
      <c r="C745" s="24" t="s">
        <v>557</v>
      </c>
      <c r="D745" s="17">
        <v>186.624</v>
      </c>
      <c r="E745" s="17">
        <v>8287</v>
      </c>
      <c r="F745" s="195">
        <f t="shared" si="66"/>
        <v>1546553.088</v>
      </c>
      <c r="G745" s="193">
        <v>0</v>
      </c>
      <c r="H745" s="18">
        <f t="shared" ref="H745:H808" si="67">F745-G745</f>
        <v>1546553.088</v>
      </c>
      <c r="I745" s="20">
        <v>46265</v>
      </c>
      <c r="J745" s="17" t="s">
        <v>21</v>
      </c>
      <c r="K745" s="17" t="s">
        <v>696</v>
      </c>
      <c r="L745" s="17"/>
    </row>
    <row r="746" hidden="1" customHeight="1" spans="1:12">
      <c r="A746" s="17" t="s">
        <v>555</v>
      </c>
      <c r="B746" s="24" t="s">
        <v>762</v>
      </c>
      <c r="C746" s="24" t="s">
        <v>557</v>
      </c>
      <c r="D746" s="17">
        <v>5.832</v>
      </c>
      <c r="E746" s="17">
        <v>8287</v>
      </c>
      <c r="F746" s="195">
        <f t="shared" si="66"/>
        <v>48329.784</v>
      </c>
      <c r="G746" s="193">
        <v>0</v>
      </c>
      <c r="H746" s="18">
        <f t="shared" si="67"/>
        <v>48329.784</v>
      </c>
      <c r="I746" s="20">
        <v>46265</v>
      </c>
      <c r="J746" s="17" t="s">
        <v>560</v>
      </c>
      <c r="K746" s="17" t="s">
        <v>696</v>
      </c>
      <c r="L746" s="17"/>
    </row>
    <row r="747" hidden="1" customHeight="1" spans="1:12">
      <c r="A747" s="17" t="s">
        <v>302</v>
      </c>
      <c r="B747" s="24" t="s">
        <v>739</v>
      </c>
      <c r="C747" s="17" t="s">
        <v>643</v>
      </c>
      <c r="D747" s="17">
        <v>115.14</v>
      </c>
      <c r="E747" s="17">
        <v>2908</v>
      </c>
      <c r="F747" s="25">
        <f t="shared" si="66"/>
        <v>334827.12</v>
      </c>
      <c r="G747" s="193">
        <v>334827.12</v>
      </c>
      <c r="H747" s="18">
        <f t="shared" si="67"/>
        <v>0</v>
      </c>
      <c r="I747" s="20">
        <v>46197</v>
      </c>
      <c r="J747" s="17" t="s">
        <v>21</v>
      </c>
      <c r="K747" s="17"/>
      <c r="L747" s="17"/>
    </row>
    <row r="748" customHeight="1" spans="1:12">
      <c r="A748" s="17" t="s">
        <v>18</v>
      </c>
      <c r="B748" s="24" t="s">
        <v>763</v>
      </c>
      <c r="C748" s="24" t="s">
        <v>764</v>
      </c>
      <c r="D748" s="28">
        <v>39.329</v>
      </c>
      <c r="E748" s="17">
        <v>6250</v>
      </c>
      <c r="F748" s="25">
        <f t="shared" si="66"/>
        <v>245806.25</v>
      </c>
      <c r="G748" s="193">
        <v>237500</v>
      </c>
      <c r="H748" s="18">
        <f t="shared" si="67"/>
        <v>8306.25</v>
      </c>
      <c r="I748" s="20">
        <v>46262</v>
      </c>
      <c r="J748" s="17"/>
      <c r="K748" s="17" t="s">
        <v>223</v>
      </c>
      <c r="L748" s="185" t="s">
        <v>765</v>
      </c>
    </row>
    <row r="749" customHeight="1" spans="1:12">
      <c r="A749" s="17" t="s">
        <v>18</v>
      </c>
      <c r="B749" s="24" t="s">
        <v>763</v>
      </c>
      <c r="C749" s="24" t="s">
        <v>766</v>
      </c>
      <c r="D749" s="28">
        <v>17.006</v>
      </c>
      <c r="E749" s="17">
        <v>6250</v>
      </c>
      <c r="F749" s="25">
        <f t="shared" si="66"/>
        <v>106287.5</v>
      </c>
      <c r="G749" s="193">
        <f>99925-24667.65</f>
        <v>75257.35</v>
      </c>
      <c r="H749" s="18">
        <f t="shared" si="67"/>
        <v>31030.15</v>
      </c>
      <c r="I749" s="20">
        <v>46262</v>
      </c>
      <c r="J749" s="17"/>
      <c r="K749" s="17" t="s">
        <v>223</v>
      </c>
      <c r="L749" s="185" t="s">
        <v>765</v>
      </c>
    </row>
    <row r="750" customHeight="1" spans="1:12">
      <c r="A750" s="17" t="s">
        <v>18</v>
      </c>
      <c r="B750" s="24" t="s">
        <v>767</v>
      </c>
      <c r="C750" s="24" t="s">
        <v>766</v>
      </c>
      <c r="D750" s="28">
        <v>34.012</v>
      </c>
      <c r="E750" s="17">
        <v>6250</v>
      </c>
      <c r="F750" s="25">
        <f t="shared" si="66"/>
        <v>212575</v>
      </c>
      <c r="G750" s="193">
        <f>312500-99925</f>
        <v>212575</v>
      </c>
      <c r="H750" s="18">
        <f t="shared" si="67"/>
        <v>0</v>
      </c>
      <c r="I750" s="20">
        <v>46262</v>
      </c>
      <c r="J750" s="17" t="s">
        <v>21</v>
      </c>
      <c r="K750" s="17" t="s">
        <v>223</v>
      </c>
      <c r="L750" s="17"/>
    </row>
    <row r="751" customHeight="1" spans="1:12">
      <c r="A751" s="17" t="s">
        <v>18</v>
      </c>
      <c r="B751" s="24" t="s">
        <v>763</v>
      </c>
      <c r="C751" s="24" t="s">
        <v>768</v>
      </c>
      <c r="D751" s="28">
        <v>7.63</v>
      </c>
      <c r="E751" s="17">
        <v>6250</v>
      </c>
      <c r="F751" s="25">
        <f t="shared" si="66"/>
        <v>47687.5</v>
      </c>
      <c r="G751" s="193">
        <f>131234.88-83547.38</f>
        <v>47687.5</v>
      </c>
      <c r="H751" s="18">
        <f t="shared" si="67"/>
        <v>0</v>
      </c>
      <c r="I751" s="20">
        <v>46262</v>
      </c>
      <c r="J751" s="17"/>
      <c r="K751" s="17" t="s">
        <v>223</v>
      </c>
      <c r="L751" s="185" t="s">
        <v>765</v>
      </c>
    </row>
    <row r="752" customHeight="1" spans="1:12">
      <c r="A752" s="17" t="s">
        <v>18</v>
      </c>
      <c r="B752" s="24" t="s">
        <v>769</v>
      </c>
      <c r="C752" s="24" t="s">
        <v>768</v>
      </c>
      <c r="D752" s="28">
        <f>36-7.63</f>
        <v>28.37</v>
      </c>
      <c r="E752" s="17">
        <v>6250</v>
      </c>
      <c r="F752" s="25">
        <f t="shared" si="66"/>
        <v>177312.5</v>
      </c>
      <c r="G752" s="193">
        <v>83547.38</v>
      </c>
      <c r="H752" s="18">
        <f t="shared" si="67"/>
        <v>93765.12</v>
      </c>
      <c r="I752" s="20">
        <v>46262</v>
      </c>
      <c r="J752" s="17"/>
      <c r="K752" s="17" t="s">
        <v>223</v>
      </c>
      <c r="L752" s="17"/>
    </row>
    <row r="753" customHeight="1" spans="1:12">
      <c r="A753" s="17" t="s">
        <v>18</v>
      </c>
      <c r="B753" s="24" t="s">
        <v>767</v>
      </c>
      <c r="C753" s="24" t="s">
        <v>770</v>
      </c>
      <c r="D753" s="28">
        <v>4.011</v>
      </c>
      <c r="E753" s="17">
        <v>6150</v>
      </c>
      <c r="F753" s="25">
        <f t="shared" si="66"/>
        <v>24667.65</v>
      </c>
      <c r="G753" s="193">
        <v>24667.65</v>
      </c>
      <c r="H753" s="18">
        <f t="shared" si="67"/>
        <v>0</v>
      </c>
      <c r="I753" s="20">
        <v>46262</v>
      </c>
      <c r="J753" s="17" t="s">
        <v>21</v>
      </c>
      <c r="K753" s="17" t="s">
        <v>223</v>
      </c>
      <c r="L753" s="17"/>
    </row>
    <row r="754" customHeight="1" spans="1:12">
      <c r="A754" s="17" t="s">
        <v>18</v>
      </c>
      <c r="B754" s="24" t="s">
        <v>771</v>
      </c>
      <c r="C754" s="24" t="s">
        <v>684</v>
      </c>
      <c r="D754" s="17">
        <v>1160000</v>
      </c>
      <c r="E754" s="17">
        <v>0.2329</v>
      </c>
      <c r="F754" s="25">
        <f t="shared" si="66"/>
        <v>270164</v>
      </c>
      <c r="G754" s="18">
        <v>270164</v>
      </c>
      <c r="H754" s="18">
        <f t="shared" si="67"/>
        <v>0</v>
      </c>
      <c r="I754" s="20">
        <v>46232</v>
      </c>
      <c r="J754" s="17"/>
      <c r="K754" s="17" t="s">
        <v>223</v>
      </c>
      <c r="L754" s="17"/>
    </row>
    <row r="755" customHeight="1" spans="1:12">
      <c r="A755" s="17" t="s">
        <v>18</v>
      </c>
      <c r="B755" s="24" t="s">
        <v>772</v>
      </c>
      <c r="C755" s="24" t="s">
        <v>742</v>
      </c>
      <c r="D755" s="28">
        <v>27.685</v>
      </c>
      <c r="E755" s="17">
        <v>6180</v>
      </c>
      <c r="F755" s="25">
        <f t="shared" si="66"/>
        <v>171093.3</v>
      </c>
      <c r="G755" s="18">
        <f>166860+4233.3</f>
        <v>171093.3</v>
      </c>
      <c r="H755" s="18">
        <f t="shared" si="67"/>
        <v>0</v>
      </c>
      <c r="I755" s="20">
        <v>46254</v>
      </c>
      <c r="J755" s="17" t="s">
        <v>21</v>
      </c>
      <c r="K755" s="17" t="s">
        <v>696</v>
      </c>
      <c r="L755" s="17"/>
    </row>
    <row r="756" customHeight="1" spans="1:12">
      <c r="A756" s="17" t="s">
        <v>18</v>
      </c>
      <c r="B756" s="24" t="s">
        <v>773</v>
      </c>
      <c r="C756" s="24" t="s">
        <v>698</v>
      </c>
      <c r="D756" s="173">
        <v>5.686</v>
      </c>
      <c r="E756" s="17">
        <v>6180</v>
      </c>
      <c r="F756" s="25">
        <f t="shared" si="66"/>
        <v>35139.48</v>
      </c>
      <c r="G756" s="18">
        <v>0</v>
      </c>
      <c r="H756" s="18">
        <f t="shared" si="67"/>
        <v>35139.48</v>
      </c>
      <c r="I756" s="20">
        <v>46254</v>
      </c>
      <c r="J756" s="17" t="s">
        <v>21</v>
      </c>
      <c r="K756" s="17" t="s">
        <v>696</v>
      </c>
      <c r="L756" s="17"/>
    </row>
    <row r="757" customHeight="1" spans="1:12">
      <c r="A757" s="17" t="s">
        <v>18</v>
      </c>
      <c r="B757" s="24" t="s">
        <v>774</v>
      </c>
      <c r="C757" s="24" t="s">
        <v>698</v>
      </c>
      <c r="D757" s="173">
        <v>27.414</v>
      </c>
      <c r="E757" s="17">
        <v>6180</v>
      </c>
      <c r="F757" s="25">
        <f t="shared" si="66"/>
        <v>169418.52</v>
      </c>
      <c r="G757" s="18">
        <f>166860-4233.3-28749.84-24077.28-27059.76+86678.7</f>
        <v>169418.52</v>
      </c>
      <c r="H757" s="18">
        <f t="shared" si="67"/>
        <v>0</v>
      </c>
      <c r="I757" s="20">
        <v>46254</v>
      </c>
      <c r="J757" s="17" t="s">
        <v>21</v>
      </c>
      <c r="K757" s="17" t="s">
        <v>696</v>
      </c>
      <c r="L757" s="17"/>
    </row>
    <row r="758" customHeight="1" spans="1:12">
      <c r="A758" s="17" t="s">
        <v>18</v>
      </c>
      <c r="B758" s="24" t="s">
        <v>775</v>
      </c>
      <c r="C758" s="24" t="s">
        <v>695</v>
      </c>
      <c r="D758" s="28">
        <v>34.546</v>
      </c>
      <c r="E758" s="17">
        <v>6280</v>
      </c>
      <c r="F758" s="25">
        <f t="shared" si="66"/>
        <v>216948.88</v>
      </c>
      <c r="G758" s="18">
        <f>339120-122171.12</f>
        <v>216948.88</v>
      </c>
      <c r="H758" s="18">
        <f t="shared" si="67"/>
        <v>0</v>
      </c>
      <c r="I758" s="20">
        <v>46254</v>
      </c>
      <c r="J758" s="17" t="s">
        <v>21</v>
      </c>
      <c r="K758" s="17" t="s">
        <v>696</v>
      </c>
      <c r="L758" s="17"/>
    </row>
    <row r="759" customHeight="1" spans="1:12">
      <c r="A759" s="17" t="s">
        <v>18</v>
      </c>
      <c r="B759" s="24" t="s">
        <v>772</v>
      </c>
      <c r="C759" s="24" t="s">
        <v>695</v>
      </c>
      <c r="D759" s="28">
        <v>24.032</v>
      </c>
      <c r="E759" s="17">
        <v>6280</v>
      </c>
      <c r="F759" s="25">
        <f t="shared" si="66"/>
        <v>150920.96</v>
      </c>
      <c r="G759" s="18">
        <f>122171.12+28749.84</f>
        <v>150920.96</v>
      </c>
      <c r="H759" s="18">
        <f t="shared" si="67"/>
        <v>0</v>
      </c>
      <c r="I759" s="20">
        <v>46254</v>
      </c>
      <c r="J759" s="17" t="s">
        <v>21</v>
      </c>
      <c r="K759" s="17" t="s">
        <v>696</v>
      </c>
      <c r="L759" s="17"/>
    </row>
    <row r="760" customHeight="1" spans="1:12">
      <c r="A760" s="17" t="s">
        <v>18</v>
      </c>
      <c r="B760" s="24" t="s">
        <v>776</v>
      </c>
      <c r="C760" s="24" t="s">
        <v>777</v>
      </c>
      <c r="D760" s="28">
        <v>27</v>
      </c>
      <c r="E760" s="17">
        <v>6180</v>
      </c>
      <c r="F760" s="25">
        <f t="shared" si="66"/>
        <v>166860</v>
      </c>
      <c r="G760" s="18">
        <v>0</v>
      </c>
      <c r="H760" s="18">
        <f t="shared" si="67"/>
        <v>166860</v>
      </c>
      <c r="I760" s="20">
        <v>46254</v>
      </c>
      <c r="J760" s="17"/>
      <c r="K760" s="17" t="s">
        <v>696</v>
      </c>
      <c r="L760" s="17"/>
    </row>
    <row r="761" customHeight="1" spans="1:12">
      <c r="A761" s="17" t="s">
        <v>18</v>
      </c>
      <c r="B761" s="24" t="s">
        <v>778</v>
      </c>
      <c r="C761" s="24" t="s">
        <v>699</v>
      </c>
      <c r="D761" s="28">
        <v>84.896</v>
      </c>
      <c r="E761" s="17">
        <v>6180</v>
      </c>
      <c r="F761" s="25">
        <f t="shared" si="66"/>
        <v>524657.28</v>
      </c>
      <c r="G761" s="18">
        <f>500580+24077.28</f>
        <v>524657.28</v>
      </c>
      <c r="H761" s="18">
        <f t="shared" si="67"/>
        <v>0</v>
      </c>
      <c r="I761" s="20">
        <v>46254</v>
      </c>
      <c r="J761" s="17" t="s">
        <v>21</v>
      </c>
      <c r="K761" s="17" t="s">
        <v>696</v>
      </c>
      <c r="L761" s="17"/>
    </row>
    <row r="762" customHeight="1" spans="1:12">
      <c r="A762" s="17" t="s">
        <v>18</v>
      </c>
      <c r="B762" s="24" t="s">
        <v>774</v>
      </c>
      <c r="C762" s="24" t="s">
        <v>700</v>
      </c>
      <c r="D762" s="28">
        <v>27.335</v>
      </c>
      <c r="E762" s="17">
        <v>6180</v>
      </c>
      <c r="F762" s="25">
        <f t="shared" si="66"/>
        <v>168930.3</v>
      </c>
      <c r="G762" s="18">
        <f>166860+2224.79999999999-154.499999999971</f>
        <v>168930.3</v>
      </c>
      <c r="H762" s="18">
        <f t="shared" si="67"/>
        <v>0</v>
      </c>
      <c r="I762" s="20">
        <v>46254</v>
      </c>
      <c r="J762" s="17" t="s">
        <v>21</v>
      </c>
      <c r="K762" s="17" t="s">
        <v>696</v>
      </c>
      <c r="L762" s="17"/>
    </row>
    <row r="763" customHeight="1" spans="1:12">
      <c r="A763" s="17" t="s">
        <v>18</v>
      </c>
      <c r="B763" s="24" t="s">
        <v>773</v>
      </c>
      <c r="C763" s="24" t="s">
        <v>700</v>
      </c>
      <c r="D763" s="28">
        <v>4.021</v>
      </c>
      <c r="E763" s="17">
        <v>6180</v>
      </c>
      <c r="F763" s="25">
        <f t="shared" si="66"/>
        <v>24849.78</v>
      </c>
      <c r="G763" s="18">
        <v>0</v>
      </c>
      <c r="H763" s="18">
        <f t="shared" si="67"/>
        <v>24849.78</v>
      </c>
      <c r="I763" s="20">
        <v>46254</v>
      </c>
      <c r="J763" s="17" t="s">
        <v>21</v>
      </c>
      <c r="K763" s="17" t="s">
        <v>696</v>
      </c>
      <c r="L763" s="17"/>
    </row>
    <row r="764" customHeight="1" spans="1:12">
      <c r="A764" s="17" t="s">
        <v>18</v>
      </c>
      <c r="B764" s="24" t="s">
        <v>776</v>
      </c>
      <c r="C764" s="24" t="s">
        <v>779</v>
      </c>
      <c r="D764" s="190">
        <f>54-21.812</f>
        <v>32.188</v>
      </c>
      <c r="E764" s="17">
        <v>6380</v>
      </c>
      <c r="F764" s="25">
        <f t="shared" si="66"/>
        <v>205359.44</v>
      </c>
      <c r="G764" s="18">
        <v>0</v>
      </c>
      <c r="H764" s="18">
        <f t="shared" si="67"/>
        <v>205359.44</v>
      </c>
      <c r="I764" s="20">
        <v>46254</v>
      </c>
      <c r="J764" s="17"/>
      <c r="K764" s="17" t="s">
        <v>696</v>
      </c>
      <c r="L764" s="17"/>
    </row>
    <row r="765" customHeight="1" spans="1:12">
      <c r="A765" s="17" t="s">
        <v>18</v>
      </c>
      <c r="B765" s="24" t="s">
        <v>773</v>
      </c>
      <c r="C765" s="24" t="s">
        <v>779</v>
      </c>
      <c r="D765" s="190">
        <v>21.812</v>
      </c>
      <c r="E765" s="17">
        <v>6380</v>
      </c>
      <c r="F765" s="25">
        <f t="shared" si="66"/>
        <v>139160.56</v>
      </c>
      <c r="G765" s="18">
        <v>0</v>
      </c>
      <c r="H765" s="18">
        <f t="shared" si="67"/>
        <v>139160.56</v>
      </c>
      <c r="I765" s="20">
        <v>46254</v>
      </c>
      <c r="J765" s="17" t="s">
        <v>21</v>
      </c>
      <c r="K765" s="17" t="s">
        <v>696</v>
      </c>
      <c r="L765" s="17"/>
    </row>
    <row r="766" customHeight="1" spans="1:12">
      <c r="A766" s="17" t="s">
        <v>18</v>
      </c>
      <c r="B766" s="24" t="s">
        <v>773</v>
      </c>
      <c r="C766" s="24" t="s">
        <v>780</v>
      </c>
      <c r="D766" s="28">
        <v>31.386</v>
      </c>
      <c r="E766" s="17">
        <v>5990</v>
      </c>
      <c r="F766" s="25">
        <f t="shared" si="66"/>
        <v>188002.14</v>
      </c>
      <c r="G766" s="18">
        <v>0</v>
      </c>
      <c r="H766" s="18">
        <f t="shared" si="67"/>
        <v>188002.14</v>
      </c>
      <c r="I766" s="20">
        <v>46254</v>
      </c>
      <c r="J766" s="17" t="s">
        <v>21</v>
      </c>
      <c r="K766" s="17" t="s">
        <v>696</v>
      </c>
      <c r="L766" s="17"/>
    </row>
    <row r="767" customHeight="1" spans="1:12">
      <c r="A767" s="17" t="s">
        <v>18</v>
      </c>
      <c r="B767" s="24" t="s">
        <v>778</v>
      </c>
      <c r="C767" s="24" t="s">
        <v>701</v>
      </c>
      <c r="D767" s="28">
        <v>4.602</v>
      </c>
      <c r="E767" s="17">
        <v>5880</v>
      </c>
      <c r="F767" s="25">
        <f t="shared" si="66"/>
        <v>27059.76</v>
      </c>
      <c r="G767" s="18">
        <v>27059.76</v>
      </c>
      <c r="H767" s="18">
        <f t="shared" si="67"/>
        <v>0</v>
      </c>
      <c r="I767" s="20">
        <v>46254</v>
      </c>
      <c r="J767" s="17" t="s">
        <v>21</v>
      </c>
      <c r="K767" s="17" t="s">
        <v>696</v>
      </c>
      <c r="L767" s="17"/>
    </row>
    <row r="768" customHeight="1" spans="1:12">
      <c r="A768" s="17" t="s">
        <v>18</v>
      </c>
      <c r="B768" s="24" t="s">
        <v>774</v>
      </c>
      <c r="C768" s="24" t="s">
        <v>701</v>
      </c>
      <c r="D768" s="28">
        <v>55.224</v>
      </c>
      <c r="E768" s="17">
        <v>5880</v>
      </c>
      <c r="F768" s="25">
        <f t="shared" si="66"/>
        <v>324717.12</v>
      </c>
      <c r="G768" s="18">
        <f>229173.24+154.499999999971+95389.38</f>
        <v>324717.12</v>
      </c>
      <c r="H768" s="18">
        <f t="shared" si="67"/>
        <v>0</v>
      </c>
      <c r="I768" s="20">
        <v>46254</v>
      </c>
      <c r="J768" s="17" t="s">
        <v>21</v>
      </c>
      <c r="K768" s="17" t="s">
        <v>696</v>
      </c>
      <c r="L768" s="17"/>
    </row>
    <row r="769" customHeight="1" spans="1:12">
      <c r="A769" s="17" t="s">
        <v>18</v>
      </c>
      <c r="B769" s="24" t="s">
        <v>773</v>
      </c>
      <c r="C769" s="24" t="s">
        <v>701</v>
      </c>
      <c r="D769" s="173">
        <v>74.229</v>
      </c>
      <c r="E769" s="17">
        <v>5880</v>
      </c>
      <c r="F769" s="25">
        <f t="shared" si="66"/>
        <v>436466.52</v>
      </c>
      <c r="G769" s="18">
        <v>0</v>
      </c>
      <c r="H769" s="18">
        <f t="shared" si="67"/>
        <v>436466.52</v>
      </c>
      <c r="I769" s="20">
        <v>46254</v>
      </c>
      <c r="J769" s="17"/>
      <c r="K769" s="17" t="s">
        <v>696</v>
      </c>
      <c r="L769" s="17"/>
    </row>
    <row r="770" customHeight="1" spans="1:12">
      <c r="A770" s="17" t="s">
        <v>18</v>
      </c>
      <c r="B770" s="24" t="s">
        <v>781</v>
      </c>
      <c r="C770" s="24" t="s">
        <v>681</v>
      </c>
      <c r="D770" s="35">
        <v>696000</v>
      </c>
      <c r="E770" s="157">
        <v>0.224</v>
      </c>
      <c r="F770" s="25">
        <f t="shared" si="66"/>
        <v>155904</v>
      </c>
      <c r="G770" s="18">
        <v>155904</v>
      </c>
      <c r="H770" s="18">
        <f t="shared" si="67"/>
        <v>0</v>
      </c>
      <c r="I770" s="20">
        <v>46213</v>
      </c>
      <c r="J770" s="17" t="s">
        <v>21</v>
      </c>
      <c r="K770" s="17" t="s">
        <v>223</v>
      </c>
      <c r="L770" s="17"/>
    </row>
    <row r="771" customHeight="1" spans="1:12">
      <c r="A771" s="17" t="s">
        <v>18</v>
      </c>
      <c r="B771" s="24" t="s">
        <v>781</v>
      </c>
      <c r="C771" s="24" t="s">
        <v>682</v>
      </c>
      <c r="D771" s="35">
        <v>601920</v>
      </c>
      <c r="E771" s="157">
        <v>0.1695</v>
      </c>
      <c r="F771" s="25">
        <f t="shared" si="66"/>
        <v>102025.44</v>
      </c>
      <c r="G771" s="18">
        <v>102025.44</v>
      </c>
      <c r="H771" s="18">
        <f t="shared" si="67"/>
        <v>0</v>
      </c>
      <c r="I771" s="20">
        <v>46213</v>
      </c>
      <c r="J771" s="17" t="s">
        <v>21</v>
      </c>
      <c r="K771" s="17" t="s">
        <v>223</v>
      </c>
      <c r="L771" s="17"/>
    </row>
    <row r="772" customHeight="1" spans="1:12">
      <c r="A772" s="17" t="s">
        <v>18</v>
      </c>
      <c r="B772" s="24" t="s">
        <v>782</v>
      </c>
      <c r="C772" s="24" t="s">
        <v>752</v>
      </c>
      <c r="D772" s="35">
        <v>1561200</v>
      </c>
      <c r="E772" s="157">
        <v>0.1162</v>
      </c>
      <c r="F772" s="25">
        <f t="shared" si="66"/>
        <v>181411.44</v>
      </c>
      <c r="G772" s="18">
        <f>39768.18+141643.26</f>
        <v>181411.44</v>
      </c>
      <c r="H772" s="18">
        <f t="shared" si="67"/>
        <v>0</v>
      </c>
      <c r="I772" s="20">
        <v>46237</v>
      </c>
      <c r="J772" s="17" t="s">
        <v>21</v>
      </c>
      <c r="K772" s="17" t="s">
        <v>223</v>
      </c>
      <c r="L772" s="17"/>
    </row>
    <row r="773" customHeight="1" spans="1:12">
      <c r="A773" s="17" t="s">
        <v>18</v>
      </c>
      <c r="B773" s="24" t="s">
        <v>783</v>
      </c>
      <c r="C773" s="17" t="s">
        <v>784</v>
      </c>
      <c r="D773" s="17">
        <v>1102000</v>
      </c>
      <c r="E773" s="17">
        <v>0.2329</v>
      </c>
      <c r="F773" s="25">
        <f t="shared" si="66"/>
        <v>256655.8</v>
      </c>
      <c r="G773" s="18">
        <f>270164-13508.2</f>
        <v>256655.8</v>
      </c>
      <c r="H773" s="18">
        <f t="shared" si="67"/>
        <v>0</v>
      </c>
      <c r="I773" s="20">
        <v>46249</v>
      </c>
      <c r="J773" s="17" t="s">
        <v>21</v>
      </c>
      <c r="K773" s="17" t="s">
        <v>223</v>
      </c>
      <c r="L773" s="17"/>
    </row>
    <row r="774" customHeight="1" spans="1:12">
      <c r="A774" s="17" t="s">
        <v>18</v>
      </c>
      <c r="B774" s="24" t="s">
        <v>785</v>
      </c>
      <c r="C774" s="24" t="s">
        <v>314</v>
      </c>
      <c r="D774" s="17">
        <v>15</v>
      </c>
      <c r="E774" s="17">
        <v>5520</v>
      </c>
      <c r="F774" s="25">
        <f t="shared" si="66"/>
        <v>82800</v>
      </c>
      <c r="G774" s="18">
        <v>0</v>
      </c>
      <c r="H774" s="18">
        <f t="shared" si="67"/>
        <v>82800</v>
      </c>
      <c r="I774" s="20">
        <v>46268</v>
      </c>
      <c r="J774" s="17"/>
      <c r="K774" s="17" t="s">
        <v>696</v>
      </c>
      <c r="L774" s="17"/>
    </row>
    <row r="775" customHeight="1" spans="1:12">
      <c r="A775" s="17" t="s">
        <v>18</v>
      </c>
      <c r="B775" s="24" t="s">
        <v>785</v>
      </c>
      <c r="C775" s="24" t="s">
        <v>316</v>
      </c>
      <c r="D775" s="17">
        <v>10</v>
      </c>
      <c r="E775" s="17">
        <v>5520</v>
      </c>
      <c r="F775" s="25">
        <f t="shared" si="66"/>
        <v>55200</v>
      </c>
      <c r="G775" s="18">
        <v>0</v>
      </c>
      <c r="H775" s="18">
        <f t="shared" si="67"/>
        <v>55200</v>
      </c>
      <c r="I775" s="20">
        <v>46268</v>
      </c>
      <c r="J775" s="17"/>
      <c r="K775" s="17" t="s">
        <v>696</v>
      </c>
      <c r="L775" s="17"/>
    </row>
    <row r="776" customHeight="1" spans="1:12">
      <c r="A776" s="17" t="s">
        <v>18</v>
      </c>
      <c r="B776" s="24" t="s">
        <v>786</v>
      </c>
      <c r="C776" s="24" t="s">
        <v>649</v>
      </c>
      <c r="D776" s="17">
        <v>5220000</v>
      </c>
      <c r="E776" s="29">
        <v>0.2803</v>
      </c>
      <c r="F776" s="25">
        <f t="shared" si="66"/>
        <v>1463166</v>
      </c>
      <c r="G776" s="18">
        <v>217665.9</v>
      </c>
      <c r="H776" s="18">
        <f t="shared" si="67"/>
        <v>1245500.1</v>
      </c>
      <c r="I776" s="20">
        <v>46241</v>
      </c>
      <c r="J776" s="17"/>
      <c r="K776" s="17" t="s">
        <v>650</v>
      </c>
      <c r="L776" s="17"/>
    </row>
    <row r="777" customHeight="1" spans="1:12">
      <c r="A777" s="17" t="s">
        <v>18</v>
      </c>
      <c r="B777" s="24" t="s">
        <v>786</v>
      </c>
      <c r="C777" s="24" t="s">
        <v>651</v>
      </c>
      <c r="D777" s="17">
        <v>4640000</v>
      </c>
      <c r="E777" s="29">
        <v>0.144</v>
      </c>
      <c r="F777" s="25">
        <f t="shared" si="66"/>
        <v>668160</v>
      </c>
      <c r="G777" s="18">
        <v>0</v>
      </c>
      <c r="H777" s="18">
        <f t="shared" si="67"/>
        <v>668160</v>
      </c>
      <c r="I777" s="20">
        <v>46241</v>
      </c>
      <c r="J777" s="17"/>
      <c r="K777" s="17" t="s">
        <v>650</v>
      </c>
      <c r="L777" s="17"/>
    </row>
    <row r="778" hidden="1" customHeight="1" spans="1:12">
      <c r="A778" s="17" t="s">
        <v>164</v>
      </c>
      <c r="B778" s="24" t="s">
        <v>787</v>
      </c>
      <c r="C778" s="24" t="s">
        <v>788</v>
      </c>
      <c r="D778" s="24">
        <v>1140120</v>
      </c>
      <c r="E778" s="166">
        <v>0.26195</v>
      </c>
      <c r="F778" s="25">
        <f t="shared" si="66"/>
        <v>298654.434</v>
      </c>
      <c r="G778" s="18">
        <v>298654.434</v>
      </c>
      <c r="H778" s="18">
        <f t="shared" si="67"/>
        <v>0</v>
      </c>
      <c r="I778" s="20">
        <v>46249</v>
      </c>
      <c r="J778" s="17" t="s">
        <v>21</v>
      </c>
      <c r="K778" s="17" t="s">
        <v>223</v>
      </c>
      <c r="L778" s="17"/>
    </row>
    <row r="779" customHeight="1" spans="1:12">
      <c r="A779" s="17" t="s">
        <v>18</v>
      </c>
      <c r="B779" s="24" t="s">
        <v>789</v>
      </c>
      <c r="C779" s="24" t="s">
        <v>250</v>
      </c>
      <c r="D779" s="81">
        <f>200-105.768-22.035</f>
        <v>72.197</v>
      </c>
      <c r="E779" s="17">
        <v>6150</v>
      </c>
      <c r="F779" s="25">
        <f t="shared" si="66"/>
        <v>444011.55</v>
      </c>
      <c r="G779" s="18">
        <v>0</v>
      </c>
      <c r="H779" s="18">
        <f t="shared" si="67"/>
        <v>444011.55</v>
      </c>
      <c r="I779" s="20">
        <v>46280</v>
      </c>
      <c r="J779" s="17"/>
      <c r="K779" s="17" t="s">
        <v>696</v>
      </c>
      <c r="L779" s="17"/>
    </row>
    <row r="780" customHeight="1" spans="1:12">
      <c r="A780" s="17" t="s">
        <v>18</v>
      </c>
      <c r="B780" s="24" t="s">
        <v>789</v>
      </c>
      <c r="C780" s="24" t="s">
        <v>250</v>
      </c>
      <c r="D780" s="81">
        <v>105.768</v>
      </c>
      <c r="E780" s="17">
        <v>6150</v>
      </c>
      <c r="F780" s="25">
        <f t="shared" si="66"/>
        <v>650473.2</v>
      </c>
      <c r="G780" s="18">
        <f>252855.49+1965.60000000003</f>
        <v>254821.09</v>
      </c>
      <c r="H780" s="18">
        <f t="shared" si="67"/>
        <v>395652.11</v>
      </c>
      <c r="I780" s="20">
        <v>46280</v>
      </c>
      <c r="J780" s="17" t="s">
        <v>560</v>
      </c>
      <c r="K780" s="17" t="s">
        <v>696</v>
      </c>
      <c r="L780" s="17"/>
    </row>
    <row r="781" customHeight="1" spans="1:12">
      <c r="A781" s="17" t="s">
        <v>18</v>
      </c>
      <c r="B781" s="24" t="s">
        <v>790</v>
      </c>
      <c r="C781" s="24" t="s">
        <v>250</v>
      </c>
      <c r="D781" s="81">
        <v>22.035</v>
      </c>
      <c r="E781" s="17">
        <v>6150</v>
      </c>
      <c r="F781" s="25">
        <f t="shared" si="66"/>
        <v>135515.25</v>
      </c>
      <c r="G781" s="18">
        <v>135515.25</v>
      </c>
      <c r="H781" s="18">
        <f t="shared" si="67"/>
        <v>0</v>
      </c>
      <c r="I781" s="20">
        <v>46280</v>
      </c>
      <c r="J781" s="17" t="s">
        <v>21</v>
      </c>
      <c r="K781" s="17" t="s">
        <v>696</v>
      </c>
      <c r="L781" s="17"/>
    </row>
    <row r="782" customHeight="1" spans="1:12">
      <c r="A782" s="17" t="s">
        <v>18</v>
      </c>
      <c r="B782" s="24" t="s">
        <v>790</v>
      </c>
      <c r="C782" s="24" t="s">
        <v>251</v>
      </c>
      <c r="D782" s="81">
        <v>57.056</v>
      </c>
      <c r="E782" s="17">
        <v>6150</v>
      </c>
      <c r="F782" s="25">
        <f t="shared" si="66"/>
        <v>350894.4</v>
      </c>
      <c r="G782" s="18">
        <v>350894.4</v>
      </c>
      <c r="H782" s="18">
        <f t="shared" si="67"/>
        <v>0</v>
      </c>
      <c r="I782" s="20">
        <v>46280</v>
      </c>
      <c r="J782" s="17" t="s">
        <v>21</v>
      </c>
      <c r="K782" s="17" t="s">
        <v>696</v>
      </c>
      <c r="L782" s="17"/>
    </row>
    <row r="783" customHeight="1" spans="1:12">
      <c r="A783" s="17" t="s">
        <v>18</v>
      </c>
      <c r="B783" s="24" t="s">
        <v>790</v>
      </c>
      <c r="C783" s="24" t="s">
        <v>517</v>
      </c>
      <c r="D783" s="81">
        <v>54.664</v>
      </c>
      <c r="E783" s="17">
        <v>6240</v>
      </c>
      <c r="F783" s="25">
        <f t="shared" si="66"/>
        <v>341103.36</v>
      </c>
      <c r="G783" s="18">
        <f>343068.96-1965.60000000003</f>
        <v>341103.36</v>
      </c>
      <c r="H783" s="18">
        <f t="shared" si="67"/>
        <v>0</v>
      </c>
      <c r="I783" s="20">
        <v>46280</v>
      </c>
      <c r="J783" s="17" t="s">
        <v>21</v>
      </c>
      <c r="K783" s="17" t="s">
        <v>696</v>
      </c>
      <c r="L783" s="17"/>
    </row>
    <row r="784" customHeight="1" spans="1:12">
      <c r="A784" s="17" t="s">
        <v>18</v>
      </c>
      <c r="B784" s="24" t="s">
        <v>791</v>
      </c>
      <c r="C784" s="24" t="s">
        <v>292</v>
      </c>
      <c r="D784" s="35">
        <v>2097600</v>
      </c>
      <c r="E784" s="17">
        <v>0.23</v>
      </c>
      <c r="F784" s="25">
        <f t="shared" si="66"/>
        <v>482448</v>
      </c>
      <c r="G784" s="18">
        <v>371464.73</v>
      </c>
      <c r="H784" s="18">
        <f t="shared" si="67"/>
        <v>110983.27</v>
      </c>
      <c r="I784" s="20">
        <v>46264</v>
      </c>
      <c r="J784" s="17"/>
      <c r="K784" s="17" t="s">
        <v>542</v>
      </c>
      <c r="L784" s="17"/>
    </row>
    <row r="785" customHeight="1" spans="1:12">
      <c r="A785" s="17" t="s">
        <v>18</v>
      </c>
      <c r="B785" s="24" t="s">
        <v>792</v>
      </c>
      <c r="C785" s="24" t="s">
        <v>250</v>
      </c>
      <c r="D785" s="17">
        <v>100</v>
      </c>
      <c r="E785" s="17">
        <v>6150</v>
      </c>
      <c r="F785" s="25">
        <f t="shared" si="66"/>
        <v>615000</v>
      </c>
      <c r="G785" s="18">
        <v>553500</v>
      </c>
      <c r="H785" s="18">
        <f t="shared" si="67"/>
        <v>61500</v>
      </c>
      <c r="I785" s="20">
        <v>46290</v>
      </c>
      <c r="J785" s="17"/>
      <c r="K785" s="17" t="s">
        <v>696</v>
      </c>
      <c r="L785" s="17"/>
    </row>
    <row r="786" customHeight="1" spans="1:12">
      <c r="A786" s="17" t="s">
        <v>18</v>
      </c>
      <c r="B786" s="24" t="s">
        <v>793</v>
      </c>
      <c r="C786" s="24" t="s">
        <v>612</v>
      </c>
      <c r="D786" s="28">
        <v>78.845</v>
      </c>
      <c r="E786" s="17">
        <v>6210</v>
      </c>
      <c r="F786" s="25">
        <f t="shared" si="66"/>
        <v>489627.45</v>
      </c>
      <c r="G786" s="18">
        <v>384461.1</v>
      </c>
      <c r="H786" s="18">
        <f t="shared" si="67"/>
        <v>105166.35</v>
      </c>
      <c r="I786" s="20">
        <v>46290</v>
      </c>
      <c r="J786" s="17" t="s">
        <v>21</v>
      </c>
      <c r="K786" s="17" t="s">
        <v>696</v>
      </c>
      <c r="L786" s="17"/>
    </row>
    <row r="787" customHeight="1" spans="1:12">
      <c r="A787" s="17" t="s">
        <v>18</v>
      </c>
      <c r="B787" s="24" t="s">
        <v>794</v>
      </c>
      <c r="C787" s="24" t="s">
        <v>612</v>
      </c>
      <c r="D787" s="28">
        <v>55.09</v>
      </c>
      <c r="E787" s="17">
        <v>6210</v>
      </c>
      <c r="F787" s="25">
        <f t="shared" si="66"/>
        <v>342108.9</v>
      </c>
      <c r="G787" s="18">
        <f>726570-384461.1</f>
        <v>342108.9</v>
      </c>
      <c r="H787" s="18">
        <f t="shared" si="67"/>
        <v>0</v>
      </c>
      <c r="I787" s="20">
        <v>46290</v>
      </c>
      <c r="J787" s="17" t="s">
        <v>21</v>
      </c>
      <c r="K787" s="17" t="s">
        <v>696</v>
      </c>
      <c r="L787" s="17"/>
    </row>
    <row r="788" hidden="1" customHeight="1" spans="1:12">
      <c r="A788" s="17" t="s">
        <v>164</v>
      </c>
      <c r="B788" s="24" t="s">
        <v>795</v>
      </c>
      <c r="C788" s="24" t="s">
        <v>796</v>
      </c>
      <c r="D788" s="17">
        <f t="shared" ref="D788:D791" si="68">1960400*3</f>
        <v>5881200</v>
      </c>
      <c r="E788" s="17">
        <v>0.126</v>
      </c>
      <c r="F788" s="25">
        <f t="shared" ref="F788:F800" si="69">D788*E788</f>
        <v>741031.2</v>
      </c>
      <c r="G788" s="18">
        <f>494020.8+263900-16889.6000000001</f>
        <v>741031.2</v>
      </c>
      <c r="H788" s="18">
        <f t="shared" si="67"/>
        <v>0</v>
      </c>
      <c r="I788" s="20">
        <v>46266</v>
      </c>
      <c r="J788" s="17" t="s">
        <v>21</v>
      </c>
      <c r="K788" s="17" t="s">
        <v>223</v>
      </c>
    </row>
    <row r="789" hidden="1" customHeight="1" spans="1:12">
      <c r="A789" s="17" t="s">
        <v>164</v>
      </c>
      <c r="B789" s="24" t="s">
        <v>797</v>
      </c>
      <c r="C789" s="24" t="s">
        <v>796</v>
      </c>
      <c r="D789" s="17">
        <f t="shared" si="68"/>
        <v>5881200</v>
      </c>
      <c r="E789" s="17">
        <v>0.123</v>
      </c>
      <c r="F789" s="25">
        <f t="shared" si="69"/>
        <v>723387.6</v>
      </c>
      <c r="G789" s="18">
        <v>0</v>
      </c>
      <c r="H789" s="18">
        <f t="shared" si="67"/>
        <v>723387.6</v>
      </c>
      <c r="I789" s="20">
        <v>46296</v>
      </c>
      <c r="J789" s="17"/>
      <c r="K789" s="17" t="s">
        <v>223</v>
      </c>
    </row>
    <row r="790" hidden="1" customHeight="1" spans="1:12">
      <c r="A790" s="17" t="s">
        <v>164</v>
      </c>
      <c r="B790" s="24" t="s">
        <v>798</v>
      </c>
      <c r="C790" s="24" t="s">
        <v>796</v>
      </c>
      <c r="D790" s="17">
        <f t="shared" si="68"/>
        <v>5881200</v>
      </c>
      <c r="E790" s="17">
        <v>0.123</v>
      </c>
      <c r="F790" s="25">
        <f t="shared" si="69"/>
        <v>723387.6</v>
      </c>
      <c r="G790" s="18">
        <v>0</v>
      </c>
      <c r="H790" s="18">
        <f t="shared" si="67"/>
        <v>723387.6</v>
      </c>
      <c r="I790" s="20">
        <v>46327</v>
      </c>
      <c r="J790" s="17"/>
      <c r="K790" s="17" t="s">
        <v>223</v>
      </c>
    </row>
    <row r="791" hidden="1" customHeight="1" spans="1:12">
      <c r="A791" s="17" t="s">
        <v>164</v>
      </c>
      <c r="B791" s="24" t="s">
        <v>799</v>
      </c>
      <c r="C791" s="24" t="s">
        <v>796</v>
      </c>
      <c r="D791" s="17">
        <f t="shared" si="68"/>
        <v>5881200</v>
      </c>
      <c r="E791" s="17">
        <v>0.123</v>
      </c>
      <c r="F791" s="25">
        <f t="shared" si="69"/>
        <v>723387.6</v>
      </c>
      <c r="G791" s="18">
        <v>0</v>
      </c>
      <c r="H791" s="18">
        <f t="shared" si="67"/>
        <v>723387.6</v>
      </c>
      <c r="I791" s="20">
        <v>46357</v>
      </c>
      <c r="J791" s="17"/>
      <c r="K791" s="17" t="s">
        <v>223</v>
      </c>
    </row>
    <row r="792" hidden="1" customHeight="1" spans="1:12">
      <c r="A792" s="17" t="s">
        <v>164</v>
      </c>
      <c r="B792" s="17" t="s">
        <v>800</v>
      </c>
      <c r="C792" s="17" t="s">
        <v>801</v>
      </c>
      <c r="D792" s="17">
        <v>1160000</v>
      </c>
      <c r="E792" s="17">
        <v>0.1575</v>
      </c>
      <c r="F792" s="25">
        <f t="shared" si="69"/>
        <v>182700</v>
      </c>
      <c r="G792" s="18">
        <f>179548.43+16889.6000000001-13738.0300000001</f>
        <v>182700</v>
      </c>
      <c r="H792" s="18">
        <f t="shared" si="67"/>
        <v>0</v>
      </c>
      <c r="I792" s="20">
        <v>46266</v>
      </c>
      <c r="J792" s="17" t="s">
        <v>21</v>
      </c>
      <c r="K792" s="17" t="s">
        <v>223</v>
      </c>
    </row>
    <row r="793" hidden="1" customHeight="1" spans="1:12">
      <c r="A793" s="17" t="s">
        <v>164</v>
      </c>
      <c r="B793" s="17" t="s">
        <v>802</v>
      </c>
      <c r="C793" s="17" t="s">
        <v>801</v>
      </c>
      <c r="D793" s="17">
        <v>1160000</v>
      </c>
      <c r="E793" s="17">
        <v>0.15244</v>
      </c>
      <c r="F793" s="25">
        <f t="shared" si="69"/>
        <v>176830.4</v>
      </c>
      <c r="G793" s="18">
        <v>179548.43</v>
      </c>
      <c r="H793" s="18">
        <f t="shared" si="67"/>
        <v>-2718.03</v>
      </c>
      <c r="I793" s="20">
        <v>46296</v>
      </c>
      <c r="J793" s="17"/>
      <c r="K793" s="17" t="s">
        <v>223</v>
      </c>
    </row>
    <row r="794" hidden="1" customHeight="1" spans="1:12">
      <c r="A794" s="17" t="s">
        <v>164</v>
      </c>
      <c r="B794" s="17" t="s">
        <v>803</v>
      </c>
      <c r="C794" s="17" t="s">
        <v>801</v>
      </c>
      <c r="D794" s="17">
        <v>1160000</v>
      </c>
      <c r="E794" s="17">
        <v>0.15244</v>
      </c>
      <c r="F794" s="25">
        <f t="shared" si="69"/>
        <v>176830.4</v>
      </c>
      <c r="G794" s="18">
        <v>0</v>
      </c>
      <c r="H794" s="18">
        <f t="shared" si="67"/>
        <v>176830.4</v>
      </c>
      <c r="I794" s="20">
        <v>46327</v>
      </c>
      <c r="J794" s="17"/>
      <c r="K794" s="17" t="s">
        <v>223</v>
      </c>
    </row>
    <row r="795" hidden="1" customHeight="1" spans="1:12">
      <c r="A795" s="17" t="s">
        <v>164</v>
      </c>
      <c r="B795" s="17" t="s">
        <v>804</v>
      </c>
      <c r="C795" s="17" t="s">
        <v>801</v>
      </c>
      <c r="D795" s="17">
        <v>1160000</v>
      </c>
      <c r="E795" s="17">
        <v>0.15244</v>
      </c>
      <c r="F795" s="25">
        <f t="shared" si="69"/>
        <v>176830.4</v>
      </c>
      <c r="G795" s="18">
        <v>0</v>
      </c>
      <c r="H795" s="18">
        <f t="shared" si="67"/>
        <v>176830.4</v>
      </c>
      <c r="I795" s="20">
        <v>46357</v>
      </c>
      <c r="J795" s="17"/>
      <c r="K795" s="17" t="s">
        <v>223</v>
      </c>
    </row>
    <row r="796" hidden="1" customHeight="1" spans="1:12">
      <c r="A796" s="17" t="s">
        <v>164</v>
      </c>
      <c r="B796" s="17" t="s">
        <v>805</v>
      </c>
      <c r="C796" s="24" t="s">
        <v>806</v>
      </c>
      <c r="D796" s="17">
        <f>98020</f>
        <v>98020</v>
      </c>
      <c r="E796" s="17">
        <v>0.13355</v>
      </c>
      <c r="F796" s="25">
        <f t="shared" si="69"/>
        <v>13090.571</v>
      </c>
      <c r="G796" s="18">
        <v>13090.571</v>
      </c>
      <c r="H796" s="18">
        <f t="shared" si="67"/>
        <v>0</v>
      </c>
      <c r="I796" s="20"/>
      <c r="J796" s="17"/>
      <c r="K796" s="17" t="s">
        <v>223</v>
      </c>
    </row>
    <row r="797" hidden="1" customHeight="1" spans="1:12">
      <c r="A797" s="17" t="s">
        <v>164</v>
      </c>
      <c r="B797" s="17" t="s">
        <v>807</v>
      </c>
      <c r="C797" s="24" t="s">
        <v>806</v>
      </c>
      <c r="D797" s="17">
        <f>1960400*2</f>
        <v>3920800</v>
      </c>
      <c r="E797" s="17">
        <v>0.13355</v>
      </c>
      <c r="F797" s="25">
        <f t="shared" si="69"/>
        <v>523622.84</v>
      </c>
      <c r="G797" s="18">
        <v>0</v>
      </c>
      <c r="H797" s="18">
        <f t="shared" si="67"/>
        <v>523622.84</v>
      </c>
      <c r="I797" s="20"/>
      <c r="J797" s="17"/>
      <c r="K797" s="17" t="s">
        <v>223</v>
      </c>
    </row>
    <row r="798" customHeight="1" spans="1:12">
      <c r="A798" s="17" t="s">
        <v>18</v>
      </c>
      <c r="B798" s="24" t="s">
        <v>808</v>
      </c>
      <c r="C798" s="24" t="s">
        <v>545</v>
      </c>
      <c r="D798" s="24">
        <v>290000</v>
      </c>
      <c r="E798" s="166">
        <v>0.2675</v>
      </c>
      <c r="F798" s="25">
        <f t="shared" si="69"/>
        <v>77575</v>
      </c>
      <c r="G798" s="18">
        <v>3551.85</v>
      </c>
      <c r="H798" s="18">
        <f t="shared" si="67"/>
        <v>74023.15</v>
      </c>
      <c r="I798" s="20">
        <v>46280</v>
      </c>
      <c r="J798" s="17"/>
      <c r="K798" s="17" t="s">
        <v>223</v>
      </c>
      <c r="L798" s="17"/>
    </row>
    <row r="799" customHeight="1" spans="1:12">
      <c r="A799" s="17" t="s">
        <v>18</v>
      </c>
      <c r="B799" s="24" t="s">
        <v>809</v>
      </c>
      <c r="C799" s="17" t="s">
        <v>784</v>
      </c>
      <c r="D799" s="17">
        <v>1102000</v>
      </c>
      <c r="E799" s="17">
        <v>0.2329</v>
      </c>
      <c r="F799" s="25">
        <f t="shared" si="69"/>
        <v>256655.8</v>
      </c>
      <c r="G799" s="18">
        <f>237645.18+13508.2+5502.41999999998</f>
        <v>256655.8</v>
      </c>
      <c r="H799" s="18">
        <f t="shared" si="67"/>
        <v>0</v>
      </c>
      <c r="I799" s="20">
        <v>46285</v>
      </c>
      <c r="J799" s="17" t="s">
        <v>21</v>
      </c>
      <c r="K799" s="17" t="s">
        <v>223</v>
      </c>
      <c r="L799" s="17"/>
    </row>
    <row r="800" customHeight="1" spans="1:12">
      <c r="A800" s="17" t="s">
        <v>18</v>
      </c>
      <c r="B800" s="24" t="s">
        <v>810</v>
      </c>
      <c r="C800" s="17" t="s">
        <v>784</v>
      </c>
      <c r="D800" s="17">
        <v>1160000</v>
      </c>
      <c r="E800" s="17">
        <v>0.2329</v>
      </c>
      <c r="F800" s="25">
        <f t="shared" si="69"/>
        <v>270164</v>
      </c>
      <c r="G800" s="18">
        <v>270164</v>
      </c>
      <c r="H800" s="18">
        <f t="shared" si="67"/>
        <v>0</v>
      </c>
      <c r="I800" s="20">
        <v>46285</v>
      </c>
      <c r="J800" s="17"/>
      <c r="K800" s="17" t="s">
        <v>223</v>
      </c>
      <c r="L800" s="17"/>
    </row>
    <row r="801" hidden="1" customHeight="1" spans="1:12">
      <c r="A801" s="17" t="s">
        <v>302</v>
      </c>
      <c r="B801" s="24" t="s">
        <v>753</v>
      </c>
      <c r="C801" s="17" t="s">
        <v>638</v>
      </c>
      <c r="D801" s="28">
        <f>108-D802</f>
        <v>99.315</v>
      </c>
      <c r="E801" s="17">
        <v>2908</v>
      </c>
      <c r="F801" s="18">
        <f t="shared" ref="F801:F820" si="70">E801*D801</f>
        <v>288808.02</v>
      </c>
      <c r="G801" s="18">
        <v>0</v>
      </c>
      <c r="H801" s="18">
        <f t="shared" si="67"/>
        <v>288808.02</v>
      </c>
      <c r="I801" s="20">
        <v>46280</v>
      </c>
      <c r="J801" s="17"/>
      <c r="K801" s="17"/>
      <c r="L801" s="17"/>
    </row>
    <row r="802" hidden="1" customHeight="1" spans="1:12">
      <c r="A802" s="17" t="s">
        <v>302</v>
      </c>
      <c r="B802" s="24" t="s">
        <v>754</v>
      </c>
      <c r="C802" s="17" t="s">
        <v>638</v>
      </c>
      <c r="D802" s="28">
        <v>8.685</v>
      </c>
      <c r="E802" s="17">
        <v>2908</v>
      </c>
      <c r="F802" s="18">
        <f t="shared" si="70"/>
        <v>25255.98</v>
      </c>
      <c r="G802" s="18">
        <v>0</v>
      </c>
      <c r="H802" s="18">
        <f t="shared" si="67"/>
        <v>25255.98</v>
      </c>
      <c r="I802" s="20">
        <v>46280</v>
      </c>
      <c r="J802" s="17" t="s">
        <v>21</v>
      </c>
      <c r="K802" s="17" t="s">
        <v>223</v>
      </c>
      <c r="L802" s="17"/>
    </row>
    <row r="803" hidden="1" customHeight="1" spans="1:12">
      <c r="A803" s="17" t="s">
        <v>302</v>
      </c>
      <c r="B803" s="24" t="s">
        <v>754</v>
      </c>
      <c r="C803" s="17" t="s">
        <v>641</v>
      </c>
      <c r="D803" s="28">
        <v>82.38</v>
      </c>
      <c r="E803" s="17">
        <v>2806</v>
      </c>
      <c r="F803" s="18">
        <f t="shared" si="70"/>
        <v>231158.28</v>
      </c>
      <c r="G803" s="18">
        <v>0</v>
      </c>
      <c r="H803" s="18">
        <f t="shared" si="67"/>
        <v>231158.28</v>
      </c>
      <c r="I803" s="20">
        <v>46280</v>
      </c>
      <c r="J803" s="17" t="s">
        <v>21</v>
      </c>
      <c r="K803" s="17" t="s">
        <v>223</v>
      </c>
      <c r="L803" s="17"/>
    </row>
    <row r="804" hidden="1" customHeight="1" spans="1:12">
      <c r="A804" s="17" t="s">
        <v>302</v>
      </c>
      <c r="B804" s="24" t="s">
        <v>755</v>
      </c>
      <c r="C804" s="17" t="s">
        <v>641</v>
      </c>
      <c r="D804" s="28">
        <v>1.285</v>
      </c>
      <c r="E804" s="17">
        <v>2806</v>
      </c>
      <c r="F804" s="18">
        <f t="shared" si="70"/>
        <v>3605.71</v>
      </c>
      <c r="G804" s="18">
        <v>0</v>
      </c>
      <c r="H804" s="18">
        <f t="shared" si="67"/>
        <v>3605.71</v>
      </c>
      <c r="I804" s="20">
        <v>46280</v>
      </c>
      <c r="J804" s="17" t="s">
        <v>21</v>
      </c>
      <c r="K804" s="17" t="s">
        <v>223</v>
      </c>
      <c r="L804" s="17"/>
    </row>
    <row r="805" hidden="1" customHeight="1" spans="1:12">
      <c r="A805" s="17" t="s">
        <v>302</v>
      </c>
      <c r="B805" s="24" t="s">
        <v>755</v>
      </c>
      <c r="C805" s="17" t="s">
        <v>643</v>
      </c>
      <c r="D805" s="28">
        <v>52.704</v>
      </c>
      <c r="E805" s="17">
        <v>2908</v>
      </c>
      <c r="F805" s="18">
        <f t="shared" si="70"/>
        <v>153263.232</v>
      </c>
      <c r="G805" s="18">
        <v>0</v>
      </c>
      <c r="H805" s="18">
        <f t="shared" si="67"/>
        <v>153263.232</v>
      </c>
      <c r="I805" s="20">
        <v>46280</v>
      </c>
      <c r="J805" s="17" t="s">
        <v>21</v>
      </c>
      <c r="K805" s="17" t="s">
        <v>223</v>
      </c>
      <c r="L805" s="17"/>
    </row>
    <row r="806" hidden="1" customHeight="1" spans="1:12">
      <c r="A806" s="17" t="s">
        <v>302</v>
      </c>
      <c r="B806" s="24" t="s">
        <v>756</v>
      </c>
      <c r="C806" s="17" t="s">
        <v>643</v>
      </c>
      <c r="D806" s="28">
        <v>53.647</v>
      </c>
      <c r="E806" s="17">
        <v>2908</v>
      </c>
      <c r="F806" s="18">
        <f t="shared" si="70"/>
        <v>156005.476</v>
      </c>
      <c r="G806" s="18">
        <v>0</v>
      </c>
      <c r="H806" s="18">
        <f t="shared" si="67"/>
        <v>156005.476</v>
      </c>
      <c r="I806" s="20">
        <v>46280</v>
      </c>
      <c r="J806" s="17" t="s">
        <v>21</v>
      </c>
      <c r="K806" s="17" t="s">
        <v>223</v>
      </c>
      <c r="L806" s="17"/>
    </row>
    <row r="807" hidden="1" customHeight="1" spans="1:12">
      <c r="A807" s="17" t="s">
        <v>302</v>
      </c>
      <c r="B807" s="24" t="s">
        <v>757</v>
      </c>
      <c r="C807" s="17" t="s">
        <v>643</v>
      </c>
      <c r="D807" s="28">
        <v>99.99</v>
      </c>
      <c r="E807" s="17">
        <v>2908</v>
      </c>
      <c r="F807" s="18">
        <f t="shared" si="70"/>
        <v>290770.92</v>
      </c>
      <c r="G807" s="18">
        <v>0</v>
      </c>
      <c r="H807" s="18">
        <f t="shared" si="67"/>
        <v>290770.92</v>
      </c>
      <c r="I807" s="20">
        <v>46280</v>
      </c>
      <c r="J807" s="17" t="s">
        <v>21</v>
      </c>
      <c r="K807" s="17" t="s">
        <v>223</v>
      </c>
      <c r="L807" s="17"/>
    </row>
    <row r="808" hidden="1" customHeight="1" spans="1:12">
      <c r="A808" s="17" t="s">
        <v>302</v>
      </c>
      <c r="B808" s="17" t="s">
        <v>753</v>
      </c>
      <c r="C808" s="17" t="s">
        <v>643</v>
      </c>
      <c r="D808" s="28">
        <f>210-99.99-53.647-52.704</f>
        <v>3.65900000000001</v>
      </c>
      <c r="E808" s="17">
        <v>2908</v>
      </c>
      <c r="F808" s="18">
        <f t="shared" si="70"/>
        <v>10640.372</v>
      </c>
      <c r="G808" s="18">
        <v>0</v>
      </c>
      <c r="H808" s="18">
        <f t="shared" si="67"/>
        <v>10640.372</v>
      </c>
      <c r="I808" s="20">
        <v>46280</v>
      </c>
      <c r="J808" s="17"/>
      <c r="K808" s="17"/>
      <c r="L808" s="17"/>
    </row>
    <row r="809" hidden="1" customHeight="1" spans="1:12">
      <c r="A809" s="17" t="s">
        <v>302</v>
      </c>
      <c r="B809" s="17" t="s">
        <v>753</v>
      </c>
      <c r="C809" s="17" t="s">
        <v>758</v>
      </c>
      <c r="D809" s="17">
        <v>90</v>
      </c>
      <c r="E809" s="17">
        <v>2806</v>
      </c>
      <c r="F809" s="18">
        <f t="shared" si="70"/>
        <v>252540</v>
      </c>
      <c r="G809" s="18">
        <v>0</v>
      </c>
      <c r="H809" s="18">
        <f t="shared" ref="H809:H842" si="71">F809-G809</f>
        <v>252540</v>
      </c>
      <c r="I809" s="20">
        <v>46280</v>
      </c>
      <c r="J809" s="17"/>
      <c r="K809" s="17"/>
      <c r="L809" s="17"/>
    </row>
    <row r="810" hidden="1" customHeight="1" spans="1:12">
      <c r="A810" s="17" t="s">
        <v>302</v>
      </c>
      <c r="B810" s="24" t="s">
        <v>756</v>
      </c>
      <c r="C810" s="17" t="s">
        <v>811</v>
      </c>
      <c r="D810" s="28">
        <v>27.329</v>
      </c>
      <c r="E810" s="17">
        <v>2908</v>
      </c>
      <c r="F810" s="18">
        <f t="shared" si="70"/>
        <v>79472.732</v>
      </c>
      <c r="G810" s="18">
        <v>0</v>
      </c>
      <c r="H810" s="18">
        <f t="shared" si="71"/>
        <v>79472.732</v>
      </c>
      <c r="I810" s="20">
        <v>46280</v>
      </c>
      <c r="J810" s="17" t="s">
        <v>21</v>
      </c>
      <c r="K810" s="17" t="s">
        <v>223</v>
      </c>
      <c r="L810" s="17"/>
    </row>
    <row r="811" hidden="1" customHeight="1" spans="1:12">
      <c r="A811" s="17" t="s">
        <v>302</v>
      </c>
      <c r="B811" s="17" t="s">
        <v>753</v>
      </c>
      <c r="C811" s="17" t="s">
        <v>811</v>
      </c>
      <c r="D811" s="196">
        <f>100-D810</f>
        <v>72.671</v>
      </c>
      <c r="E811" s="17">
        <v>2908</v>
      </c>
      <c r="F811" s="18">
        <f t="shared" si="70"/>
        <v>211327.268</v>
      </c>
      <c r="G811" s="18">
        <v>0</v>
      </c>
      <c r="H811" s="18">
        <f t="shared" si="71"/>
        <v>211327.268</v>
      </c>
      <c r="I811" s="20">
        <v>46280</v>
      </c>
      <c r="J811" s="17"/>
      <c r="K811" s="17"/>
      <c r="L811" s="17"/>
    </row>
    <row r="812" hidden="1" customHeight="1" spans="1:12">
      <c r="A812" s="17" t="s">
        <v>139</v>
      </c>
      <c r="B812" s="17" t="s">
        <v>812</v>
      </c>
      <c r="C812" s="17" t="s">
        <v>813</v>
      </c>
      <c r="D812" s="17">
        <v>60</v>
      </c>
      <c r="E812" s="17">
        <v>6690</v>
      </c>
      <c r="F812" s="18">
        <f t="shared" si="70"/>
        <v>401400</v>
      </c>
      <c r="G812" s="18">
        <v>0</v>
      </c>
      <c r="H812" s="18">
        <f t="shared" si="71"/>
        <v>401400</v>
      </c>
      <c r="I812" s="20"/>
      <c r="J812" s="17"/>
      <c r="K812" s="17" t="s">
        <v>223</v>
      </c>
    </row>
    <row r="813" hidden="1" customHeight="1" spans="1:12">
      <c r="A813" s="17" t="s">
        <v>139</v>
      </c>
      <c r="B813" s="17" t="s">
        <v>812</v>
      </c>
      <c r="C813" s="17" t="s">
        <v>814</v>
      </c>
      <c r="D813" s="17">
        <v>40</v>
      </c>
      <c r="E813" s="17">
        <v>6690</v>
      </c>
      <c r="F813" s="18">
        <f t="shared" si="70"/>
        <v>267600</v>
      </c>
      <c r="G813" s="18">
        <v>0</v>
      </c>
      <c r="H813" s="18">
        <f t="shared" si="71"/>
        <v>267600</v>
      </c>
      <c r="I813" s="20"/>
      <c r="J813" s="17"/>
      <c r="K813" s="17" t="s">
        <v>223</v>
      </c>
    </row>
    <row r="814" hidden="1" customHeight="1" spans="1:12">
      <c r="A814" s="17" t="s">
        <v>139</v>
      </c>
      <c r="B814" s="17" t="s">
        <v>812</v>
      </c>
      <c r="C814" s="17" t="s">
        <v>655</v>
      </c>
      <c r="D814" s="17">
        <v>160</v>
      </c>
      <c r="E814" s="17">
        <v>6640</v>
      </c>
      <c r="F814" s="18">
        <f t="shared" si="70"/>
        <v>1062400</v>
      </c>
      <c r="G814" s="18">
        <v>0</v>
      </c>
      <c r="H814" s="18">
        <f t="shared" si="71"/>
        <v>1062400</v>
      </c>
      <c r="I814" s="20"/>
      <c r="J814" s="17"/>
      <c r="K814" s="17" t="s">
        <v>223</v>
      </c>
    </row>
    <row r="815" hidden="1" customHeight="1" spans="1:12">
      <c r="A815" s="17" t="s">
        <v>139</v>
      </c>
      <c r="B815" s="17" t="s">
        <v>815</v>
      </c>
      <c r="C815" s="17" t="s">
        <v>816</v>
      </c>
      <c r="D815" s="17">
        <v>110</v>
      </c>
      <c r="E815" s="17">
        <v>7010</v>
      </c>
      <c r="F815" s="18">
        <f t="shared" si="70"/>
        <v>771100</v>
      </c>
      <c r="G815" s="18">
        <v>0</v>
      </c>
      <c r="H815" s="18">
        <f t="shared" si="71"/>
        <v>771100</v>
      </c>
      <c r="I815" s="20"/>
      <c r="J815" s="17"/>
      <c r="K815" s="17" t="s">
        <v>223</v>
      </c>
    </row>
    <row r="816" hidden="1" customHeight="1" spans="1:12">
      <c r="A816" s="17" t="s">
        <v>139</v>
      </c>
      <c r="B816" s="17" t="s">
        <v>815</v>
      </c>
      <c r="C816" s="17" t="s">
        <v>817</v>
      </c>
      <c r="D816" s="17">
        <v>40</v>
      </c>
      <c r="E816" s="17">
        <v>7260</v>
      </c>
      <c r="F816" s="18">
        <f t="shared" si="70"/>
        <v>290400</v>
      </c>
      <c r="G816" s="18">
        <v>0</v>
      </c>
      <c r="H816" s="18">
        <f t="shared" si="71"/>
        <v>290400</v>
      </c>
      <c r="I816" s="20"/>
      <c r="J816" s="17"/>
      <c r="K816" s="17" t="s">
        <v>223</v>
      </c>
    </row>
    <row r="817" hidden="1" customHeight="1" spans="1:12">
      <c r="A817" s="17" t="s">
        <v>139</v>
      </c>
      <c r="B817" s="17" t="s">
        <v>815</v>
      </c>
      <c r="C817" s="17" t="s">
        <v>818</v>
      </c>
      <c r="D817" s="17">
        <v>100</v>
      </c>
      <c r="E817" s="17">
        <v>7260</v>
      </c>
      <c r="F817" s="18">
        <f t="shared" si="70"/>
        <v>726000</v>
      </c>
      <c r="G817" s="18">
        <v>0</v>
      </c>
      <c r="H817" s="18">
        <f t="shared" si="71"/>
        <v>726000</v>
      </c>
      <c r="I817" s="20"/>
      <c r="J817" s="17"/>
      <c r="K817" s="17" t="s">
        <v>223</v>
      </c>
    </row>
    <row r="818" hidden="1" customHeight="1" spans="1:12">
      <c r="A818" s="17" t="s">
        <v>139</v>
      </c>
      <c r="B818" s="17" t="s">
        <v>815</v>
      </c>
      <c r="C818" s="17" t="s">
        <v>819</v>
      </c>
      <c r="D818" s="17">
        <v>50</v>
      </c>
      <c r="E818" s="17">
        <v>7260</v>
      </c>
      <c r="F818" s="18">
        <f t="shared" si="70"/>
        <v>363000</v>
      </c>
      <c r="G818" s="18">
        <v>0</v>
      </c>
      <c r="H818" s="18">
        <f t="shared" si="71"/>
        <v>363000</v>
      </c>
      <c r="I818" s="20"/>
      <c r="J818" s="17"/>
      <c r="K818" s="17" t="s">
        <v>223</v>
      </c>
    </row>
    <row r="819" hidden="1" customHeight="1" spans="1:12">
      <c r="A819" s="17" t="s">
        <v>139</v>
      </c>
      <c r="B819" s="17" t="s">
        <v>815</v>
      </c>
      <c r="C819" s="17" t="s">
        <v>820</v>
      </c>
      <c r="D819" s="17">
        <v>55</v>
      </c>
      <c r="E819" s="17">
        <v>7260</v>
      </c>
      <c r="F819" s="18">
        <f t="shared" si="70"/>
        <v>399300</v>
      </c>
      <c r="G819" s="18">
        <v>0</v>
      </c>
      <c r="H819" s="18">
        <f t="shared" si="71"/>
        <v>399300</v>
      </c>
      <c r="I819" s="20"/>
      <c r="J819" s="17"/>
      <c r="K819" s="17" t="s">
        <v>223</v>
      </c>
    </row>
    <row r="820" hidden="1" customHeight="1" spans="1:12">
      <c r="A820" s="17" t="s">
        <v>139</v>
      </c>
      <c r="B820" s="17" t="s">
        <v>815</v>
      </c>
      <c r="C820" s="17" t="s">
        <v>821</v>
      </c>
      <c r="D820" s="17">
        <v>45</v>
      </c>
      <c r="E820" s="17">
        <v>7260</v>
      </c>
      <c r="F820" s="18">
        <f t="shared" si="70"/>
        <v>326700</v>
      </c>
      <c r="G820" s="18">
        <v>0</v>
      </c>
      <c r="H820" s="18">
        <f t="shared" si="71"/>
        <v>326700</v>
      </c>
      <c r="I820" s="20"/>
      <c r="J820" s="17"/>
      <c r="K820" s="17" t="s">
        <v>223</v>
      </c>
    </row>
    <row r="821" hidden="1" customHeight="1" spans="1:12">
      <c r="A821" s="17" t="s">
        <v>116</v>
      </c>
      <c r="B821" s="24" t="s">
        <v>822</v>
      </c>
      <c r="C821" s="24" t="s">
        <v>670</v>
      </c>
      <c r="D821" s="35">
        <v>1960400</v>
      </c>
      <c r="E821" s="157">
        <v>0.019</v>
      </c>
      <c r="F821" s="178">
        <f>D821*E821</f>
        <v>37247.6</v>
      </c>
      <c r="G821" s="179">
        <v>7449.52</v>
      </c>
      <c r="H821" s="18">
        <f t="shared" si="71"/>
        <v>29798.08</v>
      </c>
      <c r="I821" s="20">
        <v>46310</v>
      </c>
      <c r="J821" s="17"/>
      <c r="K821" s="17" t="s">
        <v>223</v>
      </c>
      <c r="L821" s="17"/>
    </row>
    <row r="822" customHeight="1" spans="1:12">
      <c r="A822" s="17" t="s">
        <v>18</v>
      </c>
      <c r="B822" s="24" t="s">
        <v>823</v>
      </c>
      <c r="C822" s="24" t="s">
        <v>742</v>
      </c>
      <c r="D822" s="81">
        <v>27</v>
      </c>
      <c r="E822" s="17">
        <v>5950</v>
      </c>
      <c r="F822" s="18">
        <f t="shared" ref="F822:F842" si="72">E822*D822</f>
        <v>160650</v>
      </c>
      <c r="G822" s="18">
        <v>160650</v>
      </c>
      <c r="H822" s="18">
        <f t="shared" si="71"/>
        <v>0</v>
      </c>
      <c r="I822" s="20"/>
      <c r="J822" s="17"/>
      <c r="K822" s="17" t="s">
        <v>223</v>
      </c>
    </row>
    <row r="823" customHeight="1" spans="1:12">
      <c r="A823" s="17" t="s">
        <v>18</v>
      </c>
      <c r="B823" s="24" t="s">
        <v>823</v>
      </c>
      <c r="C823" s="24" t="s">
        <v>698</v>
      </c>
      <c r="D823" s="81">
        <v>54</v>
      </c>
      <c r="E823" s="17">
        <v>5950</v>
      </c>
      <c r="F823" s="18">
        <f t="shared" si="72"/>
        <v>321300</v>
      </c>
      <c r="G823" s="18">
        <v>307172.15</v>
      </c>
      <c r="H823" s="18">
        <f t="shared" si="71"/>
        <v>14127.85</v>
      </c>
      <c r="I823" s="20"/>
      <c r="J823" s="17"/>
      <c r="K823" s="17" t="s">
        <v>223</v>
      </c>
    </row>
    <row r="824" customHeight="1" spans="1:12">
      <c r="A824" s="17" t="s">
        <v>18</v>
      </c>
      <c r="B824" s="24" t="s">
        <v>823</v>
      </c>
      <c r="C824" s="24" t="s">
        <v>695</v>
      </c>
      <c r="D824" s="81">
        <v>54</v>
      </c>
      <c r="E824" s="17">
        <v>6100</v>
      </c>
      <c r="F824" s="18">
        <f t="shared" si="72"/>
        <v>329400</v>
      </c>
      <c r="G824" s="18">
        <v>0</v>
      </c>
      <c r="H824" s="18">
        <f t="shared" si="71"/>
        <v>329400</v>
      </c>
      <c r="I824" s="20"/>
      <c r="J824" s="17"/>
      <c r="K824" s="17" t="s">
        <v>223</v>
      </c>
    </row>
    <row r="825" customHeight="1" spans="1:12">
      <c r="A825" s="17" t="s">
        <v>18</v>
      </c>
      <c r="B825" s="24" t="s">
        <v>823</v>
      </c>
      <c r="C825" s="24" t="s">
        <v>700</v>
      </c>
      <c r="D825" s="81">
        <v>27</v>
      </c>
      <c r="E825" s="17">
        <v>5950</v>
      </c>
      <c r="F825" s="18">
        <f t="shared" si="72"/>
        <v>160650</v>
      </c>
      <c r="G825" s="18">
        <v>0</v>
      </c>
      <c r="H825" s="18">
        <f t="shared" si="71"/>
        <v>160650</v>
      </c>
      <c r="I825" s="20"/>
      <c r="J825" s="17"/>
      <c r="K825" s="17" t="s">
        <v>223</v>
      </c>
    </row>
    <row r="826" customHeight="1" spans="1:12">
      <c r="A826" s="17" t="s">
        <v>18</v>
      </c>
      <c r="B826" s="24" t="s">
        <v>824</v>
      </c>
      <c r="C826" s="24" t="s">
        <v>641</v>
      </c>
      <c r="D826" s="28">
        <v>80</v>
      </c>
      <c r="E826" s="17">
        <v>6550</v>
      </c>
      <c r="F826" s="18">
        <f t="shared" si="72"/>
        <v>524000</v>
      </c>
      <c r="G826" s="18">
        <v>0</v>
      </c>
      <c r="H826" s="18">
        <f t="shared" si="71"/>
        <v>524000</v>
      </c>
      <c r="I826" s="20"/>
      <c r="J826" s="17"/>
      <c r="K826" s="17" t="s">
        <v>223</v>
      </c>
    </row>
    <row r="827" customHeight="1" spans="1:12">
      <c r="A827" s="17" t="s">
        <v>18</v>
      </c>
      <c r="B827" s="24" t="s">
        <v>824</v>
      </c>
      <c r="C827" s="24" t="s">
        <v>643</v>
      </c>
      <c r="D827" s="28">
        <v>210</v>
      </c>
      <c r="E827" s="17">
        <v>6750</v>
      </c>
      <c r="F827" s="18">
        <f t="shared" si="72"/>
        <v>1417500</v>
      </c>
      <c r="G827" s="18">
        <v>0</v>
      </c>
      <c r="H827" s="18">
        <f t="shared" si="71"/>
        <v>1417500</v>
      </c>
      <c r="I827" s="20"/>
      <c r="J827" s="20"/>
      <c r="K827" s="17" t="s">
        <v>223</v>
      </c>
    </row>
    <row r="828" customHeight="1" spans="1:12">
      <c r="A828" s="17" t="s">
        <v>18</v>
      </c>
      <c r="B828" s="24" t="s">
        <v>824</v>
      </c>
      <c r="C828" s="24" t="s">
        <v>759</v>
      </c>
      <c r="D828" s="28">
        <v>100</v>
      </c>
      <c r="E828" s="17">
        <v>6445</v>
      </c>
      <c r="F828" s="18">
        <f t="shared" si="72"/>
        <v>644500</v>
      </c>
      <c r="G828" s="18">
        <v>0</v>
      </c>
      <c r="H828" s="18">
        <f t="shared" si="71"/>
        <v>644500</v>
      </c>
      <c r="I828" s="20"/>
      <c r="J828" s="17"/>
      <c r="K828" s="17" t="s">
        <v>696</v>
      </c>
    </row>
    <row r="829" hidden="1" customHeight="1" spans="1:12">
      <c r="A829" s="17" t="s">
        <v>139</v>
      </c>
      <c r="B829" s="17" t="s">
        <v>825</v>
      </c>
      <c r="C829" s="17" t="s">
        <v>826</v>
      </c>
      <c r="D829" s="17">
        <v>7.194</v>
      </c>
      <c r="E829" s="17">
        <v>5870</v>
      </c>
      <c r="F829" s="18">
        <f t="shared" si="72"/>
        <v>42228.78</v>
      </c>
      <c r="G829" s="18">
        <v>0</v>
      </c>
      <c r="H829" s="18">
        <f t="shared" si="71"/>
        <v>42228.78</v>
      </c>
      <c r="I829" s="20"/>
      <c r="J829" s="17" t="s">
        <v>21</v>
      </c>
      <c r="K829" s="17" t="s">
        <v>223</v>
      </c>
    </row>
    <row r="830" hidden="1" customHeight="1" spans="1:12">
      <c r="A830" s="17" t="s">
        <v>139</v>
      </c>
      <c r="B830" s="17" t="s">
        <v>827</v>
      </c>
      <c r="C830" s="40" t="s">
        <v>828</v>
      </c>
      <c r="D830" s="191">
        <v>17</v>
      </c>
      <c r="E830" s="40">
        <v>6135</v>
      </c>
      <c r="F830" s="18">
        <f t="shared" si="72"/>
        <v>104295</v>
      </c>
      <c r="G830" s="18">
        <v>0</v>
      </c>
      <c r="H830" s="18">
        <f t="shared" si="71"/>
        <v>104295</v>
      </c>
      <c r="I830" s="20"/>
      <c r="J830" s="17"/>
      <c r="K830" s="17" t="s">
        <v>696</v>
      </c>
    </row>
    <row r="831" hidden="1" customHeight="1" spans="1:12">
      <c r="A831" s="17" t="s">
        <v>139</v>
      </c>
      <c r="B831" s="17" t="s">
        <v>827</v>
      </c>
      <c r="C831" s="40" t="s">
        <v>829</v>
      </c>
      <c r="D831" s="191">
        <v>50</v>
      </c>
      <c r="E831" s="40">
        <v>5786</v>
      </c>
      <c r="F831" s="18">
        <f t="shared" si="72"/>
        <v>289300</v>
      </c>
      <c r="G831" s="18">
        <v>0</v>
      </c>
      <c r="H831" s="18">
        <f t="shared" si="71"/>
        <v>289300</v>
      </c>
      <c r="I831" s="20"/>
      <c r="J831" s="17"/>
      <c r="K831" s="17" t="s">
        <v>696</v>
      </c>
    </row>
    <row r="832" hidden="1" customHeight="1" spans="1:12">
      <c r="A832" s="17" t="s">
        <v>139</v>
      </c>
      <c r="B832" s="17" t="s">
        <v>827</v>
      </c>
      <c r="C832" s="40" t="s">
        <v>830</v>
      </c>
      <c r="D832" s="191">
        <v>15</v>
      </c>
      <c r="E832" s="40">
        <v>5828</v>
      </c>
      <c r="F832" s="18">
        <f t="shared" si="72"/>
        <v>87420</v>
      </c>
      <c r="G832" s="18">
        <v>0</v>
      </c>
      <c r="H832" s="18">
        <f t="shared" si="71"/>
        <v>87420</v>
      </c>
      <c r="I832" s="20"/>
      <c r="J832" s="17"/>
      <c r="K832" s="17" t="s">
        <v>696</v>
      </c>
    </row>
    <row r="833" hidden="1" customHeight="1" spans="1:11">
      <c r="A833" s="17" t="s">
        <v>139</v>
      </c>
      <c r="B833" s="17" t="s">
        <v>827</v>
      </c>
      <c r="C833" s="40" t="s">
        <v>831</v>
      </c>
      <c r="D833" s="191">
        <v>22</v>
      </c>
      <c r="E833" s="40">
        <v>5868</v>
      </c>
      <c r="F833" s="18">
        <f t="shared" si="72"/>
        <v>129096</v>
      </c>
      <c r="G833" s="18">
        <v>0</v>
      </c>
      <c r="H833" s="18">
        <f t="shared" si="71"/>
        <v>129096</v>
      </c>
      <c r="I833" s="20"/>
      <c r="J833" s="17"/>
      <c r="K833" s="17" t="s">
        <v>696</v>
      </c>
    </row>
    <row r="834" hidden="1" customHeight="1" spans="1:11">
      <c r="A834" s="17" t="s">
        <v>139</v>
      </c>
      <c r="B834" s="17" t="s">
        <v>827</v>
      </c>
      <c r="C834" s="40" t="s">
        <v>832</v>
      </c>
      <c r="D834" s="191">
        <v>56</v>
      </c>
      <c r="E834" s="40">
        <v>5868</v>
      </c>
      <c r="F834" s="18">
        <f t="shared" si="72"/>
        <v>328608</v>
      </c>
      <c r="G834" s="18">
        <v>0</v>
      </c>
      <c r="H834" s="18">
        <f t="shared" si="71"/>
        <v>328608</v>
      </c>
      <c r="I834" s="20"/>
      <c r="J834" s="17"/>
      <c r="K834" s="17" t="s">
        <v>696</v>
      </c>
    </row>
    <row r="835" hidden="1" customHeight="1" spans="1:11">
      <c r="A835" s="17" t="s">
        <v>139</v>
      </c>
      <c r="B835" s="17" t="s">
        <v>827</v>
      </c>
      <c r="C835" s="40" t="s">
        <v>833</v>
      </c>
      <c r="D835" s="191">
        <v>25</v>
      </c>
      <c r="E835" s="40">
        <v>6005</v>
      </c>
      <c r="F835" s="18">
        <f t="shared" si="72"/>
        <v>150125</v>
      </c>
      <c r="G835" s="18">
        <v>0</v>
      </c>
      <c r="H835" s="18">
        <f t="shared" si="71"/>
        <v>150125</v>
      </c>
      <c r="I835" s="20"/>
      <c r="J835" s="17"/>
      <c r="K835" s="17" t="s">
        <v>696</v>
      </c>
    </row>
    <row r="836" hidden="1" customHeight="1" spans="1:11">
      <c r="A836" s="17" t="s">
        <v>139</v>
      </c>
      <c r="B836" s="17" t="s">
        <v>827</v>
      </c>
      <c r="C836" s="40" t="s">
        <v>834</v>
      </c>
      <c r="D836" s="191">
        <v>10</v>
      </c>
      <c r="E836" s="40">
        <v>6005</v>
      </c>
      <c r="F836" s="18">
        <f t="shared" si="72"/>
        <v>60050</v>
      </c>
      <c r="G836" s="18">
        <v>0</v>
      </c>
      <c r="H836" s="18">
        <f t="shared" si="71"/>
        <v>60050</v>
      </c>
      <c r="I836" s="20"/>
      <c r="J836" s="17"/>
      <c r="K836" s="17" t="s">
        <v>696</v>
      </c>
    </row>
    <row r="837" hidden="1" customHeight="1" spans="1:11">
      <c r="A837" s="17" t="s">
        <v>139</v>
      </c>
      <c r="B837" s="17" t="s">
        <v>827</v>
      </c>
      <c r="C837" s="40" t="s">
        <v>835</v>
      </c>
      <c r="D837" s="191">
        <v>12</v>
      </c>
      <c r="E837" s="40">
        <v>5463</v>
      </c>
      <c r="F837" s="18">
        <f t="shared" si="72"/>
        <v>65556</v>
      </c>
      <c r="G837" s="18">
        <v>0</v>
      </c>
      <c r="H837" s="18">
        <f t="shared" si="71"/>
        <v>65556</v>
      </c>
      <c r="I837" s="20"/>
      <c r="J837" s="17"/>
      <c r="K837" s="17" t="s">
        <v>696</v>
      </c>
    </row>
    <row r="838" hidden="1" customHeight="1" spans="1:11">
      <c r="A838" s="17" t="s">
        <v>139</v>
      </c>
      <c r="B838" s="17" t="s">
        <v>827</v>
      </c>
      <c r="C838" s="40" t="s">
        <v>836</v>
      </c>
      <c r="D838" s="81">
        <v>26</v>
      </c>
      <c r="E838" s="17">
        <v>5463</v>
      </c>
      <c r="F838" s="18">
        <f t="shared" si="72"/>
        <v>142038</v>
      </c>
      <c r="G838" s="18">
        <v>0</v>
      </c>
      <c r="H838" s="18">
        <f t="shared" si="71"/>
        <v>142038</v>
      </c>
      <c r="I838" s="20"/>
      <c r="J838" s="17"/>
      <c r="K838" s="17" t="s">
        <v>696</v>
      </c>
    </row>
    <row r="839" customHeight="1" spans="1:11">
      <c r="A839" s="17" t="s">
        <v>18</v>
      </c>
      <c r="B839" s="24" t="s">
        <v>837</v>
      </c>
      <c r="C839" s="24" t="s">
        <v>699</v>
      </c>
      <c r="D839" s="28">
        <v>54</v>
      </c>
      <c r="E839" s="17">
        <f>5630+340</f>
        <v>5970</v>
      </c>
      <c r="F839" s="18">
        <f t="shared" si="72"/>
        <v>322380</v>
      </c>
      <c r="G839" s="18">
        <v>299108.2</v>
      </c>
      <c r="H839" s="18">
        <f t="shared" si="71"/>
        <v>23271.8</v>
      </c>
      <c r="I839" s="20"/>
      <c r="J839" s="17"/>
      <c r="K839" s="17" t="s">
        <v>696</v>
      </c>
    </row>
    <row r="840" customHeight="1" spans="1:11">
      <c r="A840" s="17" t="s">
        <v>18</v>
      </c>
      <c r="B840" s="24" t="s">
        <v>838</v>
      </c>
      <c r="C840" s="24" t="s">
        <v>839</v>
      </c>
      <c r="D840" s="28">
        <v>15</v>
      </c>
      <c r="E840" s="17">
        <v>5400</v>
      </c>
      <c r="F840" s="18">
        <f t="shared" si="72"/>
        <v>81000</v>
      </c>
      <c r="G840" s="18">
        <v>0</v>
      </c>
      <c r="H840" s="18">
        <f t="shared" si="71"/>
        <v>81000</v>
      </c>
      <c r="I840" s="20"/>
      <c r="J840" s="17"/>
      <c r="K840" s="17" t="s">
        <v>696</v>
      </c>
    </row>
    <row r="841" customHeight="1" spans="1:11">
      <c r="A841" s="17" t="s">
        <v>18</v>
      </c>
      <c r="B841" s="24" t="s">
        <v>838</v>
      </c>
      <c r="C841" s="24" t="s">
        <v>692</v>
      </c>
      <c r="D841" s="28">
        <v>10</v>
      </c>
      <c r="E841" s="17">
        <v>5400</v>
      </c>
      <c r="F841" s="18">
        <f t="shared" si="72"/>
        <v>54000</v>
      </c>
      <c r="G841" s="18">
        <v>0</v>
      </c>
      <c r="H841" s="18">
        <f t="shared" si="71"/>
        <v>54000</v>
      </c>
      <c r="I841" s="20"/>
      <c r="J841" s="17"/>
      <c r="K841" s="17" t="s">
        <v>696</v>
      </c>
    </row>
    <row r="842" customHeight="1" spans="1:11">
      <c r="A842" s="17" t="s">
        <v>18</v>
      </c>
      <c r="B842" s="24" t="s">
        <v>840</v>
      </c>
      <c r="C842" s="24" t="s">
        <v>681</v>
      </c>
      <c r="D842" s="35">
        <v>232000</v>
      </c>
      <c r="E842" s="17">
        <v>0.224</v>
      </c>
      <c r="F842" s="18">
        <f t="shared" si="72"/>
        <v>51968</v>
      </c>
      <c r="G842" s="18">
        <v>0</v>
      </c>
      <c r="H842" s="18">
        <f t="shared" si="71"/>
        <v>51968</v>
      </c>
      <c r="I842" s="20"/>
      <c r="J842" s="17"/>
      <c r="K842" s="17" t="s">
        <v>223</v>
      </c>
    </row>
    <row r="849" customHeight="1" spans="7:8">
      <c r="H849" s="2">
        <f>400000-SUM(H852:H857)</f>
        <v>0</v>
      </c>
    </row>
    <row r="852" customHeight="1" spans="7:8">
      <c r="G852" s="2" t="s">
        <v>774</v>
      </c>
      <c r="H852" s="2">
        <v>95389.38</v>
      </c>
    </row>
    <row r="853" customHeight="1" spans="7:8">
      <c r="G853" s="2" t="s">
        <v>809</v>
      </c>
      <c r="H853" s="2">
        <v>5502.41999999998</v>
      </c>
    </row>
    <row r="854" customHeight="1" spans="7:8">
      <c r="G854" s="2" t="s">
        <v>837</v>
      </c>
      <c r="H854" s="2">
        <f>298953.7+154.5</f>
        <v>299108.2</v>
      </c>
    </row>
  </sheetData>
  <autoFilter xmlns:etc="http://www.wps.cn/officeDocument/2017/etCustomData" ref="A1:L842" etc:filterBottomFollowUsedRange="0">
    <filterColumn colId="0">
      <customFilters>
        <customFilter operator="equal" val="TW"/>
      </customFilters>
    </filterColumn>
    <extLst/>
  </autoFilter>
  <mergeCells count="33">
    <mergeCell ref="B175:B176"/>
    <mergeCell ref="B177:B178"/>
    <mergeCell ref="C77:C78"/>
    <mergeCell ref="C85:C86"/>
    <mergeCell ref="C88:C89"/>
    <mergeCell ref="C112:C113"/>
    <mergeCell ref="C175:C176"/>
    <mergeCell ref="C177:C178"/>
    <mergeCell ref="D77:D78"/>
    <mergeCell ref="D85:D86"/>
    <mergeCell ref="D88:D89"/>
    <mergeCell ref="D112:D113"/>
    <mergeCell ref="D175:D176"/>
    <mergeCell ref="D177:D178"/>
    <mergeCell ref="E77:E78"/>
    <mergeCell ref="E85:E86"/>
    <mergeCell ref="E88:E89"/>
    <mergeCell ref="E112:E113"/>
    <mergeCell ref="E175:E176"/>
    <mergeCell ref="E177:E178"/>
    <mergeCell ref="G12:G14"/>
    <mergeCell ref="G18:G19"/>
    <mergeCell ref="G24:G25"/>
    <mergeCell ref="G30:G31"/>
    <mergeCell ref="G32:G38"/>
    <mergeCell ref="G41:G43"/>
    <mergeCell ref="H12:H14"/>
    <mergeCell ref="H18:H19"/>
    <mergeCell ref="H24:H25"/>
    <mergeCell ref="H30:H31"/>
    <mergeCell ref="H32:H38"/>
    <mergeCell ref="H41:H43"/>
    <mergeCell ref="I114:I115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liuho</dc:creator>
  <cp:lastModifiedBy>* DXM</cp:lastModifiedBy>
  <dcterms:created xsi:type="dcterms:W3CDTF">2026-10-14T03:54:32Z</dcterms:created>
  <dcterms:modified xsi:type="dcterms:W3CDTF">2026-10-14T03:54:32Z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505E1C908C8B470AA2FD0C4D59627204_11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1</vt:i4>
  </property>
</Properties>
</file>